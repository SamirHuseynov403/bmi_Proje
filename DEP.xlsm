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4000" windowHeight="10920" tabRatio="655" activeTab="5"/>
  </bookViews>
  <sheets>
    <sheet name="ESAS" sheetId="7" r:id="rId1"/>
    <sheet name="Portfelin strukturu" sheetId="1" r:id="rId2"/>
    <sheet name="Hüquqi şəxslər" sheetId="2" r:id="rId3"/>
    <sheet name="Fiziki şəxslər" sheetId="3" r:id="rId4"/>
    <sheet name="Likvid vəsaitlərə dair" sheetId="5" r:id="rId5"/>
    <sheet name="Faiz dərəcələrinə dair" sheetId="6" r:id="rId6"/>
  </sheets>
  <definedNames>
    <definedName name="_xlnm.Print_Area" localSheetId="0">ESAS!$A$1:$W$14</definedName>
    <definedName name="_xlnm.Print_Area" localSheetId="5">'Faiz dərəcələrinə dair'!$A$1:$F$11</definedName>
    <definedName name="_xlnm.Print_Area" localSheetId="3">'Fiziki şəxslər'!$A$1:$H$16</definedName>
    <definedName name="_xlnm.Print_Area" localSheetId="2">'Hüquqi şəxslər'!$A$1:$H$17</definedName>
    <definedName name="_xlnm.Print_Area" localSheetId="4">'Likvid vəsaitlərə dair'!$A$1:$F$11</definedName>
    <definedName name="_xlnm.Print_Area" localSheetId="1">'Portfelin strukturu'!$A$1:$F$15</definedName>
  </definedNames>
  <calcPr calcId="162913"/>
</workbook>
</file>

<file path=xl/calcChain.xml><?xml version="1.0" encoding="utf-8"?>
<calcChain xmlns="http://schemas.openxmlformats.org/spreadsheetml/2006/main">
  <c r="D13" i="3" l="1"/>
  <c r="D4" i="2"/>
  <c r="B3" i="5"/>
  <c r="D13" i="2"/>
  <c r="D12" i="3"/>
  <c r="R8" i="7" l="1"/>
  <c r="R10" i="7"/>
  <c r="T10" i="7"/>
  <c r="Q10" i="7" l="1"/>
  <c r="D11" i="3"/>
  <c r="D10" i="3"/>
  <c r="D12" i="2"/>
  <c r="D11" i="2"/>
  <c r="D9" i="3"/>
  <c r="T8" i="7" l="1"/>
  <c r="Q8" i="7" s="1"/>
  <c r="R7" i="7"/>
  <c r="D7" i="3"/>
  <c r="D10" i="2"/>
  <c r="D8" i="3"/>
  <c r="D6" i="2" l="1"/>
  <c r="D9" i="2" l="1"/>
  <c r="D7" i="2" l="1"/>
  <c r="F6" i="1" l="1"/>
  <c r="D6" i="3" l="1"/>
  <c r="T7" i="7" l="1"/>
  <c r="Q7" i="7" s="1"/>
  <c r="D8" i="2" l="1"/>
  <c r="D4" i="3" l="1"/>
  <c r="F9" i="1" l="1"/>
  <c r="F5" i="1" s="1"/>
  <c r="D5" i="2" l="1"/>
  <c r="E7" i="1" l="1"/>
  <c r="R9" i="7"/>
  <c r="T9" i="7"/>
  <c r="D7" i="1" l="1"/>
  <c r="D10" i="1"/>
  <c r="D11" i="1"/>
  <c r="Q9" i="7"/>
  <c r="D5" i="3" l="1"/>
  <c r="B3" i="6" l="1"/>
  <c r="B3" i="1" l="1"/>
  <c r="B2" i="3"/>
  <c r="B2" i="2"/>
  <c r="C11" i="5"/>
  <c r="C9" i="5"/>
  <c r="C6" i="5"/>
  <c r="C10" i="5"/>
  <c r="C8" i="5"/>
  <c r="C7" i="5"/>
  <c r="C5" i="5"/>
  <c r="C8" i="1"/>
  <c r="C11" i="1" l="1"/>
  <c r="E6" i="1"/>
  <c r="E10" i="1"/>
  <c r="E9" i="1" s="1"/>
  <c r="D6" i="1"/>
  <c r="E5" i="1" l="1"/>
  <c r="D9" i="1"/>
  <c r="D5" i="1" s="1"/>
  <c r="C10" i="1"/>
  <c r="C7" i="1"/>
  <c r="C6" i="1"/>
  <c r="C5" i="1" l="1"/>
  <c r="C9" i="1"/>
</calcChain>
</file>

<file path=xl/sharedStrings.xml><?xml version="1.0" encoding="utf-8"?>
<sst xmlns="http://schemas.openxmlformats.org/spreadsheetml/2006/main" count="138" uniqueCount="71">
  <si>
    <t>Depozit portfeli</t>
  </si>
  <si>
    <t xml:space="preserve">  - hüquqi şəxslər</t>
  </si>
  <si>
    <t xml:space="preserve">     - tələbli</t>
  </si>
  <si>
    <t xml:space="preserve">     - müddətli </t>
  </si>
  <si>
    <t xml:space="preserve">  - fiziki şəxslər</t>
  </si>
  <si>
    <t>AZN</t>
  </si>
  <si>
    <t>CƏMİ</t>
  </si>
  <si>
    <t>USD</t>
  </si>
  <si>
    <t>DİGƏR</t>
  </si>
  <si>
    <t>№</t>
  </si>
  <si>
    <t>* - tələbli və müddətli depozitlər cəmləşdirilib qeyd olunmalıdır</t>
  </si>
  <si>
    <t>Banka aidiyyəti 
(hə/yox)</t>
  </si>
  <si>
    <t>Müştərinin adı</t>
  </si>
  <si>
    <t xml:space="preserve">Müştərinin adı </t>
  </si>
  <si>
    <t>Nağd valyuta gətirilməsi 
(planlaşdırılan məbləğ)</t>
  </si>
  <si>
    <t xml:space="preserve">Depozit portfelinin strukturu, min manatla </t>
  </si>
  <si>
    <t xml:space="preserve">Hüquqi şəxslərin ən iri 10 depoziti* barədə MƏLUMAT, 
min manatla </t>
  </si>
  <si>
    <t xml:space="preserve">Fiziki şəxslərin ən iri 10 depoziti* barədə MƏLUMAT , 
min manatla </t>
  </si>
  <si>
    <t xml:space="preserve">Likvid vəsaitlərə dair MƏLUMAT, min manatla </t>
  </si>
  <si>
    <t>EUR</t>
  </si>
  <si>
    <t>1 ildən yuxarı</t>
  </si>
  <si>
    <t xml:space="preserve">1 ilədək </t>
  </si>
  <si>
    <t>Gün ərzində mədaxil</t>
  </si>
  <si>
    <t>Gün ərzində məxaric</t>
  </si>
  <si>
    <t>Günün sonuna</t>
  </si>
  <si>
    <t xml:space="preserve">Cəmi </t>
  </si>
  <si>
    <t>Manat</t>
  </si>
  <si>
    <t>ABŞ dolları</t>
  </si>
  <si>
    <t>Məbləğ</t>
  </si>
  <si>
    <t>Say</t>
  </si>
  <si>
    <t>Fiziki şəxslər</t>
  </si>
  <si>
    <t>Müddətli</t>
  </si>
  <si>
    <t>Tələbli</t>
  </si>
  <si>
    <t>Hüquqi şəxslər</t>
  </si>
  <si>
    <t>Müddətli depozitlər üzrə orta faiz dərəcələrinə dair MƏLUMAT, %</t>
  </si>
  <si>
    <t>*- Gün ərzində manat hesabından ABŞ dolları hesabına miqrasiya olunan depozitlərin məbləği və depozitlərini miqrasiya edən şəxslərin sayı. 
Əgər 1 fiziki və ya hüquqi şəxsin 2 və daha artıq depoziti miqrasiya olubsa, onu fiz. və hüquqi şəxslərin sayına uyğun olaraq qeyd olunmalıdır.</t>
  </si>
  <si>
    <t>Manat hesabından ABŞ dolları hesabına miqrasiya olunan*</t>
  </si>
  <si>
    <t>Banklar üzrə depozitlərin qalıqları barədə MƏLUMAT (gündəlik), min manatla</t>
  </si>
  <si>
    <t>C və Q sütununda olan CƏMİ olan xanalarda ümumi məbləğ manat və ABŞ dollarından əlavə digər valyutalarıda (bütün məbləğ manat ekvivalentində) göstərilməlidir.</t>
  </si>
  <si>
    <t>Xarici valyutalar  üzrə məzənnə dəyişməsi ilə əlaqədar xalis düzəliş (+/-)</t>
  </si>
  <si>
    <t>Günün əvvəlinə qalıq</t>
  </si>
  <si>
    <t>Qeyri-rezident banklarda
nostro hesablarda (blok istisna olmaqla) qalıqlar</t>
  </si>
  <si>
    <t>Rezident banklarda
nostro hesablarda (blok istisna olmaqla) qalıqlar</t>
  </si>
  <si>
    <t>Nağd vəsaitlər</t>
  </si>
  <si>
    <t>Mərkəzi Bankdakı müxbir hesabda (blok istisna olmaqla) qalıqlar</t>
  </si>
  <si>
    <t>Mərkəzi Bankdakı depozitlər</t>
  </si>
  <si>
    <t>Qiymətli kağızlar (Mərkəzi Bank, İpoteka fondu, Maliyyə Nazirliyinin qiymətli kağızları)</t>
  </si>
  <si>
    <t>yox</t>
  </si>
  <si>
    <t>CAMI MMC</t>
  </si>
  <si>
    <t>*</t>
  </si>
  <si>
    <t>BAVILI TABRIZI MAJID ALI</t>
  </si>
  <si>
    <t>CÜMŞÜDOV CABİR SABİR OĞLU</t>
  </si>
  <si>
    <t>ARJMANDİ GOORABZARMAKHİ MOSTAFA</t>
  </si>
  <si>
    <t>R.İ.S.K. ELMİ İSTEHSALAT ŞİRKƏTİ QSC</t>
  </si>
  <si>
    <t>MOBİLE PAYMENTS SYSTEMS MMC</t>
  </si>
  <si>
    <t>XƏZƏR-LADA ASC</t>
  </si>
  <si>
    <t>AZ TURAN JE GROUP MMC</t>
  </si>
  <si>
    <t>AZKRON MMC</t>
  </si>
  <si>
    <t>SEDGHİYANİ FİROUZ HASAN</t>
  </si>
  <si>
    <t>CMT GROUP MMC</t>
  </si>
  <si>
    <t>GENERAL TRADİNG BAKU HOLDİNG MMC</t>
  </si>
  <si>
    <t>MOUSAVİ TAHA ABOLFAZL</t>
  </si>
  <si>
    <t>HOSSEİNCHİ ZOHREH MOHAMMAD HASSAN</t>
  </si>
  <si>
    <t>MOUSAVI AZAR SEYED BEHZAD MIR YAGHOUB</t>
  </si>
  <si>
    <t>SEİFİ AKBAR ASGHAR</t>
  </si>
  <si>
    <t>STAR UNİONS MMC</t>
  </si>
  <si>
    <t xml:space="preserve">AKBARZADEH RAZZAGH FATTAH </t>
  </si>
  <si>
    <t>İ.İ.R-NIN A.R-DAKI SƏFİRLİYİ</t>
  </si>
  <si>
    <t>TAHMASEBİ NAMİN MOHARRAM</t>
  </si>
  <si>
    <t>Tarix: 01.01.2024</t>
  </si>
  <si>
    <t xml:space="preserve"> Tarix: 22.01.2024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</si>
</sst>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_-* #,##0.00_-;\-* #,##0.00_-;_-* &quot;-&quot;??_-;_-@_-"/>
    <numFmt numFmtId="165" formatCode="_-* #,##0.00\ _₽_-;\-* #,##0.00\ _₽_-;_-* &quot;-&quot;??\ _₽_-;_-@_-"/>
    <numFmt numFmtId="166" formatCode="_-* #,##0.00\ _m_a_n_._-;\-* #,##0.00\ _m_a_n_._-;_-* &quot;-&quot;??\ _m_a_n_._-;_-@_-"/>
    <numFmt numFmtId="167" formatCode="_-* #,##0.00_ _-;\-* #,##0.00_ _-;_-* &quot;-&quot;??_ _-;_-@_-"/>
    <numFmt numFmtId="168" formatCode="#,##0_ ;\-#,##0\ "/>
    <numFmt numFmtId="169" formatCode="#,##0.000"/>
    <numFmt numFmtId="170" formatCode="#,##0.00_ ;\-#,##0.00\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indexed="8"/>
      <name val="Palatino Linotype"/>
      <family val="1"/>
    </font>
    <font>
      <b/>
      <sz val="14"/>
      <color indexed="8"/>
      <name val="Palatino Linotype"/>
      <family val="1"/>
    </font>
    <font>
      <u/>
      <sz val="14"/>
      <color indexed="8"/>
      <name val="Palatino Linotype"/>
      <family val="1"/>
    </font>
    <font>
      <b/>
      <sz val="16"/>
      <color indexed="8"/>
      <name val="Palatino Linotype"/>
      <family val="1"/>
    </font>
    <font>
      <sz val="11"/>
      <color indexed="8"/>
      <name val="Palatino Linotype"/>
      <family val="1"/>
    </font>
    <font>
      <b/>
      <sz val="18"/>
      <color indexed="8"/>
      <name val="Palatino Linotype"/>
      <family val="1"/>
    </font>
    <font>
      <b/>
      <sz val="11"/>
      <color indexed="8"/>
      <name val="Palatino Linotype"/>
      <family val="1"/>
    </font>
    <font>
      <sz val="11"/>
      <color indexed="8"/>
      <name val="Calibri"/>
      <family val="2"/>
      <charset val="204"/>
    </font>
    <font>
      <sz val="8"/>
      <name val="Calibri"/>
      <family val="2"/>
    </font>
    <font>
      <sz val="11"/>
      <color indexed="8"/>
      <name val="Calibri"/>
      <family val="2"/>
    </font>
    <font>
      <b/>
      <sz val="14"/>
      <color indexed="8"/>
      <name val="Palatino Linotype"/>
      <family val="1"/>
      <charset val="204"/>
    </font>
    <font>
      <sz val="14"/>
      <color indexed="8"/>
      <name val="Palatino Linotype"/>
      <family val="1"/>
      <charset val="204"/>
    </font>
    <font>
      <sz val="11"/>
      <name val="Palatino Linotype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name val="Arial Cyr"/>
      <charset val="204"/>
    </font>
    <font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8">
    <xf numFmtId="0" fontId="0" fillId="0" borderId="0"/>
    <xf numFmtId="167" fontId="18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0" fontId="23" fillId="0" borderId="0"/>
    <xf numFmtId="0" fontId="22" fillId="0" borderId="0"/>
    <xf numFmtId="9" fontId="23" fillId="0" borderId="0" applyFont="0" applyFill="0" applyBorder="0" applyAlignment="0" applyProtection="0"/>
    <xf numFmtId="0" fontId="26" fillId="0" borderId="0"/>
    <xf numFmtId="0" fontId="22" fillId="0" borderId="0"/>
    <xf numFmtId="167" fontId="18" fillId="0" borderId="0" applyFont="0" applyFill="0" applyBorder="0" applyAlignment="0" applyProtection="0"/>
    <xf numFmtId="43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7" fontId="18" fillId="0" borderId="0" applyFont="0" applyFill="0" applyBorder="0" applyAlignment="0" applyProtection="0"/>
    <xf numFmtId="0" fontId="22" fillId="0" borderId="0"/>
    <xf numFmtId="167" fontId="18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0" borderId="0"/>
    <xf numFmtId="0" fontId="22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9" fillId="0" borderId="0" xfId="0" applyFont="1"/>
    <xf numFmtId="0" fontId="9" fillId="0" borderId="1" xfId="0" applyFont="1" applyBorder="1"/>
    <xf numFmtId="0" fontId="9" fillId="0" borderId="0" xfId="0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vertical="center"/>
    </xf>
    <xf numFmtId="0" fontId="9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/>
    </xf>
    <xf numFmtId="0" fontId="19" fillId="0" borderId="1" xfId="0" applyFont="1" applyBorder="1"/>
    <xf numFmtId="0" fontId="19" fillId="0" borderId="0" xfId="0" applyFont="1"/>
    <xf numFmtId="4" fontId="9" fillId="0" borderId="0" xfId="0" applyNumberFormat="1" applyFont="1"/>
    <xf numFmtId="14" fontId="19" fillId="0" borderId="0" xfId="0" applyNumberFormat="1" applyFont="1"/>
    <xf numFmtId="168" fontId="9" fillId="0" borderId="0" xfId="0" applyNumberFormat="1" applyFont="1"/>
    <xf numFmtId="2" fontId="19" fillId="0" borderId="0" xfId="0" applyNumberFormat="1" applyFont="1"/>
    <xf numFmtId="3" fontId="13" fillId="0" borderId="16" xfId="1" applyNumberFormat="1" applyFont="1" applyBorder="1" applyProtection="1">
      <protection locked="0"/>
    </xf>
    <xf numFmtId="3" fontId="13" fillId="0" borderId="6" xfId="1" applyNumberFormat="1" applyFont="1" applyBorder="1" applyProtection="1">
      <protection locked="0"/>
    </xf>
    <xf numFmtId="3" fontId="13" fillId="0" borderId="6" xfId="0" applyNumberFormat="1" applyFont="1" applyBorder="1" applyProtection="1">
      <protection locked="0"/>
    </xf>
    <xf numFmtId="3" fontId="13" fillId="0" borderId="15" xfId="0" applyNumberFormat="1" applyFont="1" applyBorder="1" applyProtection="1">
      <protection locked="0"/>
    </xf>
    <xf numFmtId="3" fontId="13" fillId="0" borderId="35" xfId="1" applyNumberFormat="1" applyFont="1" applyBorder="1" applyProtection="1">
      <protection locked="0"/>
    </xf>
    <xf numFmtId="3" fontId="21" fillId="0" borderId="13" xfId="0" applyNumberFormat="1" applyFont="1" applyBorder="1" applyProtection="1">
      <protection locked="0"/>
    </xf>
    <xf numFmtId="3" fontId="21" fillId="0" borderId="36" xfId="1" applyNumberFormat="1" applyFont="1" applyBorder="1" applyProtection="1">
      <protection locked="0"/>
    </xf>
    <xf numFmtId="3" fontId="21" fillId="0" borderId="36" xfId="0" applyNumberFormat="1" applyFont="1" applyBorder="1" applyProtection="1">
      <protection locked="0"/>
    </xf>
    <xf numFmtId="3" fontId="13" fillId="0" borderId="13" xfId="1" applyNumberFormat="1" applyFont="1" applyBorder="1" applyProtection="1">
      <protection locked="0"/>
    </xf>
    <xf numFmtId="3" fontId="13" fillId="0" borderId="13" xfId="0" applyNumberFormat="1" applyFont="1" applyBorder="1" applyProtection="1">
      <protection locked="0"/>
    </xf>
    <xf numFmtId="3" fontId="21" fillId="0" borderId="37" xfId="0" applyNumberFormat="1" applyFont="1" applyBorder="1" applyProtection="1">
      <protection locked="0"/>
    </xf>
    <xf numFmtId="169" fontId="13" fillId="0" borderId="33" xfId="0" applyNumberFormat="1" applyFont="1" applyBorder="1" applyProtection="1">
      <protection locked="0"/>
    </xf>
    <xf numFmtId="3" fontId="13" fillId="0" borderId="6" xfId="1" applyNumberFormat="1" applyFont="1" applyBorder="1" applyAlignment="1" applyProtection="1">
      <alignment horizontal="center"/>
      <protection locked="0"/>
    </xf>
    <xf numFmtId="3" fontId="13" fillId="0" borderId="15" xfId="0" applyNumberFormat="1" applyFont="1" applyBorder="1" applyAlignment="1" applyProtection="1">
      <alignment horizontal="center"/>
      <protection locked="0"/>
    </xf>
    <xf numFmtId="3" fontId="13" fillId="0" borderId="11" xfId="1" applyNumberFormat="1" applyFont="1" applyBorder="1" applyProtection="1">
      <protection locked="0"/>
    </xf>
    <xf numFmtId="3" fontId="13" fillId="0" borderId="7" xfId="1" applyNumberFormat="1" applyFont="1" applyBorder="1" applyProtection="1">
      <protection locked="0"/>
    </xf>
    <xf numFmtId="3" fontId="21" fillId="0" borderId="7" xfId="0" applyNumberFormat="1" applyFont="1" applyBorder="1" applyProtection="1">
      <protection locked="0"/>
    </xf>
    <xf numFmtId="3" fontId="21" fillId="0" borderId="7" xfId="1" applyNumberFormat="1" applyFont="1" applyBorder="1" applyProtection="1">
      <protection locked="0"/>
    </xf>
    <xf numFmtId="3" fontId="21" fillId="0" borderId="12" xfId="0" applyNumberFormat="1" applyFont="1" applyBorder="1" applyProtection="1">
      <protection locked="0"/>
    </xf>
    <xf numFmtId="169" fontId="13" fillId="0" borderId="28" xfId="0" applyNumberFormat="1" applyFont="1" applyBorder="1" applyProtection="1">
      <protection locked="0"/>
    </xf>
    <xf numFmtId="3" fontId="13" fillId="0" borderId="7" xfId="0" applyNumberFormat="1" applyFont="1" applyBorder="1" applyProtection="1">
      <protection locked="0"/>
    </xf>
    <xf numFmtId="3" fontId="13" fillId="0" borderId="13" xfId="1" applyNumberFormat="1" applyFont="1" applyBorder="1" applyAlignment="1" applyProtection="1">
      <alignment horizontal="center"/>
      <protection locked="0"/>
    </xf>
    <xf numFmtId="169" fontId="13" fillId="0" borderId="24" xfId="0" applyNumberFormat="1" applyFont="1" applyBorder="1" applyProtection="1">
      <protection locked="0"/>
    </xf>
    <xf numFmtId="3" fontId="13" fillId="0" borderId="6" xfId="1" applyNumberFormat="1" applyFont="1" applyBorder="1" applyAlignment="1" applyProtection="1">
      <alignment horizontal="center" vertical="center"/>
      <protection locked="0"/>
    </xf>
    <xf numFmtId="3" fontId="13" fillId="0" borderId="15" xfId="0" applyNumberFormat="1" applyFont="1" applyBorder="1" applyAlignment="1" applyProtection="1">
      <alignment horizontal="center" vertical="center"/>
      <protection locked="0"/>
    </xf>
    <xf numFmtId="169" fontId="13" fillId="0" borderId="34" xfId="0" applyNumberFormat="1" applyFont="1" applyBorder="1" applyProtection="1">
      <protection locked="0"/>
    </xf>
    <xf numFmtId="3" fontId="13" fillId="0" borderId="19" xfId="1" applyNumberFormat="1" applyFont="1" applyBorder="1" applyAlignment="1" applyProtection="1">
      <alignment horizontal="center"/>
      <protection locked="0"/>
    </xf>
    <xf numFmtId="3" fontId="13" fillId="0" borderId="12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>
      <alignment vertical="center"/>
    </xf>
    <xf numFmtId="2" fontId="10" fillId="3" borderId="1" xfId="1" applyNumberFormat="1" applyFont="1" applyFill="1" applyBorder="1" applyAlignment="1" applyProtection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wrapText="1"/>
    </xf>
    <xf numFmtId="0" fontId="9" fillId="2" borderId="1" xfId="0" applyFont="1" applyFill="1" applyBorder="1"/>
    <xf numFmtId="2" fontId="9" fillId="0" borderId="1" xfId="1" applyNumberFormat="1" applyFont="1" applyBorder="1" applyAlignment="1" applyProtection="1">
      <alignment horizontal="center" vertical="center"/>
      <protection locked="0"/>
    </xf>
    <xf numFmtId="0" fontId="13" fillId="0" borderId="0" xfId="0" applyFont="1"/>
    <xf numFmtId="0" fontId="14" fillId="0" borderId="0" xfId="0" applyFont="1" applyAlignment="1">
      <alignment horizontal="center"/>
    </xf>
    <xf numFmtId="0" fontId="13" fillId="2" borderId="2" xfId="0" applyFont="1" applyFill="1" applyBorder="1" applyAlignment="1">
      <alignment horizontal="center" wrapText="1"/>
    </xf>
    <xf numFmtId="0" fontId="13" fillId="2" borderId="3" xfId="0" applyFont="1" applyFill="1" applyBorder="1" applyAlignment="1">
      <alignment horizontal="center" wrapText="1"/>
    </xf>
    <xf numFmtId="0" fontId="13" fillId="2" borderId="4" xfId="0" applyFont="1" applyFill="1" applyBorder="1" applyAlignment="1">
      <alignment horizontal="center" wrapText="1"/>
    </xf>
    <xf numFmtId="0" fontId="13" fillId="2" borderId="32" xfId="0" applyFont="1" applyFill="1" applyBorder="1" applyAlignment="1">
      <alignment horizontal="center" wrapText="1"/>
    </xf>
    <xf numFmtId="0" fontId="13" fillId="2" borderId="7" xfId="0" applyFont="1" applyFill="1" applyBorder="1" applyAlignment="1">
      <alignment horizontal="center" wrapText="1"/>
    </xf>
    <xf numFmtId="0" fontId="13" fillId="2" borderId="12" xfId="0" applyFont="1" applyFill="1" applyBorder="1" applyAlignment="1">
      <alignment horizontal="center" wrapText="1"/>
    </xf>
    <xf numFmtId="0" fontId="13" fillId="2" borderId="5" xfId="0" applyFont="1" applyFill="1" applyBorder="1" applyAlignment="1">
      <alignment horizontal="center" wrapText="1"/>
    </xf>
    <xf numFmtId="0" fontId="13" fillId="0" borderId="6" xfId="0" applyFont="1" applyBorder="1" applyAlignment="1">
      <alignment vertical="center"/>
    </xf>
    <xf numFmtId="0" fontId="13" fillId="0" borderId="7" xfId="0" applyFont="1" applyBorder="1" applyAlignment="1">
      <alignment vertical="center"/>
    </xf>
    <xf numFmtId="0" fontId="13" fillId="0" borderId="0" xfId="0" applyFont="1" applyAlignment="1">
      <alignment vertical="center"/>
    </xf>
    <xf numFmtId="1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vertical="center"/>
    </xf>
    <xf numFmtId="16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3" fontId="25" fillId="0" borderId="1" xfId="0" applyNumberFormat="1" applyFont="1" applyBorder="1" applyAlignment="1" applyProtection="1">
      <alignment horizontal="center"/>
      <protection locked="0"/>
    </xf>
    <xf numFmtId="170" fontId="9" fillId="0" borderId="1" xfId="1" applyNumberFormat="1" applyFont="1" applyBorder="1" applyAlignment="1" applyProtection="1">
      <alignment horizontal="center" vertical="center"/>
      <protection locked="0"/>
    </xf>
    <xf numFmtId="170" fontId="9" fillId="0" borderId="1" xfId="1" applyNumberFormat="1" applyFont="1" applyBorder="1" applyAlignment="1" applyProtection="1">
      <alignment vertical="center"/>
      <protection locked="0"/>
    </xf>
    <xf numFmtId="167" fontId="13" fillId="0" borderId="6" xfId="1" applyFont="1" applyBorder="1" applyProtection="1">
      <protection locked="0"/>
    </xf>
    <xf numFmtId="167" fontId="13" fillId="0" borderId="7" xfId="1" applyFont="1" applyBorder="1" applyProtection="1">
      <protection locked="0"/>
    </xf>
    <xf numFmtId="0" fontId="24" fillId="0" borderId="1" xfId="22" applyFont="1" applyBorder="1" applyProtection="1">
      <protection locked="0"/>
    </xf>
    <xf numFmtId="170" fontId="9" fillId="0" borderId="1" xfId="1" applyNumberFormat="1" applyFont="1" applyBorder="1" applyAlignment="1" applyProtection="1">
      <alignment horizontal="center"/>
      <protection locked="0"/>
    </xf>
    <xf numFmtId="4" fontId="10" fillId="3" borderId="1" xfId="1" applyNumberFormat="1" applyFont="1" applyFill="1" applyBorder="1" applyAlignment="1" applyProtection="1">
      <alignment horizontal="center"/>
    </xf>
    <xf numFmtId="4" fontId="9" fillId="0" borderId="1" xfId="1" applyNumberFormat="1" applyFont="1" applyBorder="1" applyAlignment="1" applyProtection="1">
      <alignment horizontal="center"/>
      <protection locked="0"/>
    </xf>
    <xf numFmtId="0" fontId="27" fillId="0" borderId="31" xfId="17" applyFont="1" applyBorder="1" applyAlignment="1" applyProtection="1">
      <alignment horizontal="center" vertical="center" wrapText="1" readingOrder="1"/>
      <protection locked="0"/>
    </xf>
    <xf numFmtId="14" fontId="9" fillId="0" borderId="0" xfId="0" applyNumberFormat="1" applyFont="1" applyAlignment="1">
      <alignment horizontal="center"/>
    </xf>
    <xf numFmtId="0" fontId="20" fillId="0" borderId="1" xfId="0" applyFont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4" fontId="9" fillId="0" borderId="0" xfId="1" applyNumberFormat="1" applyFont="1" applyBorder="1" applyAlignment="1" applyProtection="1">
      <alignment horizontal="center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4" fontId="10" fillId="0" borderId="0" xfId="1" applyNumberFormat="1" applyFont="1" applyFill="1" applyBorder="1" applyAlignment="1" applyProtection="1">
      <alignment horizontal="center"/>
    </xf>
    <xf numFmtId="170" fontId="10" fillId="0" borderId="0" xfId="1" applyNumberFormat="1" applyFont="1" applyFill="1" applyBorder="1" applyAlignment="1">
      <alignment horizontal="center"/>
    </xf>
    <xf numFmtId="0" fontId="24" fillId="0" borderId="0" xfId="22" applyFont="1" applyProtection="1">
      <protection locked="0"/>
    </xf>
    <xf numFmtId="170" fontId="9" fillId="0" borderId="0" xfId="1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170" fontId="19" fillId="3" borderId="1" xfId="1" applyNumberFormat="1" applyFont="1" applyFill="1" applyBorder="1" applyAlignment="1" applyProtection="1">
      <alignment horizontal="center"/>
    </xf>
    <xf numFmtId="170" fontId="19" fillId="0" borderId="1" xfId="1" applyNumberFormat="1" applyFont="1" applyBorder="1" applyProtection="1"/>
    <xf numFmtId="170" fontId="10" fillId="3" borderId="1" xfId="1" applyNumberFormat="1" applyFont="1" applyFill="1" applyBorder="1" applyAlignment="1" applyProtection="1">
      <alignment horizontal="center"/>
    </xf>
    <xf numFmtId="170" fontId="20" fillId="0" borderId="1" xfId="1" applyNumberFormat="1" applyFont="1" applyFill="1" applyBorder="1" applyProtection="1">
      <protection locked="0"/>
    </xf>
    <xf numFmtId="170" fontId="9" fillId="0" borderId="1" xfId="1" applyNumberFormat="1" applyFont="1" applyBorder="1" applyProtection="1">
      <protection locked="0"/>
    </xf>
    <xf numFmtId="170" fontId="19" fillId="0" borderId="1" xfId="1" applyNumberFormat="1" applyFont="1" applyFill="1" applyBorder="1" applyProtection="1"/>
    <xf numFmtId="0" fontId="27" fillId="0" borderId="0" xfId="17" applyFont="1" applyAlignment="1" applyProtection="1">
      <alignment horizontal="center" vertical="center" wrapText="1" readingOrder="1"/>
      <protection locked="0"/>
    </xf>
    <xf numFmtId="0" fontId="14" fillId="0" borderId="0" xfId="0" applyFont="1" applyAlignment="1">
      <alignment horizontal="center"/>
    </xf>
    <xf numFmtId="0" fontId="13" fillId="2" borderId="8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13" fillId="2" borderId="9" xfId="0" applyFont="1" applyFill="1" applyBorder="1" applyAlignment="1">
      <alignment horizontal="center"/>
    </xf>
    <xf numFmtId="0" fontId="13" fillId="2" borderId="25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 vertical="center"/>
    </xf>
    <xf numFmtId="0" fontId="15" fillId="2" borderId="18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horizontal="center" vertical="center" wrapText="1"/>
    </xf>
    <xf numFmtId="0" fontId="15" fillId="2" borderId="23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/>
    </xf>
    <xf numFmtId="0" fontId="13" fillId="2" borderId="26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 vertical="center" wrapText="1"/>
    </xf>
    <xf numFmtId="0" fontId="15" fillId="2" borderId="24" xfId="0" applyFont="1" applyFill="1" applyBorder="1" applyAlignment="1">
      <alignment horizontal="center" vertical="center" wrapText="1"/>
    </xf>
    <xf numFmtId="0" fontId="15" fillId="2" borderId="27" xfId="0" applyFont="1" applyFill="1" applyBorder="1" applyAlignment="1">
      <alignment horizontal="center" vertical="center" wrapText="1"/>
    </xf>
    <xf numFmtId="0" fontId="15" fillId="2" borderId="28" xfId="0" applyFont="1" applyFill="1" applyBorder="1" applyAlignment="1">
      <alignment horizontal="center" vertical="center" wrapText="1"/>
    </xf>
    <xf numFmtId="0" fontId="13" fillId="0" borderId="30" xfId="0" applyFont="1" applyBorder="1" applyAlignment="1" applyProtection="1">
      <alignment horizontal="left"/>
      <protection locked="0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13" fillId="2" borderId="29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/>
    </xf>
    <xf numFmtId="0" fontId="13" fillId="0" borderId="8" xfId="0" applyFont="1" applyBorder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15" fillId="2" borderId="25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/>
    </xf>
    <xf numFmtId="0" fontId="9" fillId="0" borderId="20" xfId="0" applyFont="1" applyBorder="1" applyAlignment="1" applyProtection="1">
      <alignment horizontal="center"/>
      <protection locked="0"/>
    </xf>
  </cellXfs>
  <cellStyles count="588">
    <cellStyle name="Comma" xfId="1" builtinId="3"/>
    <cellStyle name="Comma 2" xfId="2"/>
    <cellStyle name="Comma 2 2" xfId="3"/>
    <cellStyle name="Comma 3" xfId="4"/>
    <cellStyle name="Comma 3 10" xfId="396"/>
    <cellStyle name="Comma 3 2" xfId="5"/>
    <cellStyle name="Comma 3 2 2" xfId="13"/>
    <cellStyle name="Comma 3 2 2 2" xfId="25"/>
    <cellStyle name="Comma 3 2 2 2 2" xfId="41"/>
    <cellStyle name="Comma 3 2 2 2 2 2" xfId="73"/>
    <cellStyle name="Comma 3 2 2 2 2 2 2" xfId="137"/>
    <cellStyle name="Comma 3 2 2 2 2 2 2 2" xfId="329"/>
    <cellStyle name="Comma 3 2 2 2 2 2 2 3" xfId="521"/>
    <cellStyle name="Comma 3 2 2 2 2 2 3" xfId="201"/>
    <cellStyle name="Comma 3 2 2 2 2 2 3 2" xfId="393"/>
    <cellStyle name="Comma 3 2 2 2 2 2 3 3" xfId="585"/>
    <cellStyle name="Comma 3 2 2 2 2 2 4" xfId="265"/>
    <cellStyle name="Comma 3 2 2 2 2 2 5" xfId="457"/>
    <cellStyle name="Comma 3 2 2 2 2 3" xfId="105"/>
    <cellStyle name="Comma 3 2 2 2 2 3 2" xfId="297"/>
    <cellStyle name="Comma 3 2 2 2 2 3 3" xfId="489"/>
    <cellStyle name="Comma 3 2 2 2 2 4" xfId="169"/>
    <cellStyle name="Comma 3 2 2 2 2 4 2" xfId="361"/>
    <cellStyle name="Comma 3 2 2 2 2 4 3" xfId="553"/>
    <cellStyle name="Comma 3 2 2 2 2 5" xfId="233"/>
    <cellStyle name="Comma 3 2 2 2 2 6" xfId="425"/>
    <cellStyle name="Comma 3 2 2 2 3" xfId="57"/>
    <cellStyle name="Comma 3 2 2 2 3 2" xfId="121"/>
    <cellStyle name="Comma 3 2 2 2 3 2 2" xfId="313"/>
    <cellStyle name="Comma 3 2 2 2 3 2 3" xfId="505"/>
    <cellStyle name="Comma 3 2 2 2 3 3" xfId="185"/>
    <cellStyle name="Comma 3 2 2 2 3 3 2" xfId="377"/>
    <cellStyle name="Comma 3 2 2 2 3 3 3" xfId="569"/>
    <cellStyle name="Comma 3 2 2 2 3 4" xfId="249"/>
    <cellStyle name="Comma 3 2 2 2 3 5" xfId="441"/>
    <cellStyle name="Comma 3 2 2 2 4" xfId="89"/>
    <cellStyle name="Comma 3 2 2 2 4 2" xfId="281"/>
    <cellStyle name="Comma 3 2 2 2 4 3" xfId="473"/>
    <cellStyle name="Comma 3 2 2 2 5" xfId="153"/>
    <cellStyle name="Comma 3 2 2 2 5 2" xfId="345"/>
    <cellStyle name="Comma 3 2 2 2 5 3" xfId="537"/>
    <cellStyle name="Comma 3 2 2 2 6" xfId="217"/>
    <cellStyle name="Comma 3 2 2 2 7" xfId="409"/>
    <cellStyle name="Comma 3 2 2 3" xfId="33"/>
    <cellStyle name="Comma 3 2 2 3 2" xfId="65"/>
    <cellStyle name="Comma 3 2 2 3 2 2" xfId="129"/>
    <cellStyle name="Comma 3 2 2 3 2 2 2" xfId="321"/>
    <cellStyle name="Comma 3 2 2 3 2 2 3" xfId="513"/>
    <cellStyle name="Comma 3 2 2 3 2 3" xfId="193"/>
    <cellStyle name="Comma 3 2 2 3 2 3 2" xfId="385"/>
    <cellStyle name="Comma 3 2 2 3 2 3 3" xfId="577"/>
    <cellStyle name="Comma 3 2 2 3 2 4" xfId="257"/>
    <cellStyle name="Comma 3 2 2 3 2 5" xfId="449"/>
    <cellStyle name="Comma 3 2 2 3 3" xfId="97"/>
    <cellStyle name="Comma 3 2 2 3 3 2" xfId="289"/>
    <cellStyle name="Comma 3 2 2 3 3 3" xfId="481"/>
    <cellStyle name="Comma 3 2 2 3 4" xfId="161"/>
    <cellStyle name="Comma 3 2 2 3 4 2" xfId="353"/>
    <cellStyle name="Comma 3 2 2 3 4 3" xfId="545"/>
    <cellStyle name="Comma 3 2 2 3 5" xfId="225"/>
    <cellStyle name="Comma 3 2 2 3 6" xfId="417"/>
    <cellStyle name="Comma 3 2 2 4" xfId="49"/>
    <cellStyle name="Comma 3 2 2 4 2" xfId="113"/>
    <cellStyle name="Comma 3 2 2 4 2 2" xfId="305"/>
    <cellStyle name="Comma 3 2 2 4 2 3" xfId="497"/>
    <cellStyle name="Comma 3 2 2 4 3" xfId="177"/>
    <cellStyle name="Comma 3 2 2 4 3 2" xfId="369"/>
    <cellStyle name="Comma 3 2 2 4 3 3" xfId="561"/>
    <cellStyle name="Comma 3 2 2 4 4" xfId="241"/>
    <cellStyle name="Comma 3 2 2 4 5" xfId="433"/>
    <cellStyle name="Comma 3 2 2 5" xfId="81"/>
    <cellStyle name="Comma 3 2 2 5 2" xfId="273"/>
    <cellStyle name="Comma 3 2 2 5 3" xfId="465"/>
    <cellStyle name="Comma 3 2 2 6" xfId="145"/>
    <cellStyle name="Comma 3 2 2 6 2" xfId="337"/>
    <cellStyle name="Comma 3 2 2 6 3" xfId="529"/>
    <cellStyle name="Comma 3 2 2 7" xfId="209"/>
    <cellStyle name="Comma 3 2 2 8" xfId="401"/>
    <cellStyle name="Comma 3 2 3" xfId="20"/>
    <cellStyle name="Comma 3 2 3 2" xfId="37"/>
    <cellStyle name="Comma 3 2 3 2 2" xfId="69"/>
    <cellStyle name="Comma 3 2 3 2 2 2" xfId="133"/>
    <cellStyle name="Comma 3 2 3 2 2 2 2" xfId="325"/>
    <cellStyle name="Comma 3 2 3 2 2 2 3" xfId="517"/>
    <cellStyle name="Comma 3 2 3 2 2 3" xfId="197"/>
    <cellStyle name="Comma 3 2 3 2 2 3 2" xfId="389"/>
    <cellStyle name="Comma 3 2 3 2 2 3 3" xfId="581"/>
    <cellStyle name="Comma 3 2 3 2 2 4" xfId="261"/>
    <cellStyle name="Comma 3 2 3 2 2 5" xfId="453"/>
    <cellStyle name="Comma 3 2 3 2 3" xfId="101"/>
    <cellStyle name="Comma 3 2 3 2 3 2" xfId="293"/>
    <cellStyle name="Comma 3 2 3 2 3 3" xfId="485"/>
    <cellStyle name="Comma 3 2 3 2 4" xfId="165"/>
    <cellStyle name="Comma 3 2 3 2 4 2" xfId="357"/>
    <cellStyle name="Comma 3 2 3 2 4 3" xfId="549"/>
    <cellStyle name="Comma 3 2 3 2 5" xfId="229"/>
    <cellStyle name="Comma 3 2 3 2 6" xfId="421"/>
    <cellStyle name="Comma 3 2 3 3" xfId="53"/>
    <cellStyle name="Comma 3 2 3 3 2" xfId="117"/>
    <cellStyle name="Comma 3 2 3 3 2 2" xfId="309"/>
    <cellStyle name="Comma 3 2 3 3 2 3" xfId="501"/>
    <cellStyle name="Comma 3 2 3 3 3" xfId="181"/>
    <cellStyle name="Comma 3 2 3 3 3 2" xfId="373"/>
    <cellStyle name="Comma 3 2 3 3 3 3" xfId="565"/>
    <cellStyle name="Comma 3 2 3 3 4" xfId="245"/>
    <cellStyle name="Comma 3 2 3 3 5" xfId="437"/>
    <cellStyle name="Comma 3 2 3 4" xfId="85"/>
    <cellStyle name="Comma 3 2 3 4 2" xfId="277"/>
    <cellStyle name="Comma 3 2 3 4 3" xfId="469"/>
    <cellStyle name="Comma 3 2 3 5" xfId="149"/>
    <cellStyle name="Comma 3 2 3 5 2" xfId="341"/>
    <cellStyle name="Comma 3 2 3 5 3" xfId="533"/>
    <cellStyle name="Comma 3 2 3 6" xfId="213"/>
    <cellStyle name="Comma 3 2 3 7" xfId="405"/>
    <cellStyle name="Comma 3 2 4" xfId="29"/>
    <cellStyle name="Comma 3 2 4 2" xfId="61"/>
    <cellStyle name="Comma 3 2 4 2 2" xfId="125"/>
    <cellStyle name="Comma 3 2 4 2 2 2" xfId="317"/>
    <cellStyle name="Comma 3 2 4 2 2 3" xfId="509"/>
    <cellStyle name="Comma 3 2 4 2 3" xfId="189"/>
    <cellStyle name="Comma 3 2 4 2 3 2" xfId="381"/>
    <cellStyle name="Comma 3 2 4 2 3 3" xfId="573"/>
    <cellStyle name="Comma 3 2 4 2 4" xfId="253"/>
    <cellStyle name="Comma 3 2 4 2 5" xfId="445"/>
    <cellStyle name="Comma 3 2 4 3" xfId="93"/>
    <cellStyle name="Comma 3 2 4 3 2" xfId="285"/>
    <cellStyle name="Comma 3 2 4 3 3" xfId="477"/>
    <cellStyle name="Comma 3 2 4 4" xfId="157"/>
    <cellStyle name="Comma 3 2 4 4 2" xfId="349"/>
    <cellStyle name="Comma 3 2 4 4 3" xfId="541"/>
    <cellStyle name="Comma 3 2 4 5" xfId="221"/>
    <cellStyle name="Comma 3 2 4 6" xfId="413"/>
    <cellStyle name="Comma 3 2 5" xfId="45"/>
    <cellStyle name="Comma 3 2 5 2" xfId="109"/>
    <cellStyle name="Comma 3 2 5 2 2" xfId="301"/>
    <cellStyle name="Comma 3 2 5 2 3" xfId="493"/>
    <cellStyle name="Comma 3 2 5 3" xfId="173"/>
    <cellStyle name="Comma 3 2 5 3 2" xfId="365"/>
    <cellStyle name="Comma 3 2 5 3 3" xfId="557"/>
    <cellStyle name="Comma 3 2 5 4" xfId="237"/>
    <cellStyle name="Comma 3 2 5 5" xfId="429"/>
    <cellStyle name="Comma 3 2 6" xfId="77"/>
    <cellStyle name="Comma 3 2 6 2" xfId="269"/>
    <cellStyle name="Comma 3 2 6 3" xfId="461"/>
    <cellStyle name="Comma 3 2 7" xfId="141"/>
    <cellStyle name="Comma 3 2 7 2" xfId="333"/>
    <cellStyle name="Comma 3 2 7 3" xfId="525"/>
    <cellStyle name="Comma 3 2 8" xfId="205"/>
    <cellStyle name="Comma 3 2 9" xfId="397"/>
    <cellStyle name="Comma 3 3" xfId="12"/>
    <cellStyle name="Comma 3 3 2" xfId="24"/>
    <cellStyle name="Comma 3 3 2 2" xfId="40"/>
    <cellStyle name="Comma 3 3 2 2 2" xfId="72"/>
    <cellStyle name="Comma 3 3 2 2 2 2" xfId="136"/>
    <cellStyle name="Comma 3 3 2 2 2 2 2" xfId="328"/>
    <cellStyle name="Comma 3 3 2 2 2 2 3" xfId="520"/>
    <cellStyle name="Comma 3 3 2 2 2 3" xfId="200"/>
    <cellStyle name="Comma 3 3 2 2 2 3 2" xfId="392"/>
    <cellStyle name="Comma 3 3 2 2 2 3 3" xfId="584"/>
    <cellStyle name="Comma 3 3 2 2 2 4" xfId="264"/>
    <cellStyle name="Comma 3 3 2 2 2 5" xfId="456"/>
    <cellStyle name="Comma 3 3 2 2 3" xfId="104"/>
    <cellStyle name="Comma 3 3 2 2 3 2" xfId="296"/>
    <cellStyle name="Comma 3 3 2 2 3 3" xfId="488"/>
    <cellStyle name="Comma 3 3 2 2 4" xfId="168"/>
    <cellStyle name="Comma 3 3 2 2 4 2" xfId="360"/>
    <cellStyle name="Comma 3 3 2 2 4 3" xfId="552"/>
    <cellStyle name="Comma 3 3 2 2 5" xfId="232"/>
    <cellStyle name="Comma 3 3 2 2 6" xfId="424"/>
    <cellStyle name="Comma 3 3 2 3" xfId="56"/>
    <cellStyle name="Comma 3 3 2 3 2" xfId="120"/>
    <cellStyle name="Comma 3 3 2 3 2 2" xfId="312"/>
    <cellStyle name="Comma 3 3 2 3 2 3" xfId="504"/>
    <cellStyle name="Comma 3 3 2 3 3" xfId="184"/>
    <cellStyle name="Comma 3 3 2 3 3 2" xfId="376"/>
    <cellStyle name="Comma 3 3 2 3 3 3" xfId="568"/>
    <cellStyle name="Comma 3 3 2 3 4" xfId="248"/>
    <cellStyle name="Comma 3 3 2 3 5" xfId="440"/>
    <cellStyle name="Comma 3 3 2 4" xfId="88"/>
    <cellStyle name="Comma 3 3 2 4 2" xfId="280"/>
    <cellStyle name="Comma 3 3 2 4 3" xfId="472"/>
    <cellStyle name="Comma 3 3 2 5" xfId="152"/>
    <cellStyle name="Comma 3 3 2 5 2" xfId="344"/>
    <cellStyle name="Comma 3 3 2 5 3" xfId="536"/>
    <cellStyle name="Comma 3 3 2 6" xfId="216"/>
    <cellStyle name="Comma 3 3 2 7" xfId="408"/>
    <cellStyle name="Comma 3 3 3" xfId="32"/>
    <cellStyle name="Comma 3 3 3 2" xfId="64"/>
    <cellStyle name="Comma 3 3 3 2 2" xfId="128"/>
    <cellStyle name="Comma 3 3 3 2 2 2" xfId="320"/>
    <cellStyle name="Comma 3 3 3 2 2 3" xfId="512"/>
    <cellStyle name="Comma 3 3 3 2 3" xfId="192"/>
    <cellStyle name="Comma 3 3 3 2 3 2" xfId="384"/>
    <cellStyle name="Comma 3 3 3 2 3 3" xfId="576"/>
    <cellStyle name="Comma 3 3 3 2 4" xfId="256"/>
    <cellStyle name="Comma 3 3 3 2 5" xfId="448"/>
    <cellStyle name="Comma 3 3 3 3" xfId="96"/>
    <cellStyle name="Comma 3 3 3 3 2" xfId="288"/>
    <cellStyle name="Comma 3 3 3 3 3" xfId="480"/>
    <cellStyle name="Comma 3 3 3 4" xfId="160"/>
    <cellStyle name="Comma 3 3 3 4 2" xfId="352"/>
    <cellStyle name="Comma 3 3 3 4 3" xfId="544"/>
    <cellStyle name="Comma 3 3 3 5" xfId="224"/>
    <cellStyle name="Comma 3 3 3 6" xfId="416"/>
    <cellStyle name="Comma 3 3 4" xfId="48"/>
    <cellStyle name="Comma 3 3 4 2" xfId="112"/>
    <cellStyle name="Comma 3 3 4 2 2" xfId="304"/>
    <cellStyle name="Comma 3 3 4 2 3" xfId="496"/>
    <cellStyle name="Comma 3 3 4 3" xfId="176"/>
    <cellStyle name="Comma 3 3 4 3 2" xfId="368"/>
    <cellStyle name="Comma 3 3 4 3 3" xfId="560"/>
    <cellStyle name="Comma 3 3 4 4" xfId="240"/>
    <cellStyle name="Comma 3 3 4 5" xfId="432"/>
    <cellStyle name="Comma 3 3 5" xfId="80"/>
    <cellStyle name="Comma 3 3 5 2" xfId="272"/>
    <cellStyle name="Comma 3 3 5 3" xfId="464"/>
    <cellStyle name="Comma 3 3 6" xfId="144"/>
    <cellStyle name="Comma 3 3 6 2" xfId="336"/>
    <cellStyle name="Comma 3 3 6 3" xfId="528"/>
    <cellStyle name="Comma 3 3 7" xfId="208"/>
    <cellStyle name="Comma 3 3 8" xfId="400"/>
    <cellStyle name="Comma 3 4" xfId="19"/>
    <cellStyle name="Comma 3 4 2" xfId="36"/>
    <cellStyle name="Comma 3 4 2 2" xfId="68"/>
    <cellStyle name="Comma 3 4 2 2 2" xfId="132"/>
    <cellStyle name="Comma 3 4 2 2 2 2" xfId="324"/>
    <cellStyle name="Comma 3 4 2 2 2 3" xfId="516"/>
    <cellStyle name="Comma 3 4 2 2 3" xfId="196"/>
    <cellStyle name="Comma 3 4 2 2 3 2" xfId="388"/>
    <cellStyle name="Comma 3 4 2 2 3 3" xfId="580"/>
    <cellStyle name="Comma 3 4 2 2 4" xfId="260"/>
    <cellStyle name="Comma 3 4 2 2 5" xfId="452"/>
    <cellStyle name="Comma 3 4 2 3" xfId="100"/>
    <cellStyle name="Comma 3 4 2 3 2" xfId="292"/>
    <cellStyle name="Comma 3 4 2 3 3" xfId="484"/>
    <cellStyle name="Comma 3 4 2 4" xfId="164"/>
    <cellStyle name="Comma 3 4 2 4 2" xfId="356"/>
    <cellStyle name="Comma 3 4 2 4 3" xfId="548"/>
    <cellStyle name="Comma 3 4 2 5" xfId="228"/>
    <cellStyle name="Comma 3 4 2 6" xfId="420"/>
    <cellStyle name="Comma 3 4 3" xfId="52"/>
    <cellStyle name="Comma 3 4 3 2" xfId="116"/>
    <cellStyle name="Comma 3 4 3 2 2" xfId="308"/>
    <cellStyle name="Comma 3 4 3 2 3" xfId="500"/>
    <cellStyle name="Comma 3 4 3 3" xfId="180"/>
    <cellStyle name="Comma 3 4 3 3 2" xfId="372"/>
    <cellStyle name="Comma 3 4 3 3 3" xfId="564"/>
    <cellStyle name="Comma 3 4 3 4" xfId="244"/>
    <cellStyle name="Comma 3 4 3 5" xfId="436"/>
    <cellStyle name="Comma 3 4 4" xfId="84"/>
    <cellStyle name="Comma 3 4 4 2" xfId="276"/>
    <cellStyle name="Comma 3 4 4 3" xfId="468"/>
    <cellStyle name="Comma 3 4 5" xfId="148"/>
    <cellStyle name="Comma 3 4 5 2" xfId="340"/>
    <cellStyle name="Comma 3 4 5 3" xfId="532"/>
    <cellStyle name="Comma 3 4 6" xfId="212"/>
    <cellStyle name="Comma 3 4 7" xfId="404"/>
    <cellStyle name="Comma 3 5" xfId="28"/>
    <cellStyle name="Comma 3 5 2" xfId="60"/>
    <cellStyle name="Comma 3 5 2 2" xfId="124"/>
    <cellStyle name="Comma 3 5 2 2 2" xfId="316"/>
    <cellStyle name="Comma 3 5 2 2 3" xfId="508"/>
    <cellStyle name="Comma 3 5 2 3" xfId="188"/>
    <cellStyle name="Comma 3 5 2 3 2" xfId="380"/>
    <cellStyle name="Comma 3 5 2 3 3" xfId="572"/>
    <cellStyle name="Comma 3 5 2 4" xfId="252"/>
    <cellStyle name="Comma 3 5 2 5" xfId="444"/>
    <cellStyle name="Comma 3 5 3" xfId="92"/>
    <cellStyle name="Comma 3 5 3 2" xfId="284"/>
    <cellStyle name="Comma 3 5 3 3" xfId="476"/>
    <cellStyle name="Comma 3 5 4" xfId="156"/>
    <cellStyle name="Comma 3 5 4 2" xfId="348"/>
    <cellStyle name="Comma 3 5 4 3" xfId="540"/>
    <cellStyle name="Comma 3 5 5" xfId="220"/>
    <cellStyle name="Comma 3 5 6" xfId="412"/>
    <cellStyle name="Comma 3 6" xfId="44"/>
    <cellStyle name="Comma 3 6 2" xfId="108"/>
    <cellStyle name="Comma 3 6 2 2" xfId="300"/>
    <cellStyle name="Comma 3 6 2 3" xfId="492"/>
    <cellStyle name="Comma 3 6 3" xfId="172"/>
    <cellStyle name="Comma 3 6 3 2" xfId="364"/>
    <cellStyle name="Comma 3 6 3 3" xfId="556"/>
    <cellStyle name="Comma 3 6 4" xfId="236"/>
    <cellStyle name="Comma 3 6 5" xfId="428"/>
    <cellStyle name="Comma 3 7" xfId="76"/>
    <cellStyle name="Comma 3 7 2" xfId="268"/>
    <cellStyle name="Comma 3 7 3" xfId="460"/>
    <cellStyle name="Comma 3 8" xfId="140"/>
    <cellStyle name="Comma 3 8 2" xfId="332"/>
    <cellStyle name="Comma 3 8 3" xfId="524"/>
    <cellStyle name="Comma 3 9" xfId="204"/>
    <cellStyle name="Comma 4" xfId="11"/>
    <cellStyle name="Comma 5" xfId="18"/>
    <cellStyle name="Comma 6" xfId="16"/>
    <cellStyle name="Normal" xfId="0" builtinId="0"/>
    <cellStyle name="Normal 2" xfId="6"/>
    <cellStyle name="Normal 2 10" xfId="398"/>
    <cellStyle name="Normal 2 2" xfId="7"/>
    <cellStyle name="Normal 2 3" xfId="14"/>
    <cellStyle name="Normal 2 3 2" xfId="26"/>
    <cellStyle name="Normal 2 3 2 2" xfId="42"/>
    <cellStyle name="Normal 2 3 2 2 2" xfId="74"/>
    <cellStyle name="Normal 2 3 2 2 2 2" xfId="138"/>
    <cellStyle name="Normal 2 3 2 2 2 2 2" xfId="330"/>
    <cellStyle name="Normal 2 3 2 2 2 2 3" xfId="522"/>
    <cellStyle name="Normal 2 3 2 2 2 3" xfId="202"/>
    <cellStyle name="Normal 2 3 2 2 2 3 2" xfId="394"/>
    <cellStyle name="Normal 2 3 2 2 2 3 3" xfId="586"/>
    <cellStyle name="Normal 2 3 2 2 2 4" xfId="266"/>
    <cellStyle name="Normal 2 3 2 2 2 5" xfId="458"/>
    <cellStyle name="Normal 2 3 2 2 3" xfId="106"/>
    <cellStyle name="Normal 2 3 2 2 3 2" xfId="298"/>
    <cellStyle name="Normal 2 3 2 2 3 3" xfId="490"/>
    <cellStyle name="Normal 2 3 2 2 4" xfId="170"/>
    <cellStyle name="Normal 2 3 2 2 4 2" xfId="362"/>
    <cellStyle name="Normal 2 3 2 2 4 3" xfId="554"/>
    <cellStyle name="Normal 2 3 2 2 5" xfId="234"/>
    <cellStyle name="Normal 2 3 2 2 6" xfId="426"/>
    <cellStyle name="Normal 2 3 2 3" xfId="58"/>
    <cellStyle name="Normal 2 3 2 3 2" xfId="122"/>
    <cellStyle name="Normal 2 3 2 3 2 2" xfId="314"/>
    <cellStyle name="Normal 2 3 2 3 2 3" xfId="506"/>
    <cellStyle name="Normal 2 3 2 3 3" xfId="186"/>
    <cellStyle name="Normal 2 3 2 3 3 2" xfId="378"/>
    <cellStyle name="Normal 2 3 2 3 3 3" xfId="570"/>
    <cellStyle name="Normal 2 3 2 3 4" xfId="250"/>
    <cellStyle name="Normal 2 3 2 3 5" xfId="442"/>
    <cellStyle name="Normal 2 3 2 4" xfId="90"/>
    <cellStyle name="Normal 2 3 2 4 2" xfId="282"/>
    <cellStyle name="Normal 2 3 2 4 3" xfId="474"/>
    <cellStyle name="Normal 2 3 2 5" xfId="154"/>
    <cellStyle name="Normal 2 3 2 5 2" xfId="346"/>
    <cellStyle name="Normal 2 3 2 5 3" xfId="538"/>
    <cellStyle name="Normal 2 3 2 6" xfId="218"/>
    <cellStyle name="Normal 2 3 2 7" xfId="410"/>
    <cellStyle name="Normal 2 3 3" xfId="34"/>
    <cellStyle name="Normal 2 3 3 2" xfId="66"/>
    <cellStyle name="Normal 2 3 3 2 2" xfId="130"/>
    <cellStyle name="Normal 2 3 3 2 2 2" xfId="322"/>
    <cellStyle name="Normal 2 3 3 2 2 3" xfId="514"/>
    <cellStyle name="Normal 2 3 3 2 3" xfId="194"/>
    <cellStyle name="Normal 2 3 3 2 3 2" xfId="386"/>
    <cellStyle name="Normal 2 3 3 2 3 3" xfId="578"/>
    <cellStyle name="Normal 2 3 3 2 4" xfId="258"/>
    <cellStyle name="Normal 2 3 3 2 5" xfId="450"/>
    <cellStyle name="Normal 2 3 3 3" xfId="98"/>
    <cellStyle name="Normal 2 3 3 3 2" xfId="290"/>
    <cellStyle name="Normal 2 3 3 3 3" xfId="482"/>
    <cellStyle name="Normal 2 3 3 4" xfId="162"/>
    <cellStyle name="Normal 2 3 3 4 2" xfId="354"/>
    <cellStyle name="Normal 2 3 3 4 3" xfId="546"/>
    <cellStyle name="Normal 2 3 3 5" xfId="226"/>
    <cellStyle name="Normal 2 3 3 6" xfId="418"/>
    <cellStyle name="Normal 2 3 4" xfId="50"/>
    <cellStyle name="Normal 2 3 4 2" xfId="114"/>
    <cellStyle name="Normal 2 3 4 2 2" xfId="306"/>
    <cellStyle name="Normal 2 3 4 2 3" xfId="498"/>
    <cellStyle name="Normal 2 3 4 3" xfId="178"/>
    <cellStyle name="Normal 2 3 4 3 2" xfId="370"/>
    <cellStyle name="Normal 2 3 4 3 3" xfId="562"/>
    <cellStyle name="Normal 2 3 4 4" xfId="242"/>
    <cellStyle name="Normal 2 3 4 5" xfId="434"/>
    <cellStyle name="Normal 2 3 5" xfId="82"/>
    <cellStyle name="Normal 2 3 5 2" xfId="274"/>
    <cellStyle name="Normal 2 3 5 3" xfId="466"/>
    <cellStyle name="Normal 2 3 6" xfId="146"/>
    <cellStyle name="Normal 2 3 6 2" xfId="338"/>
    <cellStyle name="Normal 2 3 6 3" xfId="530"/>
    <cellStyle name="Normal 2 3 7" xfId="210"/>
    <cellStyle name="Normal 2 3 8" xfId="402"/>
    <cellStyle name="Normal 2 4" xfId="21"/>
    <cellStyle name="Normal 2 4 2" xfId="38"/>
    <cellStyle name="Normal 2 4 2 2" xfId="70"/>
    <cellStyle name="Normal 2 4 2 2 2" xfId="134"/>
    <cellStyle name="Normal 2 4 2 2 2 2" xfId="326"/>
    <cellStyle name="Normal 2 4 2 2 2 3" xfId="518"/>
    <cellStyle name="Normal 2 4 2 2 3" xfId="198"/>
    <cellStyle name="Normal 2 4 2 2 3 2" xfId="390"/>
    <cellStyle name="Normal 2 4 2 2 3 3" xfId="582"/>
    <cellStyle name="Normal 2 4 2 2 4" xfId="262"/>
    <cellStyle name="Normal 2 4 2 2 5" xfId="454"/>
    <cellStyle name="Normal 2 4 2 3" xfId="102"/>
    <cellStyle name="Normal 2 4 2 3 2" xfId="294"/>
    <cellStyle name="Normal 2 4 2 3 3" xfId="486"/>
    <cellStyle name="Normal 2 4 2 4" xfId="166"/>
    <cellStyle name="Normal 2 4 2 4 2" xfId="358"/>
    <cellStyle name="Normal 2 4 2 4 3" xfId="550"/>
    <cellStyle name="Normal 2 4 2 5" xfId="230"/>
    <cellStyle name="Normal 2 4 2 6" xfId="422"/>
    <cellStyle name="Normal 2 4 3" xfId="54"/>
    <cellStyle name="Normal 2 4 3 2" xfId="118"/>
    <cellStyle name="Normal 2 4 3 2 2" xfId="310"/>
    <cellStyle name="Normal 2 4 3 2 3" xfId="502"/>
    <cellStyle name="Normal 2 4 3 3" xfId="182"/>
    <cellStyle name="Normal 2 4 3 3 2" xfId="374"/>
    <cellStyle name="Normal 2 4 3 3 3" xfId="566"/>
    <cellStyle name="Normal 2 4 3 4" xfId="246"/>
    <cellStyle name="Normal 2 4 3 5" xfId="438"/>
    <cellStyle name="Normal 2 4 4" xfId="86"/>
    <cellStyle name="Normal 2 4 4 2" xfId="278"/>
    <cellStyle name="Normal 2 4 4 3" xfId="470"/>
    <cellStyle name="Normal 2 4 5" xfId="150"/>
    <cellStyle name="Normal 2 4 5 2" xfId="342"/>
    <cellStyle name="Normal 2 4 5 3" xfId="534"/>
    <cellStyle name="Normal 2 4 6" xfId="214"/>
    <cellStyle name="Normal 2 4 7" xfId="406"/>
    <cellStyle name="Normal 2 5" xfId="30"/>
    <cellStyle name="Normal 2 5 2" xfId="62"/>
    <cellStyle name="Normal 2 5 2 2" xfId="126"/>
    <cellStyle name="Normal 2 5 2 2 2" xfId="318"/>
    <cellStyle name="Normal 2 5 2 2 3" xfId="510"/>
    <cellStyle name="Normal 2 5 2 3" xfId="190"/>
    <cellStyle name="Normal 2 5 2 3 2" xfId="382"/>
    <cellStyle name="Normal 2 5 2 3 3" xfId="574"/>
    <cellStyle name="Normal 2 5 2 4" xfId="254"/>
    <cellStyle name="Normal 2 5 2 5" xfId="446"/>
    <cellStyle name="Normal 2 5 3" xfId="94"/>
    <cellStyle name="Normal 2 5 3 2" xfId="286"/>
    <cellStyle name="Normal 2 5 3 3" xfId="478"/>
    <cellStyle name="Normal 2 5 4" xfId="158"/>
    <cellStyle name="Normal 2 5 4 2" xfId="350"/>
    <cellStyle name="Normal 2 5 4 3" xfId="542"/>
    <cellStyle name="Normal 2 5 5" xfId="222"/>
    <cellStyle name="Normal 2 5 6" xfId="414"/>
    <cellStyle name="Normal 2 6" xfId="46"/>
    <cellStyle name="Normal 2 6 2" xfId="110"/>
    <cellStyle name="Normal 2 6 2 2" xfId="302"/>
    <cellStyle name="Normal 2 6 2 3" xfId="494"/>
    <cellStyle name="Normal 2 6 3" xfId="174"/>
    <cellStyle name="Normal 2 6 3 2" xfId="366"/>
    <cellStyle name="Normal 2 6 3 3" xfId="558"/>
    <cellStyle name="Normal 2 6 4" xfId="238"/>
    <cellStyle name="Normal 2 6 5" xfId="430"/>
    <cellStyle name="Normal 2 7" xfId="78"/>
    <cellStyle name="Normal 2 7 2" xfId="270"/>
    <cellStyle name="Normal 2 7 3" xfId="462"/>
    <cellStyle name="Normal 2 8" xfId="142"/>
    <cellStyle name="Normal 2 8 2" xfId="334"/>
    <cellStyle name="Normal 2 8 3" xfId="526"/>
    <cellStyle name="Normal 2 9" xfId="206"/>
    <cellStyle name="Normal 3" xfId="10"/>
    <cellStyle name="Normal 4" xfId="9"/>
    <cellStyle name="Normal 5" xfId="17"/>
    <cellStyle name="Normal 6" xfId="22"/>
    <cellStyle name="Percent 2" xfId="8"/>
    <cellStyle name="Percent 2 2" xfId="15"/>
    <cellStyle name="Percent 2 2 2" xfId="27"/>
    <cellStyle name="Percent 2 2 2 2" xfId="43"/>
    <cellStyle name="Percent 2 2 2 2 2" xfId="75"/>
    <cellStyle name="Percent 2 2 2 2 2 2" xfId="139"/>
    <cellStyle name="Percent 2 2 2 2 2 2 2" xfId="331"/>
    <cellStyle name="Percent 2 2 2 2 2 2 3" xfId="523"/>
    <cellStyle name="Percent 2 2 2 2 2 3" xfId="203"/>
    <cellStyle name="Percent 2 2 2 2 2 3 2" xfId="395"/>
    <cellStyle name="Percent 2 2 2 2 2 3 3" xfId="587"/>
    <cellStyle name="Percent 2 2 2 2 2 4" xfId="267"/>
    <cellStyle name="Percent 2 2 2 2 2 5" xfId="459"/>
    <cellStyle name="Percent 2 2 2 2 3" xfId="107"/>
    <cellStyle name="Percent 2 2 2 2 3 2" xfId="299"/>
    <cellStyle name="Percent 2 2 2 2 3 3" xfId="491"/>
    <cellStyle name="Percent 2 2 2 2 4" xfId="171"/>
    <cellStyle name="Percent 2 2 2 2 4 2" xfId="363"/>
    <cellStyle name="Percent 2 2 2 2 4 3" xfId="555"/>
    <cellStyle name="Percent 2 2 2 2 5" xfId="235"/>
    <cellStyle name="Percent 2 2 2 2 6" xfId="427"/>
    <cellStyle name="Percent 2 2 2 3" xfId="59"/>
    <cellStyle name="Percent 2 2 2 3 2" xfId="123"/>
    <cellStyle name="Percent 2 2 2 3 2 2" xfId="315"/>
    <cellStyle name="Percent 2 2 2 3 2 3" xfId="507"/>
    <cellStyle name="Percent 2 2 2 3 3" xfId="187"/>
    <cellStyle name="Percent 2 2 2 3 3 2" xfId="379"/>
    <cellStyle name="Percent 2 2 2 3 3 3" xfId="571"/>
    <cellStyle name="Percent 2 2 2 3 4" xfId="251"/>
    <cellStyle name="Percent 2 2 2 3 5" xfId="443"/>
    <cellStyle name="Percent 2 2 2 4" xfId="91"/>
    <cellStyle name="Percent 2 2 2 4 2" xfId="283"/>
    <cellStyle name="Percent 2 2 2 4 3" xfId="475"/>
    <cellStyle name="Percent 2 2 2 5" xfId="155"/>
    <cellStyle name="Percent 2 2 2 5 2" xfId="347"/>
    <cellStyle name="Percent 2 2 2 5 3" xfId="539"/>
    <cellStyle name="Percent 2 2 2 6" xfId="219"/>
    <cellStyle name="Percent 2 2 2 7" xfId="411"/>
    <cellStyle name="Percent 2 2 3" xfId="35"/>
    <cellStyle name="Percent 2 2 3 2" xfId="67"/>
    <cellStyle name="Percent 2 2 3 2 2" xfId="131"/>
    <cellStyle name="Percent 2 2 3 2 2 2" xfId="323"/>
    <cellStyle name="Percent 2 2 3 2 2 3" xfId="515"/>
    <cellStyle name="Percent 2 2 3 2 3" xfId="195"/>
    <cellStyle name="Percent 2 2 3 2 3 2" xfId="387"/>
    <cellStyle name="Percent 2 2 3 2 3 3" xfId="579"/>
    <cellStyle name="Percent 2 2 3 2 4" xfId="259"/>
    <cellStyle name="Percent 2 2 3 2 5" xfId="451"/>
    <cellStyle name="Percent 2 2 3 3" xfId="99"/>
    <cellStyle name="Percent 2 2 3 3 2" xfId="291"/>
    <cellStyle name="Percent 2 2 3 3 3" xfId="483"/>
    <cellStyle name="Percent 2 2 3 4" xfId="163"/>
    <cellStyle name="Percent 2 2 3 4 2" xfId="355"/>
    <cellStyle name="Percent 2 2 3 4 3" xfId="547"/>
    <cellStyle name="Percent 2 2 3 5" xfId="227"/>
    <cellStyle name="Percent 2 2 3 6" xfId="419"/>
    <cellStyle name="Percent 2 2 4" xfId="51"/>
    <cellStyle name="Percent 2 2 4 2" xfId="115"/>
    <cellStyle name="Percent 2 2 4 2 2" xfId="307"/>
    <cellStyle name="Percent 2 2 4 2 3" xfId="499"/>
    <cellStyle name="Percent 2 2 4 3" xfId="179"/>
    <cellStyle name="Percent 2 2 4 3 2" xfId="371"/>
    <cellStyle name="Percent 2 2 4 3 3" xfId="563"/>
    <cellStyle name="Percent 2 2 4 4" xfId="243"/>
    <cellStyle name="Percent 2 2 4 5" xfId="435"/>
    <cellStyle name="Percent 2 2 5" xfId="83"/>
    <cellStyle name="Percent 2 2 5 2" xfId="275"/>
    <cellStyle name="Percent 2 2 5 3" xfId="467"/>
    <cellStyle name="Percent 2 2 6" xfId="147"/>
    <cellStyle name="Percent 2 2 6 2" xfId="339"/>
    <cellStyle name="Percent 2 2 6 3" xfId="531"/>
    <cellStyle name="Percent 2 2 7" xfId="211"/>
    <cellStyle name="Percent 2 2 8" xfId="403"/>
    <cellStyle name="Percent 2 3" xfId="23"/>
    <cellStyle name="Percent 2 3 2" xfId="39"/>
    <cellStyle name="Percent 2 3 2 2" xfId="71"/>
    <cellStyle name="Percent 2 3 2 2 2" xfId="135"/>
    <cellStyle name="Percent 2 3 2 2 2 2" xfId="327"/>
    <cellStyle name="Percent 2 3 2 2 2 3" xfId="519"/>
    <cellStyle name="Percent 2 3 2 2 3" xfId="199"/>
    <cellStyle name="Percent 2 3 2 2 3 2" xfId="391"/>
    <cellStyle name="Percent 2 3 2 2 3 3" xfId="583"/>
    <cellStyle name="Percent 2 3 2 2 4" xfId="263"/>
    <cellStyle name="Percent 2 3 2 2 5" xfId="455"/>
    <cellStyle name="Percent 2 3 2 3" xfId="103"/>
    <cellStyle name="Percent 2 3 2 3 2" xfId="295"/>
    <cellStyle name="Percent 2 3 2 3 3" xfId="487"/>
    <cellStyle name="Percent 2 3 2 4" xfId="167"/>
    <cellStyle name="Percent 2 3 2 4 2" xfId="359"/>
    <cellStyle name="Percent 2 3 2 4 3" xfId="551"/>
    <cellStyle name="Percent 2 3 2 5" xfId="231"/>
    <cellStyle name="Percent 2 3 2 6" xfId="423"/>
    <cellStyle name="Percent 2 3 3" xfId="55"/>
    <cellStyle name="Percent 2 3 3 2" xfId="119"/>
    <cellStyle name="Percent 2 3 3 2 2" xfId="311"/>
    <cellStyle name="Percent 2 3 3 2 3" xfId="503"/>
    <cellStyle name="Percent 2 3 3 3" xfId="183"/>
    <cellStyle name="Percent 2 3 3 3 2" xfId="375"/>
    <cellStyle name="Percent 2 3 3 3 3" xfId="567"/>
    <cellStyle name="Percent 2 3 3 4" xfId="247"/>
    <cellStyle name="Percent 2 3 3 5" xfId="439"/>
    <cellStyle name="Percent 2 3 4" xfId="87"/>
    <cellStyle name="Percent 2 3 4 2" xfId="279"/>
    <cellStyle name="Percent 2 3 4 3" xfId="471"/>
    <cellStyle name="Percent 2 3 5" xfId="151"/>
    <cellStyle name="Percent 2 3 5 2" xfId="343"/>
    <cellStyle name="Percent 2 3 5 3" xfId="535"/>
    <cellStyle name="Percent 2 3 6" xfId="215"/>
    <cellStyle name="Percent 2 3 7" xfId="407"/>
    <cellStyle name="Percent 2 4" xfId="31"/>
    <cellStyle name="Percent 2 4 2" xfId="63"/>
    <cellStyle name="Percent 2 4 2 2" xfId="127"/>
    <cellStyle name="Percent 2 4 2 2 2" xfId="319"/>
    <cellStyle name="Percent 2 4 2 2 3" xfId="511"/>
    <cellStyle name="Percent 2 4 2 3" xfId="191"/>
    <cellStyle name="Percent 2 4 2 3 2" xfId="383"/>
    <cellStyle name="Percent 2 4 2 3 3" xfId="575"/>
    <cellStyle name="Percent 2 4 2 4" xfId="255"/>
    <cellStyle name="Percent 2 4 2 5" xfId="447"/>
    <cellStyle name="Percent 2 4 3" xfId="95"/>
    <cellStyle name="Percent 2 4 3 2" xfId="287"/>
    <cellStyle name="Percent 2 4 3 3" xfId="479"/>
    <cellStyle name="Percent 2 4 4" xfId="159"/>
    <cellStyle name="Percent 2 4 4 2" xfId="351"/>
    <cellStyle name="Percent 2 4 4 3" xfId="543"/>
    <cellStyle name="Percent 2 4 5" xfId="223"/>
    <cellStyle name="Percent 2 4 6" xfId="415"/>
    <cellStyle name="Percent 2 5" xfId="47"/>
    <cellStyle name="Percent 2 5 2" xfId="111"/>
    <cellStyle name="Percent 2 5 2 2" xfId="303"/>
    <cellStyle name="Percent 2 5 2 3" xfId="495"/>
    <cellStyle name="Percent 2 5 3" xfId="175"/>
    <cellStyle name="Percent 2 5 3 2" xfId="367"/>
    <cellStyle name="Percent 2 5 3 3" xfId="559"/>
    <cellStyle name="Percent 2 5 4" xfId="239"/>
    <cellStyle name="Percent 2 5 5" xfId="431"/>
    <cellStyle name="Percent 2 6" xfId="79"/>
    <cellStyle name="Percent 2 6 2" xfId="271"/>
    <cellStyle name="Percent 2 6 3" xfId="463"/>
    <cellStyle name="Percent 2 7" xfId="143"/>
    <cellStyle name="Percent 2 7 2" xfId="335"/>
    <cellStyle name="Percent 2 7 3" xfId="527"/>
    <cellStyle name="Percent 2 8" xfId="207"/>
    <cellStyle name="Percent 2 9" xfId="39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5"/>
  <sheetViews>
    <sheetView view="pageBreakPreview" zoomScaleSheetLayoutView="100" workbookViewId="0">
      <pane xSplit="2" ySplit="6" topLeftCell="G7" activePane="bottomRight" state="frozen"/>
      <selection pane="topRight" activeCell="C1" sqref="C1"/>
      <selection pane="bottomLeft" activeCell="A7" sqref="A7"/>
      <selection pane="bottomRight" activeCell="S7" sqref="S7"/>
    </sheetView>
  </sheetViews>
  <sheetFormatPr defaultRowHeight="16.5" x14ac:dyDescent="0.3"/>
  <cols>
    <col min="1" max="1" width="15" style="50" customWidth="1"/>
    <col min="2" max="2" width="10.7109375" style="50" customWidth="1"/>
    <col min="3" max="3" width="10.42578125" style="50" customWidth="1"/>
    <col min="4" max="4" width="12.140625" style="50" customWidth="1"/>
    <col min="5" max="5" width="10" style="50" customWidth="1"/>
    <col min="6" max="6" width="12.140625" style="50" customWidth="1"/>
    <col min="7" max="7" width="8.42578125" style="50" customWidth="1"/>
    <col min="8" max="8" width="10.5703125" style="50" customWidth="1"/>
    <col min="9" max="9" width="8" style="50" customWidth="1"/>
    <col min="10" max="10" width="12.140625" style="50" customWidth="1"/>
    <col min="11" max="11" width="8" style="50" customWidth="1"/>
    <col min="12" max="12" width="12.140625" style="50" customWidth="1"/>
    <col min="13" max="13" width="7.5703125" style="50" customWidth="1"/>
    <col min="14" max="14" width="10" style="50" customWidth="1"/>
    <col min="15" max="15" width="7.7109375" style="50" customWidth="1"/>
    <col min="16" max="16" width="17.140625" style="50" customWidth="1"/>
    <col min="17" max="17" width="12.140625" style="50" customWidth="1"/>
    <col min="18" max="18" width="12.42578125" style="50" bestFit="1" customWidth="1"/>
    <col min="19" max="19" width="12" style="50" customWidth="1"/>
    <col min="20" max="20" width="12.42578125" style="50" bestFit="1" customWidth="1"/>
    <col min="21" max="21" width="11" style="50" bestFit="1" customWidth="1"/>
    <col min="22" max="22" width="11.42578125" style="50" customWidth="1"/>
    <col min="23" max="23" width="12" style="50" customWidth="1"/>
    <col min="24" max="24" width="9.85546875" style="50" bestFit="1" customWidth="1"/>
    <col min="25" max="16384" width="9.140625" style="50"/>
  </cols>
  <sheetData>
    <row r="1" spans="1:24" ht="13.5" customHeight="1" x14ac:dyDescent="0.45"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</row>
    <row r="2" spans="1:24" ht="36" customHeight="1" x14ac:dyDescent="0.45">
      <c r="A2" s="95" t="s">
        <v>37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51"/>
    </row>
    <row r="3" spans="1:24" ht="18.75" customHeight="1" thickBot="1" x14ac:dyDescent="0.35">
      <c r="A3" s="112" t="s">
        <v>70</v>
      </c>
      <c r="B3" s="112"/>
    </row>
    <row r="4" spans="1:24" ht="47.25" customHeight="1" thickBot="1" x14ac:dyDescent="0.35">
      <c r="A4" s="96"/>
      <c r="B4" s="97"/>
      <c r="C4" s="100" t="s">
        <v>40</v>
      </c>
      <c r="D4" s="101"/>
      <c r="E4" s="101"/>
      <c r="F4" s="101"/>
      <c r="G4" s="102"/>
      <c r="H4" s="100" t="s">
        <v>22</v>
      </c>
      <c r="I4" s="101"/>
      <c r="J4" s="101"/>
      <c r="K4" s="102"/>
      <c r="L4" s="103" t="s">
        <v>23</v>
      </c>
      <c r="M4" s="104"/>
      <c r="N4" s="104"/>
      <c r="O4" s="105"/>
      <c r="P4" s="113" t="s">
        <v>39</v>
      </c>
      <c r="Q4" s="100" t="s">
        <v>24</v>
      </c>
      <c r="R4" s="101"/>
      <c r="S4" s="101"/>
      <c r="T4" s="101"/>
      <c r="U4" s="102"/>
      <c r="V4" s="108" t="s">
        <v>36</v>
      </c>
      <c r="W4" s="109"/>
    </row>
    <row r="5" spans="1:24" ht="24" customHeight="1" x14ac:dyDescent="0.3">
      <c r="A5" s="98"/>
      <c r="B5" s="99"/>
      <c r="C5" s="113" t="s">
        <v>25</v>
      </c>
      <c r="D5" s="117" t="s">
        <v>26</v>
      </c>
      <c r="E5" s="118"/>
      <c r="F5" s="106" t="s">
        <v>27</v>
      </c>
      <c r="G5" s="107"/>
      <c r="H5" s="117" t="s">
        <v>26</v>
      </c>
      <c r="I5" s="118"/>
      <c r="J5" s="106" t="s">
        <v>27</v>
      </c>
      <c r="K5" s="107"/>
      <c r="L5" s="117" t="s">
        <v>26</v>
      </c>
      <c r="M5" s="118"/>
      <c r="N5" s="106" t="s">
        <v>27</v>
      </c>
      <c r="O5" s="107"/>
      <c r="P5" s="114"/>
      <c r="Q5" s="109" t="s">
        <v>25</v>
      </c>
      <c r="R5" s="117" t="s">
        <v>26</v>
      </c>
      <c r="S5" s="118"/>
      <c r="T5" s="106" t="s">
        <v>27</v>
      </c>
      <c r="U5" s="107"/>
      <c r="V5" s="110"/>
      <c r="W5" s="111"/>
    </row>
    <row r="6" spans="1:24" ht="25.5" customHeight="1" thickBot="1" x14ac:dyDescent="0.35">
      <c r="A6" s="98"/>
      <c r="B6" s="99"/>
      <c r="C6" s="114"/>
      <c r="D6" s="52" t="s">
        <v>28</v>
      </c>
      <c r="E6" s="53" t="s">
        <v>29</v>
      </c>
      <c r="F6" s="53" t="s">
        <v>28</v>
      </c>
      <c r="G6" s="54" t="s">
        <v>29</v>
      </c>
      <c r="H6" s="55" t="s">
        <v>28</v>
      </c>
      <c r="I6" s="56" t="s">
        <v>29</v>
      </c>
      <c r="J6" s="56" t="s">
        <v>28</v>
      </c>
      <c r="K6" s="57" t="s">
        <v>29</v>
      </c>
      <c r="L6" s="55" t="s">
        <v>28</v>
      </c>
      <c r="M6" s="56" t="s">
        <v>29</v>
      </c>
      <c r="N6" s="56" t="s">
        <v>28</v>
      </c>
      <c r="O6" s="57" t="s">
        <v>29</v>
      </c>
      <c r="P6" s="114"/>
      <c r="Q6" s="121"/>
      <c r="R6" s="58" t="s">
        <v>28</v>
      </c>
      <c r="S6" s="53" t="s">
        <v>29</v>
      </c>
      <c r="T6" s="56" t="s">
        <v>28</v>
      </c>
      <c r="U6" s="54" t="s">
        <v>29</v>
      </c>
      <c r="V6" s="58" t="s">
        <v>28</v>
      </c>
      <c r="W6" s="54" t="s">
        <v>29</v>
      </c>
    </row>
    <row r="7" spans="1:24" ht="20.25" customHeight="1" thickBot="1" x14ac:dyDescent="0.35">
      <c r="A7" s="119" t="s">
        <v>30</v>
      </c>
      <c r="B7" s="59" t="s">
        <v>31</v>
      </c>
      <c r="C7" s="16"/>
      <c r="D7" s="17"/>
      <c r="E7" s="18"/>
      <c r="F7" s="17"/>
      <c r="G7" s="19"/>
      <c r="H7" s="20"/>
      <c r="I7" s="21"/>
      <c r="J7" s="22"/>
      <c r="K7" s="23"/>
      <c r="L7" s="24"/>
      <c r="M7" s="25"/>
      <c r="N7" s="22"/>
      <c r="O7" s="26"/>
      <c r="P7" s="27"/>
      <c r="Q7" s="71">
        <f>R7+T7</f>
        <v>0</v>
      </c>
      <c r="R7" s="71">
        <f>D7+H7-L7</f>
        <v>0</v>
      </c>
      <c r="S7" s="70">
        <v>0</v>
      </c>
      <c r="T7" s="71">
        <f>F7+J7-N7+P7</f>
        <v>0</v>
      </c>
      <c r="U7" s="70"/>
      <c r="V7" s="28"/>
      <c r="W7" s="29"/>
    </row>
    <row r="8" spans="1:24" ht="20.25" customHeight="1" thickBot="1" x14ac:dyDescent="0.35">
      <c r="A8" s="120"/>
      <c r="B8" s="60" t="s">
        <v>32</v>
      </c>
      <c r="C8" s="30"/>
      <c r="D8" s="31"/>
      <c r="E8" s="32"/>
      <c r="F8" s="33"/>
      <c r="G8" s="34"/>
      <c r="H8" s="31"/>
      <c r="I8" s="36"/>
      <c r="J8" s="31"/>
      <c r="K8" s="34"/>
      <c r="L8" s="31"/>
      <c r="M8" s="34"/>
      <c r="N8" s="31"/>
      <c r="O8" s="34"/>
      <c r="P8" s="35"/>
      <c r="Q8" s="71">
        <f>R8+T8+478.66</f>
        <v>478.66</v>
      </c>
      <c r="R8" s="71">
        <f>D8+H8-L8</f>
        <v>0</v>
      </c>
      <c r="S8" s="71"/>
      <c r="T8" s="71">
        <f>F8+J8-N8+P8</f>
        <v>0</v>
      </c>
      <c r="U8" s="71"/>
      <c r="V8" s="37"/>
      <c r="W8" s="37"/>
    </row>
    <row r="9" spans="1:24" ht="20.25" customHeight="1" thickBot="1" x14ac:dyDescent="0.35">
      <c r="A9" s="119" t="s">
        <v>33</v>
      </c>
      <c r="B9" s="59" t="s">
        <v>31</v>
      </c>
      <c r="C9" s="16"/>
      <c r="D9" s="17"/>
      <c r="E9" s="18"/>
      <c r="F9" s="17"/>
      <c r="G9" s="19"/>
      <c r="H9" s="16"/>
      <c r="I9" s="18"/>
      <c r="J9" s="17"/>
      <c r="K9" s="18"/>
      <c r="L9" s="17"/>
      <c r="M9" s="34"/>
      <c r="N9" s="17"/>
      <c r="O9" s="18"/>
      <c r="P9" s="38"/>
      <c r="Q9" s="71">
        <f>R9+T9</f>
        <v>0</v>
      </c>
      <c r="R9" s="70">
        <f t="shared" ref="R9" si="0">D9+H9-L9</f>
        <v>0</v>
      </c>
      <c r="S9" s="70"/>
      <c r="T9" s="70">
        <f t="shared" ref="T9" si="1">F9+J9-N9+P9</f>
        <v>0</v>
      </c>
      <c r="U9" s="70"/>
      <c r="V9" s="39"/>
      <c r="W9" s="40"/>
    </row>
    <row r="10" spans="1:24" ht="20.25" customHeight="1" thickBot="1" x14ac:dyDescent="0.35">
      <c r="A10" s="120"/>
      <c r="B10" s="60" t="s">
        <v>32</v>
      </c>
      <c r="C10" s="30"/>
      <c r="D10" s="31"/>
      <c r="E10" s="36"/>
      <c r="F10" s="31"/>
      <c r="G10" s="34"/>
      <c r="H10" s="31"/>
      <c r="I10" s="36"/>
      <c r="J10" s="31"/>
      <c r="K10" s="34"/>
      <c r="L10" s="31"/>
      <c r="M10" s="34"/>
      <c r="N10" s="31"/>
      <c r="O10" s="34"/>
      <c r="P10" s="41"/>
      <c r="Q10" s="71">
        <f>R10+T10+39.37</f>
        <v>39.369999999999997</v>
      </c>
      <c r="R10" s="71">
        <f>D10+H10-L10</f>
        <v>0</v>
      </c>
      <c r="S10" s="71"/>
      <c r="T10" s="71">
        <f>F10+J10-N10+P10</f>
        <v>0</v>
      </c>
      <c r="U10" s="71"/>
      <c r="V10" s="42"/>
      <c r="W10" s="43"/>
    </row>
    <row r="12" spans="1:24" s="61" customFormat="1" ht="41.25" customHeight="1" x14ac:dyDescent="0.25">
      <c r="A12" s="115" t="s">
        <v>35</v>
      </c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</row>
    <row r="13" spans="1:24" s="61" customFormat="1" x14ac:dyDescent="0.25">
      <c r="A13" s="61" t="s">
        <v>38</v>
      </c>
      <c r="R13" s="62"/>
      <c r="S13" s="63"/>
      <c r="T13" s="64"/>
    </row>
    <row r="14" spans="1:24" x14ac:dyDescent="0.3">
      <c r="P14" s="61"/>
      <c r="Q14" s="61"/>
      <c r="R14" s="62"/>
      <c r="S14" s="63"/>
      <c r="T14" s="64"/>
      <c r="U14" s="61"/>
      <c r="V14" s="61"/>
    </row>
    <row r="15" spans="1:24" x14ac:dyDescent="0.3">
      <c r="P15" s="61"/>
      <c r="Q15" s="61"/>
      <c r="R15" s="62"/>
      <c r="S15" s="63"/>
      <c r="T15" s="64"/>
      <c r="U15" s="61"/>
      <c r="V15" s="61"/>
    </row>
    <row r="16" spans="1:24" x14ac:dyDescent="0.3">
      <c r="P16" s="61"/>
      <c r="Q16" s="61"/>
      <c r="R16" s="62"/>
      <c r="S16" s="63"/>
      <c r="T16" s="64"/>
      <c r="U16" s="61"/>
      <c r="V16" s="61"/>
    </row>
    <row r="17" spans="1:24" x14ac:dyDescent="0.3">
      <c r="P17" s="61"/>
      <c r="Q17" s="64"/>
      <c r="R17" s="61"/>
      <c r="S17" s="61"/>
      <c r="T17" s="61"/>
    </row>
    <row r="18" spans="1:24" x14ac:dyDescent="0.3">
      <c r="P18" s="61"/>
      <c r="Q18" s="64"/>
      <c r="R18" s="64"/>
    </row>
    <row r="19" spans="1:2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hidden="1" x14ac:dyDescent="0.3"/>
    <row r="21" spans="1:24" hidden="1" x14ac:dyDescent="0.3"/>
    <row r="22" spans="1:24" hidden="1" x14ac:dyDescent="0.3"/>
    <row r="23" spans="1:24" hidden="1" x14ac:dyDescent="0.3"/>
    <row r="24" spans="1:24" hidden="1" x14ac:dyDescent="0.3"/>
    <row r="25" spans="1:24" hidden="1" x14ac:dyDescent="0.3"/>
    <row r="33" spans="4:4" ht="18.75" customHeight="1" x14ac:dyDescent="0.3">
      <c r="D33" s="65"/>
    </row>
    <row r="34" spans="4:4" ht="18.75" customHeight="1" x14ac:dyDescent="0.3"/>
    <row r="35" spans="4:4" ht="18.75" customHeight="1" x14ac:dyDescent="0.3"/>
  </sheetData>
  <sheetProtection sheet="1" objects="1" scenarios="1"/>
  <mergeCells count="22">
    <mergeCell ref="A12:W12"/>
    <mergeCell ref="L5:M5"/>
    <mergeCell ref="R5:S5"/>
    <mergeCell ref="N5:O5"/>
    <mergeCell ref="D5:E5"/>
    <mergeCell ref="A9:A10"/>
    <mergeCell ref="A7:A8"/>
    <mergeCell ref="H5:I5"/>
    <mergeCell ref="Q5:Q6"/>
    <mergeCell ref="P4:P6"/>
    <mergeCell ref="A2:W2"/>
    <mergeCell ref="A4:B6"/>
    <mergeCell ref="C4:G4"/>
    <mergeCell ref="H4:K4"/>
    <mergeCell ref="L4:O4"/>
    <mergeCell ref="T5:U5"/>
    <mergeCell ref="V4:W5"/>
    <mergeCell ref="A3:B3"/>
    <mergeCell ref="J5:K5"/>
    <mergeCell ref="C5:C6"/>
    <mergeCell ref="F5:G5"/>
    <mergeCell ref="Q4:U4"/>
  </mergeCells>
  <phoneticPr fontId="17" type="noConversion"/>
  <pageMargins left="0.31496062992125984" right="0.19685039370078741" top="0.35433070866141736" bottom="0.35433070866141736" header="0.31496062992125984" footer="0.31496062992125984"/>
  <pageSetup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4"/>
  <sheetViews>
    <sheetView view="pageBreakPreview" zoomScaleSheetLayoutView="130" workbookViewId="0">
      <selection activeCell="F10" sqref="F10:F11"/>
    </sheetView>
  </sheetViews>
  <sheetFormatPr defaultRowHeight="21" x14ac:dyDescent="0.4"/>
  <cols>
    <col min="1" max="1" width="8" style="1" customWidth="1"/>
    <col min="2" max="2" width="32.140625" style="1" customWidth="1"/>
    <col min="3" max="4" width="16.42578125" style="1" bestFit="1" customWidth="1"/>
    <col min="5" max="5" width="15.140625" style="1" customWidth="1"/>
    <col min="6" max="6" width="14.28515625" style="1" bestFit="1" customWidth="1"/>
    <col min="7" max="9" width="14.7109375" style="1" customWidth="1"/>
    <col min="10" max="16384" width="9.140625" style="1"/>
  </cols>
  <sheetData>
    <row r="2" spans="1:7" ht="22.5" x14ac:dyDescent="0.4">
      <c r="A2" s="122" t="s">
        <v>15</v>
      </c>
      <c r="B2" s="122"/>
      <c r="C2" s="122"/>
      <c r="D2" s="122"/>
      <c r="E2" s="122"/>
      <c r="F2" s="122"/>
      <c r="G2" s="122"/>
    </row>
    <row r="3" spans="1:7" ht="21.75" thickBot="1" x14ac:dyDescent="0.45">
      <c r="B3" s="112" t="str">
        <f>ESAS!A3</f>
        <v xml:space="preserve"> Tarix: 22.01.2024</v>
      </c>
      <c r="C3" s="112"/>
      <c r="E3" s="123"/>
      <c r="F3" s="123"/>
      <c r="G3" s="4"/>
    </row>
    <row r="4" spans="1:7" s="5" customFormat="1" ht="27" customHeight="1" x14ac:dyDescent="0.25">
      <c r="B4" s="6"/>
      <c r="C4" s="7" t="s">
        <v>6</v>
      </c>
      <c r="D4" s="7" t="s">
        <v>5</v>
      </c>
      <c r="E4" s="7" t="s">
        <v>7</v>
      </c>
      <c r="F4" s="7" t="s">
        <v>8</v>
      </c>
    </row>
    <row r="5" spans="1:7" s="11" customFormat="1" x14ac:dyDescent="0.4">
      <c r="B5" s="10" t="s">
        <v>0</v>
      </c>
      <c r="C5" s="88">
        <f>D5+E5+F5</f>
        <v>0</v>
      </c>
      <c r="D5" s="89">
        <f>D6+D9</f>
        <v>0</v>
      </c>
      <c r="E5" s="89">
        <f>E6+E9</f>
        <v>0</v>
      </c>
      <c r="F5" s="89">
        <f>F6+F9</f>
        <v>0</v>
      </c>
      <c r="G5" s="13"/>
    </row>
    <row r="6" spans="1:7" s="11" customFormat="1" x14ac:dyDescent="0.4">
      <c r="B6" s="10" t="s">
        <v>1</v>
      </c>
      <c r="C6" s="88">
        <f t="shared" ref="C6:C11" si="0">D6+E6+F6</f>
        <v>0</v>
      </c>
      <c r="D6" s="89">
        <f>SUM(D7:D8)</f>
        <v>0</v>
      </c>
      <c r="E6" s="89">
        <f>SUM(E7:E8)</f>
        <v>0</v>
      </c>
      <c r="F6" s="89">
        <f>SUM(F7:F8)</f>
        <v>0</v>
      </c>
      <c r="G6" s="15"/>
    </row>
    <row r="7" spans="1:7" x14ac:dyDescent="0.4">
      <c r="B7" s="2" t="s">
        <v>2</v>
      </c>
      <c r="C7" s="90">
        <f>D7+E7+F7</f>
        <v>0</v>
      </c>
      <c r="D7" s="91">
        <f>ESAS!R10</f>
        <v>0</v>
      </c>
      <c r="E7" s="91">
        <f>ESAS!T10</f>
        <v>0</v>
      </c>
      <c r="F7" s="92"/>
    </row>
    <row r="8" spans="1:7" x14ac:dyDescent="0.4">
      <c r="B8" s="2" t="s">
        <v>3</v>
      </c>
      <c r="C8" s="90">
        <f>D8+E8+F8</f>
        <v>0</v>
      </c>
      <c r="D8" s="91">
        <v>0</v>
      </c>
      <c r="E8" s="91">
        <v>0</v>
      </c>
      <c r="F8" s="92"/>
    </row>
    <row r="9" spans="1:7" s="11" customFormat="1" x14ac:dyDescent="0.4">
      <c r="B9" s="10" t="s">
        <v>4</v>
      </c>
      <c r="C9" s="88">
        <f t="shared" si="0"/>
        <v>0</v>
      </c>
      <c r="D9" s="93">
        <f>SUM(D10:D11)</f>
        <v>0</v>
      </c>
      <c r="E9" s="93">
        <f>SUM(E10:E11)</f>
        <v>0</v>
      </c>
      <c r="F9" s="89">
        <f>SUM(F10:F11)</f>
        <v>0</v>
      </c>
    </row>
    <row r="10" spans="1:7" x14ac:dyDescent="0.4">
      <c r="B10" s="2" t="s">
        <v>2</v>
      </c>
      <c r="C10" s="90">
        <f t="shared" si="0"/>
        <v>0</v>
      </c>
      <c r="D10" s="91">
        <f>ESAS!R8</f>
        <v>0</v>
      </c>
      <c r="E10" s="91">
        <f>ESAS!T8</f>
        <v>0</v>
      </c>
      <c r="F10" s="92"/>
    </row>
    <row r="11" spans="1:7" x14ac:dyDescent="0.4">
      <c r="B11" s="2" t="s">
        <v>3</v>
      </c>
      <c r="C11" s="90">
        <f t="shared" si="0"/>
        <v>0</v>
      </c>
      <c r="D11" s="91">
        <f>ESAS!R7</f>
        <v>0</v>
      </c>
      <c r="E11" s="91">
        <v>0</v>
      </c>
      <c r="F11" s="92"/>
    </row>
    <row r="12" spans="1:7" x14ac:dyDescent="0.4">
      <c r="D12" s="14"/>
    </row>
    <row r="13" spans="1:7" x14ac:dyDescent="0.4">
      <c r="E13" s="12"/>
      <c r="F13" s="12"/>
    </row>
    <row r="14" spans="1:7" x14ac:dyDescent="0.4">
      <c r="E14" s="14"/>
    </row>
  </sheetData>
  <sheetProtection sheet="1" objects="1" scenarios="1"/>
  <mergeCells count="3">
    <mergeCell ref="A2:G2"/>
    <mergeCell ref="E3:F3"/>
    <mergeCell ref="B3:C3"/>
  </mergeCells>
  <phoneticPr fontId="17" type="noConversion"/>
  <pageMargins left="0.7" right="0.7" top="0.75" bottom="0.75" header="0.3" footer="0.3"/>
  <pageSetup paperSize="9" scale="7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3"/>
  <sheetViews>
    <sheetView view="pageBreakPreview" zoomScaleSheetLayoutView="100" workbookViewId="0">
      <selection activeCell="H7" sqref="H7"/>
    </sheetView>
  </sheetViews>
  <sheetFormatPr defaultRowHeight="21" x14ac:dyDescent="0.4"/>
  <cols>
    <col min="1" max="1" width="4.5703125" style="1" customWidth="1"/>
    <col min="2" max="2" width="6.7109375" style="3" customWidth="1"/>
    <col min="3" max="3" width="67.7109375" style="3" customWidth="1"/>
    <col min="4" max="4" width="14.42578125" style="1" customWidth="1"/>
    <col min="5" max="7" width="14.7109375" style="1" customWidth="1"/>
    <col min="8" max="8" width="21.28515625" style="1" customWidth="1"/>
    <col min="9" max="10" width="14.7109375" style="1" customWidth="1"/>
    <col min="11" max="16384" width="9.140625" style="1"/>
  </cols>
  <sheetData>
    <row r="1" spans="1:8" ht="47.25" customHeight="1" x14ac:dyDescent="0.4">
      <c r="A1" s="124" t="s">
        <v>16</v>
      </c>
      <c r="B1" s="125"/>
      <c r="C1" s="125"/>
      <c r="D1" s="125"/>
      <c r="E1" s="125"/>
      <c r="F1" s="125"/>
      <c r="G1" s="125"/>
      <c r="H1" s="125"/>
    </row>
    <row r="2" spans="1:8" ht="21.75" thickBot="1" x14ac:dyDescent="0.45">
      <c r="B2" s="112" t="str">
        <f>ESAS!A3</f>
        <v xml:space="preserve"> Tarix: 22.01.2024</v>
      </c>
      <c r="C2" s="112"/>
      <c r="F2" s="126"/>
      <c r="G2" s="126"/>
    </row>
    <row r="3" spans="1:8" s="5" customFormat="1" ht="58.5" customHeight="1" x14ac:dyDescent="0.25">
      <c r="B3" s="9"/>
      <c r="C3" s="9" t="s">
        <v>12</v>
      </c>
      <c r="D3" s="7" t="s">
        <v>6</v>
      </c>
      <c r="E3" s="7" t="s">
        <v>5</v>
      </c>
      <c r="F3" s="7" t="s">
        <v>7</v>
      </c>
      <c r="G3" s="7" t="s">
        <v>8</v>
      </c>
      <c r="H3" s="8" t="s">
        <v>11</v>
      </c>
    </row>
    <row r="4" spans="1:8" x14ac:dyDescent="0.4">
      <c r="B4" s="78">
        <v>1</v>
      </c>
      <c r="C4" s="76" t="s">
        <v>67</v>
      </c>
      <c r="D4" s="74">
        <f t="shared" ref="D4" si="0">E4+F4+G4</f>
        <v>0</v>
      </c>
      <c r="E4" s="75"/>
      <c r="F4" s="75"/>
      <c r="G4" s="75"/>
      <c r="H4" s="67" t="s">
        <v>47</v>
      </c>
    </row>
    <row r="5" spans="1:8" x14ac:dyDescent="0.4">
      <c r="B5" s="78">
        <v>2</v>
      </c>
      <c r="C5" s="76" t="s">
        <v>53</v>
      </c>
      <c r="D5" s="74">
        <f t="shared" ref="D5" si="1">E5+F5+G5</f>
        <v>0</v>
      </c>
      <c r="E5" s="75"/>
      <c r="F5" s="75"/>
      <c r="G5" s="75"/>
      <c r="H5" s="67" t="s">
        <v>47</v>
      </c>
    </row>
    <row r="6" spans="1:8" x14ac:dyDescent="0.4">
      <c r="B6" s="78">
        <v>3</v>
      </c>
      <c r="C6" s="76" t="s">
        <v>54</v>
      </c>
      <c r="D6" s="74">
        <f>E6+F6+G6</f>
        <v>0</v>
      </c>
      <c r="E6" s="75"/>
      <c r="F6" s="75"/>
      <c r="G6" s="75"/>
      <c r="H6" s="67" t="s">
        <v>47</v>
      </c>
    </row>
    <row r="7" spans="1:8" ht="22.5" customHeight="1" x14ac:dyDescent="0.4">
      <c r="B7" s="78">
        <v>4</v>
      </c>
      <c r="C7" s="76" t="s">
        <v>48</v>
      </c>
      <c r="D7" s="74">
        <f>E7+F7+G7</f>
        <v>0</v>
      </c>
      <c r="E7" s="75"/>
      <c r="F7" s="75"/>
      <c r="G7" s="75"/>
      <c r="H7" s="67" t="s">
        <v>47</v>
      </c>
    </row>
    <row r="8" spans="1:8" x14ac:dyDescent="0.4">
      <c r="B8" s="78">
        <v>5</v>
      </c>
      <c r="C8" s="76" t="s">
        <v>55</v>
      </c>
      <c r="D8" s="74">
        <f t="shared" ref="D8:D9" si="2">E8+F8+G8</f>
        <v>0</v>
      </c>
      <c r="E8" s="75"/>
      <c r="F8" s="75"/>
      <c r="G8" s="75"/>
      <c r="H8" s="67" t="s">
        <v>47</v>
      </c>
    </row>
    <row r="9" spans="1:8" x14ac:dyDescent="0.4">
      <c r="B9" s="78">
        <v>6</v>
      </c>
      <c r="C9" s="76" t="s">
        <v>56</v>
      </c>
      <c r="D9" s="74">
        <f t="shared" si="2"/>
        <v>0</v>
      </c>
      <c r="E9" s="75"/>
      <c r="F9" s="75"/>
      <c r="G9" s="75"/>
      <c r="H9" s="67" t="s">
        <v>47</v>
      </c>
    </row>
    <row r="10" spans="1:8" ht="22.5" customHeight="1" x14ac:dyDescent="0.4">
      <c r="B10" s="78">
        <v>7</v>
      </c>
      <c r="C10" s="76" t="s">
        <v>57</v>
      </c>
      <c r="D10" s="74">
        <f>E10+F10+G10</f>
        <v>0</v>
      </c>
      <c r="E10" s="75"/>
      <c r="F10" s="75"/>
      <c r="G10" s="75"/>
      <c r="H10" s="67" t="s">
        <v>47</v>
      </c>
    </row>
    <row r="11" spans="1:8" ht="22.5" customHeight="1" x14ac:dyDescent="0.4">
      <c r="B11" s="78">
        <v>8</v>
      </c>
      <c r="C11" s="76" t="s">
        <v>59</v>
      </c>
      <c r="D11" s="74">
        <f t="shared" ref="D11:D12" si="3">E11+F11+G11</f>
        <v>0</v>
      </c>
      <c r="E11" s="75"/>
      <c r="F11" s="75"/>
      <c r="G11" s="75"/>
      <c r="H11" s="67" t="s">
        <v>47</v>
      </c>
    </row>
    <row r="12" spans="1:8" ht="22.5" customHeight="1" x14ac:dyDescent="0.4">
      <c r="B12" s="78">
        <v>9</v>
      </c>
      <c r="C12" s="76" t="s">
        <v>60</v>
      </c>
      <c r="D12" s="74">
        <f t="shared" si="3"/>
        <v>0</v>
      </c>
      <c r="E12" s="75"/>
      <c r="F12" s="75"/>
      <c r="G12" s="75"/>
      <c r="H12" s="67" t="s">
        <v>47</v>
      </c>
    </row>
    <row r="13" spans="1:8" ht="22.5" customHeight="1" x14ac:dyDescent="0.4">
      <c r="B13" s="78">
        <v>10</v>
      </c>
      <c r="C13" s="76" t="s">
        <v>65</v>
      </c>
      <c r="D13" s="74">
        <f t="shared" ref="D13" si="4">E13+F13+G13</f>
        <v>0</v>
      </c>
      <c r="E13" s="75"/>
      <c r="F13" s="75"/>
      <c r="G13" s="75"/>
      <c r="H13" s="67" t="s">
        <v>47</v>
      </c>
    </row>
    <row r="14" spans="1:8" x14ac:dyDescent="0.4">
      <c r="B14" s="80"/>
      <c r="C14" s="94"/>
      <c r="D14" s="83"/>
      <c r="E14" s="81"/>
      <c r="F14" s="81"/>
      <c r="G14" s="81"/>
      <c r="H14" s="82"/>
    </row>
    <row r="15" spans="1:8" ht="21.75" customHeight="1" x14ac:dyDescent="0.4">
      <c r="B15" s="80"/>
      <c r="C15" s="3" t="s">
        <v>10</v>
      </c>
      <c r="D15" s="83"/>
      <c r="E15" s="81"/>
      <c r="F15" s="81"/>
      <c r="G15" s="81"/>
      <c r="H15" s="82"/>
    </row>
    <row r="28" spans="1:1" x14ac:dyDescent="0.4">
      <c r="A28" s="1" t="s">
        <v>49</v>
      </c>
    </row>
    <row r="480" spans="3:3" x14ac:dyDescent="0.4">
      <c r="C480" s="1"/>
    </row>
    <row r="481" spans="2:3" x14ac:dyDescent="0.4">
      <c r="B481" s="77"/>
      <c r="C481" s="1"/>
    </row>
    <row r="482" spans="2:3" x14ac:dyDescent="0.4">
      <c r="B482" s="77"/>
      <c r="C482" s="1"/>
    </row>
    <row r="483" spans="2:3" x14ac:dyDescent="0.4">
      <c r="B483" s="77"/>
    </row>
  </sheetData>
  <sheetProtection sheet="1" objects="1" scenarios="1"/>
  <mergeCells count="3">
    <mergeCell ref="A1:H1"/>
    <mergeCell ref="F2:G2"/>
    <mergeCell ref="B2:C2"/>
  </mergeCells>
  <phoneticPr fontId="17" type="noConversion"/>
  <pageMargins left="0.7" right="0.7" top="0.75" bottom="0.75" header="0.3" footer="0.3"/>
  <pageSetup paperSize="9" scale="5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5"/>
  <sheetViews>
    <sheetView view="pageBreakPreview" zoomScaleSheetLayoutView="100" workbookViewId="0">
      <selection activeCell="E4" sqref="E4:G13"/>
    </sheetView>
  </sheetViews>
  <sheetFormatPr defaultRowHeight="21" x14ac:dyDescent="0.4"/>
  <cols>
    <col min="1" max="1" width="3.7109375" style="1" customWidth="1"/>
    <col min="2" max="2" width="6.7109375" style="3" customWidth="1"/>
    <col min="3" max="3" width="52.28515625" style="3" customWidth="1"/>
    <col min="4" max="4" width="14.42578125" style="1" customWidth="1"/>
    <col min="5" max="7" width="14.7109375" style="1" customWidth="1"/>
    <col min="8" max="8" width="21.85546875" style="1" bestFit="1" customWidth="1"/>
    <col min="9" max="10" width="14.7109375" style="1" customWidth="1"/>
    <col min="11" max="16384" width="9.140625" style="1"/>
  </cols>
  <sheetData>
    <row r="1" spans="1:8" ht="47.25" customHeight="1" x14ac:dyDescent="0.4">
      <c r="A1" s="124" t="s">
        <v>17</v>
      </c>
      <c r="B1" s="125"/>
      <c r="C1" s="125"/>
      <c r="D1" s="125"/>
      <c r="E1" s="125"/>
      <c r="F1" s="125"/>
      <c r="G1" s="125"/>
      <c r="H1" s="125"/>
    </row>
    <row r="2" spans="1:8" ht="21.75" thickBot="1" x14ac:dyDescent="0.45">
      <c r="B2" s="112" t="str">
        <f>ESAS!A3</f>
        <v xml:space="preserve"> Tarix: 22.01.2024</v>
      </c>
      <c r="C2" s="112"/>
      <c r="F2" s="126"/>
      <c r="G2" s="126"/>
    </row>
    <row r="3" spans="1:8" s="5" customFormat="1" ht="42" customHeight="1" x14ac:dyDescent="0.25">
      <c r="B3" s="9" t="s">
        <v>9</v>
      </c>
      <c r="C3" s="9" t="s">
        <v>13</v>
      </c>
      <c r="D3" s="7" t="s">
        <v>6</v>
      </c>
      <c r="E3" s="7" t="s">
        <v>5</v>
      </c>
      <c r="F3" s="7" t="s">
        <v>7</v>
      </c>
      <c r="G3" s="7" t="s">
        <v>8</v>
      </c>
      <c r="H3" s="8" t="s">
        <v>11</v>
      </c>
    </row>
    <row r="4" spans="1:8" x14ac:dyDescent="0.4">
      <c r="B4" s="78">
        <v>1</v>
      </c>
      <c r="C4" s="72" t="s">
        <v>51</v>
      </c>
      <c r="D4" s="79">
        <f>E4+F4+G4</f>
        <v>0</v>
      </c>
      <c r="E4" s="73"/>
      <c r="F4" s="73"/>
      <c r="G4" s="73"/>
      <c r="H4" s="66" t="s">
        <v>47</v>
      </c>
    </row>
    <row r="5" spans="1:8" x14ac:dyDescent="0.4">
      <c r="B5" s="78">
        <v>2</v>
      </c>
      <c r="C5" s="72" t="s">
        <v>50</v>
      </c>
      <c r="D5" s="79">
        <f t="shared" ref="D5" si="0">E5+F5+G5</f>
        <v>0</v>
      </c>
      <c r="E5" s="73"/>
      <c r="F5" s="73"/>
      <c r="G5" s="73"/>
      <c r="H5" s="66" t="s">
        <v>47</v>
      </c>
    </row>
    <row r="6" spans="1:8" x14ac:dyDescent="0.4">
      <c r="B6" s="78">
        <v>3</v>
      </c>
      <c r="C6" s="72" t="s">
        <v>52</v>
      </c>
      <c r="D6" s="79">
        <f t="shared" ref="D6" si="1">E6+F6+G6</f>
        <v>0</v>
      </c>
      <c r="E6" s="73"/>
      <c r="F6" s="73"/>
      <c r="G6" s="73"/>
      <c r="H6" s="66" t="s">
        <v>47</v>
      </c>
    </row>
    <row r="7" spans="1:8" x14ac:dyDescent="0.4">
      <c r="B7" s="78">
        <v>4</v>
      </c>
      <c r="C7" s="72" t="s">
        <v>58</v>
      </c>
      <c r="D7" s="79">
        <f t="shared" ref="D7:D12" si="2">E7+F7+G7</f>
        <v>0</v>
      </c>
      <c r="E7" s="73"/>
      <c r="F7" s="73"/>
      <c r="G7" s="73"/>
      <c r="H7" s="66" t="s">
        <v>47</v>
      </c>
    </row>
    <row r="8" spans="1:8" x14ac:dyDescent="0.4">
      <c r="B8" s="78">
        <v>5</v>
      </c>
      <c r="C8" s="72" t="s">
        <v>61</v>
      </c>
      <c r="D8" s="79">
        <f t="shared" si="2"/>
        <v>0</v>
      </c>
      <c r="E8" s="73"/>
      <c r="F8" s="73"/>
      <c r="G8" s="73"/>
      <c r="H8" s="66" t="s">
        <v>47</v>
      </c>
    </row>
    <row r="9" spans="1:8" x14ac:dyDescent="0.4">
      <c r="B9" s="78">
        <v>6</v>
      </c>
      <c r="C9" s="72" t="s">
        <v>62</v>
      </c>
      <c r="D9" s="79">
        <f t="shared" si="2"/>
        <v>0</v>
      </c>
      <c r="E9" s="73"/>
      <c r="F9" s="73"/>
      <c r="G9" s="73"/>
      <c r="H9" s="66" t="s">
        <v>47</v>
      </c>
    </row>
    <row r="10" spans="1:8" x14ac:dyDescent="0.4">
      <c r="B10" s="78">
        <v>7</v>
      </c>
      <c r="C10" s="72" t="s">
        <v>63</v>
      </c>
      <c r="D10" s="79">
        <f t="shared" si="2"/>
        <v>0</v>
      </c>
      <c r="E10" s="73"/>
      <c r="F10" s="73"/>
      <c r="G10" s="73"/>
      <c r="H10" s="66" t="s">
        <v>47</v>
      </c>
    </row>
    <row r="11" spans="1:8" x14ac:dyDescent="0.4">
      <c r="B11" s="78">
        <v>8</v>
      </c>
      <c r="C11" s="72" t="s">
        <v>64</v>
      </c>
      <c r="D11" s="79">
        <f t="shared" si="2"/>
        <v>0</v>
      </c>
      <c r="E11" s="73"/>
      <c r="F11" s="73"/>
      <c r="G11" s="73"/>
      <c r="H11" s="66" t="s">
        <v>47</v>
      </c>
    </row>
    <row r="12" spans="1:8" x14ac:dyDescent="0.4">
      <c r="B12" s="78">
        <v>9</v>
      </c>
      <c r="C12" s="72" t="s">
        <v>66</v>
      </c>
      <c r="D12" s="79">
        <f t="shared" si="2"/>
        <v>0</v>
      </c>
      <c r="E12" s="73"/>
      <c r="F12" s="73"/>
      <c r="G12" s="73"/>
      <c r="H12" s="66" t="s">
        <v>47</v>
      </c>
    </row>
    <row r="13" spans="1:8" x14ac:dyDescent="0.4">
      <c r="B13" s="78">
        <v>10</v>
      </c>
      <c r="C13" s="72" t="s">
        <v>68</v>
      </c>
      <c r="D13" s="79">
        <f t="shared" ref="D13" si="3">E13+F13+G13</f>
        <v>0</v>
      </c>
      <c r="E13" s="73"/>
      <c r="F13" s="73"/>
      <c r="G13" s="73"/>
      <c r="H13" s="66" t="s">
        <v>47</v>
      </c>
    </row>
    <row r="14" spans="1:8" x14ac:dyDescent="0.4">
      <c r="B14" s="80"/>
      <c r="C14" s="85"/>
      <c r="D14" s="84"/>
      <c r="E14" s="86"/>
      <c r="F14" s="86"/>
      <c r="G14" s="86"/>
      <c r="H14" s="87"/>
    </row>
    <row r="15" spans="1:8" x14ac:dyDescent="0.4">
      <c r="C15" s="3" t="s">
        <v>10</v>
      </c>
    </row>
  </sheetData>
  <sheetProtection sheet="1" objects="1" scenarios="1"/>
  <mergeCells count="3">
    <mergeCell ref="A1:H1"/>
    <mergeCell ref="F2:G2"/>
    <mergeCell ref="B2:C2"/>
  </mergeCells>
  <phoneticPr fontId="17" type="noConversion"/>
  <pageMargins left="0.7" right="0.7" top="0.75" bottom="0.75" header="0.3" footer="0.3"/>
  <pageSetup paperSize="9" scale="5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11"/>
  <sheetViews>
    <sheetView view="pageBreakPreview" zoomScaleSheetLayoutView="130" workbookViewId="0">
      <selection activeCell="E5" sqref="E5"/>
    </sheetView>
  </sheetViews>
  <sheetFormatPr defaultRowHeight="21" x14ac:dyDescent="0.4"/>
  <cols>
    <col min="1" max="1" width="8" style="1" customWidth="1"/>
    <col min="2" max="2" width="56.85546875" style="1" customWidth="1"/>
    <col min="3" max="3" width="17.5703125" style="1" customWidth="1"/>
    <col min="4" max="6" width="23.5703125" style="1" customWidth="1"/>
    <col min="7" max="9" width="14.7109375" style="1" customWidth="1"/>
    <col min="10" max="16384" width="9.140625" style="1"/>
  </cols>
  <sheetData>
    <row r="2" spans="1:7" ht="22.5" x14ac:dyDescent="0.4">
      <c r="A2" s="122" t="s">
        <v>18</v>
      </c>
      <c r="B2" s="122"/>
      <c r="C2" s="122"/>
      <c r="D2" s="122"/>
      <c r="E2" s="122"/>
      <c r="F2" s="122"/>
      <c r="G2" s="122"/>
    </row>
    <row r="3" spans="1:7" ht="21.75" thickBot="1" x14ac:dyDescent="0.45">
      <c r="B3" s="112" t="str">
        <f>ESAS!A3</f>
        <v xml:space="preserve"> Tarix: 22.01.2024</v>
      </c>
      <c r="C3" s="112"/>
      <c r="E3" s="126"/>
      <c r="F3" s="126"/>
      <c r="G3" s="4"/>
    </row>
    <row r="4" spans="1:7" ht="27" customHeight="1" x14ac:dyDescent="0.4">
      <c r="B4" s="48"/>
      <c r="C4" s="7" t="s">
        <v>6</v>
      </c>
      <c r="D4" s="7" t="s">
        <v>5</v>
      </c>
      <c r="E4" s="7" t="s">
        <v>7</v>
      </c>
      <c r="F4" s="7" t="s">
        <v>8</v>
      </c>
    </row>
    <row r="5" spans="1:7" s="5" customFormat="1" ht="27" customHeight="1" x14ac:dyDescent="0.25">
      <c r="B5" s="46" t="s">
        <v>43</v>
      </c>
      <c r="C5" s="45">
        <f>SUM(D5:F5)</f>
        <v>0</v>
      </c>
      <c r="D5" s="49"/>
      <c r="E5" s="49"/>
      <c r="F5" s="49"/>
    </row>
    <row r="6" spans="1:7" ht="42" x14ac:dyDescent="0.4">
      <c r="B6" s="47" t="s">
        <v>14</v>
      </c>
      <c r="C6" s="45">
        <f>SUM(D6:F6)</f>
        <v>0</v>
      </c>
      <c r="D6" s="49"/>
      <c r="E6" s="49"/>
      <c r="F6" s="49"/>
    </row>
    <row r="7" spans="1:7" s="5" customFormat="1" ht="62.25" customHeight="1" x14ac:dyDescent="0.25">
      <c r="B7" s="46" t="s">
        <v>41</v>
      </c>
      <c r="C7" s="45">
        <f>SUM(D7:F7)</f>
        <v>0</v>
      </c>
      <c r="D7" s="49"/>
      <c r="E7" s="49"/>
      <c r="F7" s="49"/>
    </row>
    <row r="8" spans="1:7" ht="63" x14ac:dyDescent="0.4">
      <c r="B8" s="46" t="s">
        <v>42</v>
      </c>
      <c r="C8" s="45">
        <f>SUM(D8:F8)</f>
        <v>0</v>
      </c>
      <c r="D8" s="49"/>
      <c r="E8" s="49"/>
      <c r="F8" s="49"/>
    </row>
    <row r="9" spans="1:7" ht="42" x14ac:dyDescent="0.4">
      <c r="B9" s="47" t="s">
        <v>44</v>
      </c>
      <c r="C9" s="45">
        <f>SUM(D9:F9)</f>
        <v>0</v>
      </c>
      <c r="D9" s="49"/>
      <c r="E9" s="49"/>
      <c r="F9" s="49"/>
    </row>
    <row r="10" spans="1:7" ht="46.5" customHeight="1" x14ac:dyDescent="0.4">
      <c r="B10" s="47" t="s">
        <v>46</v>
      </c>
      <c r="C10" s="45">
        <f t="shared" ref="C10" si="0">SUM(D10:F10)</f>
        <v>0</v>
      </c>
      <c r="D10" s="49"/>
      <c r="E10" s="49"/>
      <c r="F10" s="49"/>
    </row>
    <row r="11" spans="1:7" x14ac:dyDescent="0.4">
      <c r="B11" s="47" t="s">
        <v>45</v>
      </c>
      <c r="C11" s="45">
        <f t="shared" ref="C11" si="1">SUM(D11:F11)</f>
        <v>0</v>
      </c>
      <c r="D11" s="49"/>
      <c r="E11" s="49"/>
      <c r="F11" s="49"/>
    </row>
  </sheetData>
  <sheetProtection sheet="1" objects="1" scenarios="1"/>
  <mergeCells count="3">
    <mergeCell ref="A2:G2"/>
    <mergeCell ref="E3:F3"/>
    <mergeCell ref="B3:C3"/>
  </mergeCells>
  <phoneticPr fontId="17" type="noConversion"/>
  <pageMargins left="0.7" right="0.7" top="0.75" bottom="0.75" header="0.3" footer="0.3"/>
  <pageSetup paperSize="9" scale="5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tabSelected="1" view="pageBreakPreview" zoomScaleSheetLayoutView="100" workbookViewId="0">
      <selection activeCell="E11" sqref="E11"/>
    </sheetView>
  </sheetViews>
  <sheetFormatPr defaultRowHeight="21" x14ac:dyDescent="0.4"/>
  <cols>
    <col min="1" max="1" width="8" style="1" customWidth="1"/>
    <col min="2" max="2" width="32.140625" style="1" customWidth="1"/>
    <col min="3" max="8" width="14.7109375" style="1" customWidth="1"/>
    <col min="9" max="16384" width="9.140625" style="1"/>
  </cols>
  <sheetData>
    <row r="1" spans="1:6" ht="16.5" customHeight="1" x14ac:dyDescent="0.4"/>
    <row r="2" spans="1:6" ht="34.5" customHeight="1" x14ac:dyDescent="0.4">
      <c r="A2" s="124" t="s">
        <v>34</v>
      </c>
      <c r="B2" s="125"/>
      <c r="C2" s="125"/>
      <c r="D2" s="125"/>
      <c r="E2" s="125"/>
      <c r="F2" s="125"/>
    </row>
    <row r="3" spans="1:6" x14ac:dyDescent="0.4">
      <c r="B3" s="127" t="str">
        <f>ESAS!A3</f>
        <v xml:space="preserve"> Tarix: 22.01.2024</v>
      </c>
      <c r="C3" s="127"/>
      <c r="D3" s="127"/>
      <c r="E3" s="127"/>
      <c r="F3" s="4"/>
    </row>
    <row r="4" spans="1:6" ht="27" customHeight="1" x14ac:dyDescent="0.4">
      <c r="B4" s="48"/>
      <c r="C4" s="7" t="s">
        <v>5</v>
      </c>
      <c r="D4" s="7" t="s">
        <v>7</v>
      </c>
      <c r="E4" s="7" t="s">
        <v>19</v>
      </c>
    </row>
    <row r="5" spans="1:6" s="5" customFormat="1" ht="24.75" customHeight="1" x14ac:dyDescent="0.25">
      <c r="B5" s="44" t="s">
        <v>21</v>
      </c>
      <c r="C5" s="68"/>
      <c r="D5" s="68"/>
      <c r="E5" s="68"/>
    </row>
    <row r="6" spans="1:6" s="5" customFormat="1" ht="24.75" customHeight="1" x14ac:dyDescent="0.25">
      <c r="B6" s="46" t="s">
        <v>20</v>
      </c>
      <c r="C6" s="68"/>
      <c r="D6" s="68"/>
      <c r="E6" s="68"/>
    </row>
    <row r="8" spans="1:6" x14ac:dyDescent="0.4">
      <c r="B8" s="127" t="s">
        <v>69</v>
      </c>
      <c r="C8" s="127"/>
      <c r="D8" s="127"/>
      <c r="E8" s="127"/>
    </row>
    <row r="9" spans="1:6" x14ac:dyDescent="0.4">
      <c r="B9" s="48"/>
      <c r="C9" s="7" t="s">
        <v>5</v>
      </c>
      <c r="D9" s="7" t="s">
        <v>7</v>
      </c>
      <c r="E9" s="7" t="s">
        <v>19</v>
      </c>
    </row>
    <row r="10" spans="1:6" x14ac:dyDescent="0.4">
      <c r="B10" s="44" t="s">
        <v>21</v>
      </c>
      <c r="C10" s="69"/>
      <c r="D10" s="69"/>
      <c r="E10" s="68"/>
    </row>
    <row r="11" spans="1:6" x14ac:dyDescent="0.4">
      <c r="B11" s="46" t="s">
        <v>20</v>
      </c>
      <c r="C11" s="68"/>
      <c r="D11" s="69"/>
      <c r="E11" s="68"/>
    </row>
  </sheetData>
  <sheetProtection sheet="1" objects="1" scenarios="1"/>
  <mergeCells count="3">
    <mergeCell ref="A2:F2"/>
    <mergeCell ref="B8:E8"/>
    <mergeCell ref="B3:E3"/>
  </mergeCells>
  <phoneticPr fontId="17" type="noConversion"/>
  <pageMargins left="0.7" right="0.7" top="0.75" bottom="0.75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ESAS</vt:lpstr>
      <vt:lpstr>Portfelin strukturu</vt:lpstr>
      <vt:lpstr>Hüquqi şəxslər</vt:lpstr>
      <vt:lpstr>Fiziki şəxslər</vt:lpstr>
      <vt:lpstr>Likvid vəsaitlərə dair</vt:lpstr>
      <vt:lpstr>Faiz dərəcələrinə dair</vt:lpstr>
      <vt:lpstr>ESAS!Print_Area</vt:lpstr>
      <vt:lpstr>'Faiz dərəcələrinə dair'!Print_Area</vt:lpstr>
      <vt:lpstr>'Fiziki şəxslər'!Print_Area</vt:lpstr>
      <vt:lpstr>'Hüquqi şəxslər'!Print_Area</vt:lpstr>
      <vt:lpstr>'Likvid vəsaitlərə dair'!Print_Area</vt:lpstr>
      <vt:lpstr>'Portfelin strukturu'!Print_Area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2024-01-29T09:04:41Z</dcterms:modified>
</cp:coreProperties>
</file>