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/>
  <c r="C52" i="4" l="1"/>
  <c r="C39" i="4"/>
  <c r="Q37" i="4"/>
  <c r="P37" i="4"/>
  <c r="P39" i="4" s="1"/>
  <c r="J37" i="4"/>
  <c r="I37" i="4"/>
  <c r="K37" i="4" s="1"/>
  <c r="E37" i="4"/>
  <c r="R37" i="4" l="1"/>
  <c r="D34" i="4"/>
  <c r="D39" i="4" s="1"/>
  <c r="C34" i="4"/>
  <c r="Q47" i="3"/>
  <c r="Q48" i="3"/>
  <c r="Q49" i="3"/>
  <c r="Q50" i="3"/>
  <c r="P48" i="3"/>
  <c r="P49" i="3"/>
  <c r="P50" i="3"/>
  <c r="P47" i="3"/>
  <c r="G75" i="3" l="1"/>
  <c r="F75" i="3"/>
  <c r="C75" i="3"/>
  <c r="D62" i="3"/>
  <c r="D66" i="3" s="1"/>
  <c r="C62" i="3"/>
  <c r="C66" i="3" s="1"/>
  <c r="Q35" i="4"/>
  <c r="P35" i="4"/>
  <c r="J35" i="4"/>
  <c r="I35" i="4"/>
  <c r="E35" i="4"/>
  <c r="Q36" i="4"/>
  <c r="Q39" i="4" s="1"/>
  <c r="P36" i="4"/>
  <c r="J36" i="4"/>
  <c r="I36" i="4"/>
  <c r="E36" i="4"/>
  <c r="P77" i="3"/>
  <c r="R77" i="3" s="1"/>
  <c r="H77" i="3"/>
  <c r="Q77" i="3"/>
  <c r="P76" i="3"/>
  <c r="I77" i="3"/>
  <c r="I76" i="3"/>
  <c r="H76" i="3"/>
  <c r="J77" i="3"/>
  <c r="E77" i="3"/>
  <c r="Q63" i="3"/>
  <c r="P63" i="3"/>
  <c r="J63" i="3"/>
  <c r="K63" i="3" s="1"/>
  <c r="I63" i="3"/>
  <c r="E63" i="3"/>
  <c r="Q64" i="3"/>
  <c r="P64" i="3"/>
  <c r="J64" i="3"/>
  <c r="I64" i="3"/>
  <c r="E64" i="3"/>
  <c r="R35" i="4" l="1"/>
  <c r="K35" i="4"/>
  <c r="K36" i="4"/>
  <c r="P75" i="3"/>
  <c r="K64" i="3"/>
  <c r="R64" i="3"/>
  <c r="E66" i="3"/>
  <c r="R36" i="4"/>
  <c r="R39" i="4" s="1"/>
  <c r="K77" i="3"/>
  <c r="R63" i="3"/>
  <c r="C35" i="2"/>
  <c r="F28" i="2"/>
  <c r="P42" i="3"/>
  <c r="P43" i="3"/>
  <c r="P45" i="3"/>
  <c r="G35" i="2"/>
  <c r="F35" i="2"/>
  <c r="D35" i="2"/>
  <c r="G28" i="2"/>
  <c r="H28" i="2" s="1"/>
  <c r="D28" i="2"/>
  <c r="C28" i="2"/>
  <c r="J37" i="2"/>
  <c r="I37" i="2"/>
  <c r="H37" i="2"/>
  <c r="E37" i="2"/>
  <c r="J33" i="2"/>
  <c r="I33" i="2"/>
  <c r="H33" i="2"/>
  <c r="E33" i="2"/>
  <c r="K33" i="2" s="1"/>
  <c r="J30" i="2"/>
  <c r="I30" i="2"/>
  <c r="H30" i="2"/>
  <c r="K30" i="2" s="1"/>
  <c r="E30" i="2"/>
  <c r="E31" i="2"/>
  <c r="H31" i="2"/>
  <c r="I31" i="2"/>
  <c r="J31" i="2"/>
  <c r="K31" i="2"/>
  <c r="E28" i="2" l="1"/>
  <c r="H35" i="2"/>
  <c r="E35" i="2"/>
  <c r="K37" i="2"/>
  <c r="P46" i="3"/>
  <c r="E47" i="3" l="1"/>
  <c r="C24" i="4" l="1"/>
  <c r="Q51" i="3"/>
  <c r="P51" i="3"/>
  <c r="J51" i="3"/>
  <c r="I51" i="3"/>
  <c r="C10" i="4" l="1"/>
  <c r="J39" i="4"/>
  <c r="I39" i="4"/>
  <c r="Q38" i="4"/>
  <c r="P38" i="4"/>
  <c r="J38" i="4"/>
  <c r="I38" i="4"/>
  <c r="E38" i="4"/>
  <c r="J34" i="4"/>
  <c r="I34" i="4"/>
  <c r="E34" i="4"/>
  <c r="Q33" i="4"/>
  <c r="P33" i="4"/>
  <c r="J33" i="4"/>
  <c r="I33" i="4"/>
  <c r="E33" i="4"/>
  <c r="E19" i="4"/>
  <c r="H19" i="4"/>
  <c r="I19" i="4"/>
  <c r="J19" i="4"/>
  <c r="P19" i="4"/>
  <c r="Q19" i="4"/>
  <c r="R19" i="4" s="1"/>
  <c r="E20" i="4"/>
  <c r="H20" i="4"/>
  <c r="I20" i="4"/>
  <c r="J20" i="4"/>
  <c r="P20" i="4"/>
  <c r="Q20" i="4"/>
  <c r="E21" i="4"/>
  <c r="H21" i="4"/>
  <c r="I21" i="4"/>
  <c r="J21" i="4"/>
  <c r="P21" i="4"/>
  <c r="Q21" i="4"/>
  <c r="R21" i="4"/>
  <c r="E22" i="4"/>
  <c r="H22" i="4"/>
  <c r="I22" i="4"/>
  <c r="J22" i="4"/>
  <c r="P22" i="4"/>
  <c r="Q22" i="4"/>
  <c r="E23" i="4"/>
  <c r="H23" i="4"/>
  <c r="I23" i="4"/>
  <c r="J23" i="4"/>
  <c r="K23" i="4"/>
  <c r="P23" i="4"/>
  <c r="Q23" i="4"/>
  <c r="D24" i="4"/>
  <c r="F24" i="4"/>
  <c r="G24" i="4"/>
  <c r="R38" i="4" l="1"/>
  <c r="K20" i="4"/>
  <c r="K19" i="4"/>
  <c r="K33" i="4"/>
  <c r="K39" i="4"/>
  <c r="K38" i="4"/>
  <c r="R22" i="4"/>
  <c r="E24" i="4"/>
  <c r="J24" i="4"/>
  <c r="Q24" i="4"/>
  <c r="I24" i="4"/>
  <c r="K21" i="4"/>
  <c r="K34" i="4"/>
  <c r="R33" i="4"/>
  <c r="H24" i="4"/>
  <c r="R23" i="4"/>
  <c r="K22" i="4"/>
  <c r="R20" i="4"/>
  <c r="E39" i="4"/>
  <c r="P24" i="4"/>
  <c r="K24" i="4" l="1"/>
  <c r="R24" i="4"/>
  <c r="Q51" i="4" l="1"/>
  <c r="Q49" i="4"/>
  <c r="P50" i="4"/>
  <c r="P49" i="4"/>
  <c r="Q48" i="4"/>
  <c r="P48" i="4"/>
  <c r="Q91" i="3"/>
  <c r="P91" i="3"/>
  <c r="P65" i="3"/>
  <c r="R47" i="3"/>
  <c r="J47" i="3"/>
  <c r="I47" i="3"/>
  <c r="H47" i="3"/>
  <c r="Q42" i="3"/>
  <c r="R42" i="3"/>
  <c r="Q37" i="3"/>
  <c r="P37" i="3"/>
  <c r="R37" i="3" s="1"/>
  <c r="J36" i="3"/>
  <c r="I36" i="3"/>
  <c r="K36" i="3" s="1"/>
  <c r="J24" i="3"/>
  <c r="I21" i="3"/>
  <c r="R91" i="3" l="1"/>
  <c r="Q85" i="3"/>
  <c r="P85" i="3"/>
  <c r="P84" i="3"/>
  <c r="Q83" i="3"/>
  <c r="P83" i="3"/>
  <c r="R83" i="3" s="1"/>
  <c r="Q82" i="3"/>
  <c r="P82" i="3"/>
  <c r="R82" i="3" s="1"/>
  <c r="Q81" i="3"/>
  <c r="P81" i="3"/>
  <c r="Q80" i="3"/>
  <c r="P80" i="3"/>
  <c r="Q79" i="3"/>
  <c r="P79" i="3"/>
  <c r="Q76" i="3"/>
  <c r="J85" i="3"/>
  <c r="I85" i="3"/>
  <c r="J84" i="3"/>
  <c r="I84" i="3"/>
  <c r="I83" i="3"/>
  <c r="J80" i="3"/>
  <c r="I80" i="3"/>
  <c r="J79" i="3"/>
  <c r="I79" i="3"/>
  <c r="J76" i="3"/>
  <c r="K76" i="3" s="1"/>
  <c r="H84" i="3"/>
  <c r="H81" i="3"/>
  <c r="H80" i="3"/>
  <c r="H79" i="3"/>
  <c r="I86" i="3"/>
  <c r="J86" i="3"/>
  <c r="I87" i="3"/>
  <c r="J87" i="3"/>
  <c r="I88" i="3"/>
  <c r="J88" i="3"/>
  <c r="I89" i="3"/>
  <c r="J89" i="3"/>
  <c r="I90" i="3"/>
  <c r="J90" i="3"/>
  <c r="I91" i="3"/>
  <c r="J91" i="3"/>
  <c r="Q40" i="3"/>
  <c r="P40" i="3"/>
  <c r="Q39" i="3"/>
  <c r="P39" i="3"/>
  <c r="P36" i="3"/>
  <c r="P35" i="3" s="1"/>
  <c r="Q46" i="3"/>
  <c r="R49" i="3"/>
  <c r="Q45" i="3"/>
  <c r="P44" i="3"/>
  <c r="Q36" i="3"/>
  <c r="Q34" i="3"/>
  <c r="P34" i="3"/>
  <c r="K47" i="3"/>
  <c r="J34" i="3"/>
  <c r="I34" i="3"/>
  <c r="H34" i="3"/>
  <c r="H37" i="3"/>
  <c r="E49" i="3"/>
  <c r="E48" i="3"/>
  <c r="E45" i="3"/>
  <c r="E44" i="3"/>
  <c r="E43" i="3"/>
  <c r="E42" i="3"/>
  <c r="E40" i="3"/>
  <c r="E39" i="3"/>
  <c r="E37" i="3"/>
  <c r="E36" i="3"/>
  <c r="E34" i="3"/>
  <c r="Q24" i="3"/>
  <c r="P24" i="3"/>
  <c r="Q23" i="3"/>
  <c r="P23" i="3"/>
  <c r="Q21" i="3"/>
  <c r="P21" i="3"/>
  <c r="Q20" i="3"/>
  <c r="P20" i="3"/>
  <c r="R20" i="3" s="1"/>
  <c r="I24" i="3"/>
  <c r="K24" i="3" s="1"/>
  <c r="J23" i="3"/>
  <c r="I23" i="3"/>
  <c r="I20" i="3"/>
  <c r="H24" i="3"/>
  <c r="H23" i="3"/>
  <c r="G22" i="3"/>
  <c r="F22" i="3"/>
  <c r="E24" i="3"/>
  <c r="E23" i="3"/>
  <c r="D22" i="3"/>
  <c r="C22" i="3"/>
  <c r="D19" i="3"/>
  <c r="C19" i="3"/>
  <c r="J21" i="3"/>
  <c r="K21" i="3" s="1"/>
  <c r="J20" i="3"/>
  <c r="K51" i="3"/>
  <c r="J45" i="3"/>
  <c r="I45" i="3"/>
  <c r="K45" i="3" s="1"/>
  <c r="J42" i="3"/>
  <c r="K42" i="3" s="1"/>
  <c r="I42" i="3"/>
  <c r="H51" i="3"/>
  <c r="H50" i="3"/>
  <c r="H49" i="3"/>
  <c r="H48" i="3"/>
  <c r="G46" i="3"/>
  <c r="F46" i="3"/>
  <c r="D46" i="3"/>
  <c r="C46" i="3"/>
  <c r="F38" i="3"/>
  <c r="J44" i="3"/>
  <c r="I44" i="3"/>
  <c r="K44" i="3" s="1"/>
  <c r="J43" i="3"/>
  <c r="I43" i="3"/>
  <c r="K43" i="3" s="1"/>
  <c r="J39" i="3"/>
  <c r="I39" i="3"/>
  <c r="F35" i="3"/>
  <c r="E21" i="3"/>
  <c r="E20" i="3"/>
  <c r="I36" i="2"/>
  <c r="J34" i="2"/>
  <c r="I34" i="2"/>
  <c r="J29" i="2"/>
  <c r="I29" i="2"/>
  <c r="H16" i="2"/>
  <c r="J15" i="2"/>
  <c r="I15" i="2"/>
  <c r="G21" i="2"/>
  <c r="J21" i="2" s="1"/>
  <c r="F21" i="2"/>
  <c r="D21" i="2"/>
  <c r="C21" i="2"/>
  <c r="C38" i="2" s="1"/>
  <c r="J20" i="2"/>
  <c r="I20" i="2"/>
  <c r="H20" i="2"/>
  <c r="J19" i="2"/>
  <c r="I19" i="2"/>
  <c r="H19" i="2"/>
  <c r="J18" i="2"/>
  <c r="I18" i="2"/>
  <c r="H18" i="2"/>
  <c r="J17" i="2"/>
  <c r="I17" i="2"/>
  <c r="H17" i="2"/>
  <c r="J16" i="2"/>
  <c r="I16" i="2"/>
  <c r="R23" i="3" l="1"/>
  <c r="P19" i="3"/>
  <c r="R80" i="3"/>
  <c r="Q75" i="3"/>
  <c r="Q78" i="3"/>
  <c r="R85" i="3"/>
  <c r="H46" i="3"/>
  <c r="E46" i="3"/>
  <c r="F52" i="3"/>
  <c r="R39" i="3"/>
  <c r="R81" i="3"/>
  <c r="K20" i="3"/>
  <c r="R36" i="3"/>
  <c r="P78" i="3"/>
  <c r="R76" i="3"/>
  <c r="F25" i="3"/>
  <c r="H22" i="3"/>
  <c r="H25" i="3"/>
  <c r="K39" i="3"/>
  <c r="Q22" i="3"/>
  <c r="I22" i="3"/>
  <c r="R21" i="3"/>
  <c r="R19" i="3" s="1"/>
  <c r="P38" i="3"/>
  <c r="R48" i="3"/>
  <c r="K34" i="3"/>
  <c r="R34" i="3"/>
  <c r="H21" i="2"/>
  <c r="E21" i="2"/>
  <c r="I21" i="2"/>
  <c r="K79" i="3"/>
  <c r="R79" i="3"/>
  <c r="R50" i="3"/>
  <c r="P41" i="3"/>
  <c r="P52" i="3" s="1"/>
  <c r="R40" i="3"/>
  <c r="G25" i="3"/>
  <c r="R24" i="3"/>
  <c r="R22" i="3" s="1"/>
  <c r="J22" i="3"/>
  <c r="P22" i="3"/>
  <c r="P25" i="3" s="1"/>
  <c r="K23" i="3"/>
  <c r="E22" i="3"/>
  <c r="I19" i="3"/>
  <c r="E19" i="3"/>
  <c r="C25" i="3"/>
  <c r="J19" i="3"/>
  <c r="D25" i="3"/>
  <c r="H49" i="4"/>
  <c r="J62" i="3"/>
  <c r="I62" i="3"/>
  <c r="J61" i="3"/>
  <c r="I61" i="3"/>
  <c r="E65" i="3"/>
  <c r="E62" i="3"/>
  <c r="E61" i="3"/>
  <c r="Q65" i="3"/>
  <c r="R65" i="3" s="1"/>
  <c r="Q61" i="3"/>
  <c r="P61" i="3"/>
  <c r="P66" i="3" s="1"/>
  <c r="R51" i="3"/>
  <c r="Q43" i="3"/>
  <c r="H40" i="3"/>
  <c r="J36" i="2"/>
  <c r="J32" i="2"/>
  <c r="I32" i="2"/>
  <c r="H29" i="2"/>
  <c r="E19" i="2"/>
  <c r="K19" i="2" s="1"/>
  <c r="E20" i="2"/>
  <c r="K20" i="2" s="1"/>
  <c r="E16" i="2"/>
  <c r="K16" i="2" s="1"/>
  <c r="E15" i="2"/>
  <c r="K15" i="2" s="1"/>
  <c r="C78" i="3"/>
  <c r="E76" i="3"/>
  <c r="K22" i="3" l="1"/>
  <c r="E25" i="3"/>
  <c r="R78" i="3"/>
  <c r="R75" i="3" s="1"/>
  <c r="Q66" i="3"/>
  <c r="R25" i="3"/>
  <c r="R46" i="3"/>
  <c r="K21" i="2"/>
  <c r="C92" i="3"/>
  <c r="K62" i="3"/>
  <c r="J25" i="3"/>
  <c r="K19" i="3"/>
  <c r="K25" i="3" s="1"/>
  <c r="I25" i="3"/>
  <c r="K61" i="3"/>
  <c r="R61" i="3"/>
  <c r="R66" i="3" s="1"/>
  <c r="R43" i="3"/>
  <c r="R35" i="3"/>
  <c r="R48" i="4" l="1"/>
  <c r="H48" i="4"/>
  <c r="H82" i="3"/>
  <c r="H83" i="3"/>
  <c r="Q44" i="3" l="1"/>
  <c r="G52" i="4" l="1"/>
  <c r="G10" i="4" s="1"/>
  <c r="F52" i="4"/>
  <c r="D52" i="4"/>
  <c r="D10" i="4" s="1"/>
  <c r="P51" i="4"/>
  <c r="J51" i="4"/>
  <c r="I51" i="4"/>
  <c r="K51" i="4" s="1"/>
  <c r="H51" i="4"/>
  <c r="E51" i="4"/>
  <c r="Q50" i="4"/>
  <c r="Q52" i="4" s="1"/>
  <c r="Q10" i="4" s="1"/>
  <c r="E9" i="5" s="1"/>
  <c r="J50" i="4"/>
  <c r="I50" i="4"/>
  <c r="H50" i="4"/>
  <c r="E50" i="4"/>
  <c r="R49" i="4"/>
  <c r="J49" i="4"/>
  <c r="I49" i="4"/>
  <c r="E49" i="4"/>
  <c r="J48" i="4"/>
  <c r="I48" i="4"/>
  <c r="E48" i="4"/>
  <c r="E91" i="3"/>
  <c r="Q90" i="3"/>
  <c r="P90" i="3"/>
  <c r="E90" i="3"/>
  <c r="Q89" i="3"/>
  <c r="P89" i="3"/>
  <c r="K89" i="3"/>
  <c r="E89" i="3"/>
  <c r="Q88" i="3"/>
  <c r="P88" i="3"/>
  <c r="E88" i="3"/>
  <c r="Q87" i="3"/>
  <c r="P87" i="3"/>
  <c r="E87" i="3"/>
  <c r="Q86" i="3"/>
  <c r="P86" i="3"/>
  <c r="K86" i="3"/>
  <c r="E86" i="3"/>
  <c r="E85" i="3"/>
  <c r="Q84" i="3"/>
  <c r="R84" i="3" s="1"/>
  <c r="K84" i="3"/>
  <c r="E84" i="3"/>
  <c r="J83" i="3"/>
  <c r="E83" i="3"/>
  <c r="J82" i="3"/>
  <c r="I82" i="3"/>
  <c r="E82" i="3"/>
  <c r="J81" i="3"/>
  <c r="I81" i="3"/>
  <c r="E81" i="3"/>
  <c r="K80" i="3"/>
  <c r="E80" i="3"/>
  <c r="E78" i="3" s="1"/>
  <c r="E75" i="3" s="1"/>
  <c r="E79" i="3"/>
  <c r="G78" i="3"/>
  <c r="F78" i="3"/>
  <c r="D78" i="3"/>
  <c r="D75" i="3" s="1"/>
  <c r="J66" i="3"/>
  <c r="I66" i="3"/>
  <c r="J65" i="3"/>
  <c r="I65" i="3"/>
  <c r="J50" i="3"/>
  <c r="I50" i="3"/>
  <c r="E50" i="3"/>
  <c r="J49" i="3"/>
  <c r="I49" i="3"/>
  <c r="J48" i="3"/>
  <c r="I48" i="3"/>
  <c r="Q41" i="3"/>
  <c r="D41" i="3"/>
  <c r="J41" i="3" s="1"/>
  <c r="C41" i="3"/>
  <c r="J40" i="3"/>
  <c r="I40" i="3"/>
  <c r="K40" i="3" s="1"/>
  <c r="G38" i="3"/>
  <c r="D38" i="3"/>
  <c r="C38" i="3"/>
  <c r="E38" i="3" s="1"/>
  <c r="Q35" i="3"/>
  <c r="J37" i="3"/>
  <c r="I37" i="3"/>
  <c r="K37" i="3" s="1"/>
  <c r="G35" i="3"/>
  <c r="D35" i="3"/>
  <c r="C35" i="3"/>
  <c r="Q19" i="3"/>
  <c r="Q25" i="3" s="1"/>
  <c r="H36" i="2"/>
  <c r="E36" i="2"/>
  <c r="H34" i="2"/>
  <c r="E34" i="2"/>
  <c r="H32" i="2"/>
  <c r="E32" i="2"/>
  <c r="E29" i="2"/>
  <c r="K29" i="2" s="1"/>
  <c r="E18" i="2"/>
  <c r="K18" i="2" s="1"/>
  <c r="E17" i="2"/>
  <c r="K17" i="2" s="1"/>
  <c r="K50" i="4" l="1"/>
  <c r="K50" i="3"/>
  <c r="K66" i="3"/>
  <c r="C52" i="3"/>
  <c r="D52" i="3"/>
  <c r="K34" i="2"/>
  <c r="H78" i="3"/>
  <c r="R50" i="4"/>
  <c r="H52" i="4"/>
  <c r="H10" i="4" s="1"/>
  <c r="F10" i="4"/>
  <c r="K49" i="4"/>
  <c r="R51" i="4"/>
  <c r="P52" i="4"/>
  <c r="P10" i="4" s="1"/>
  <c r="D9" i="5" s="1"/>
  <c r="J52" i="4"/>
  <c r="J10" i="4" s="1"/>
  <c r="K48" i="4"/>
  <c r="E52" i="4"/>
  <c r="E10" i="4" s="1"/>
  <c r="I78" i="3"/>
  <c r="P92" i="3"/>
  <c r="J78" i="3"/>
  <c r="R88" i="3"/>
  <c r="D92" i="3"/>
  <c r="E92" i="3" s="1"/>
  <c r="K49" i="3"/>
  <c r="E41" i="3"/>
  <c r="I41" i="3"/>
  <c r="K41" i="3" s="1"/>
  <c r="Q52" i="3"/>
  <c r="R52" i="3" s="1"/>
  <c r="G52" i="3"/>
  <c r="H35" i="3"/>
  <c r="J35" i="3"/>
  <c r="E35" i="3"/>
  <c r="I35" i="3"/>
  <c r="K35" i="3" s="1"/>
  <c r="K81" i="3"/>
  <c r="K90" i="3"/>
  <c r="K65" i="3"/>
  <c r="H38" i="3"/>
  <c r="J35" i="2"/>
  <c r="I35" i="2"/>
  <c r="K35" i="2"/>
  <c r="K36" i="2"/>
  <c r="K32" i="2"/>
  <c r="I28" i="2"/>
  <c r="H38" i="2"/>
  <c r="F38" i="2"/>
  <c r="F8" i="2" s="1"/>
  <c r="K83" i="3"/>
  <c r="R90" i="3"/>
  <c r="Q38" i="3"/>
  <c r="R89" i="3"/>
  <c r="K91" i="3"/>
  <c r="R86" i="3"/>
  <c r="K85" i="3"/>
  <c r="R87" i="3"/>
  <c r="K48" i="3"/>
  <c r="K88" i="3"/>
  <c r="I46" i="3"/>
  <c r="I38" i="3"/>
  <c r="K82" i="3"/>
  <c r="K87" i="3"/>
  <c r="R45" i="3"/>
  <c r="R44" i="3"/>
  <c r="I52" i="4"/>
  <c r="J38" i="3"/>
  <c r="J46" i="3"/>
  <c r="C8" i="2"/>
  <c r="J28" i="2"/>
  <c r="G38" i="2"/>
  <c r="G8" i="2" s="1"/>
  <c r="D38" i="2"/>
  <c r="D8" i="2" s="1"/>
  <c r="E52" i="3" l="1"/>
  <c r="Q92" i="3"/>
  <c r="R92" i="3" s="1"/>
  <c r="K28" i="2"/>
  <c r="K38" i="2" s="1"/>
  <c r="G92" i="3"/>
  <c r="G10" i="3" s="1"/>
  <c r="H75" i="3"/>
  <c r="J75" i="3"/>
  <c r="K52" i="4"/>
  <c r="K10" i="4" s="1"/>
  <c r="I10" i="4"/>
  <c r="R52" i="4"/>
  <c r="R10" i="4" s="1"/>
  <c r="C9" i="5" s="1"/>
  <c r="I38" i="2"/>
  <c r="I8" i="2" s="1"/>
  <c r="D7" i="5" s="1"/>
  <c r="J38" i="2"/>
  <c r="J8" i="2" s="1"/>
  <c r="E7" i="5" s="1"/>
  <c r="F92" i="3"/>
  <c r="I75" i="3"/>
  <c r="I92" i="3" s="1"/>
  <c r="K46" i="3"/>
  <c r="H52" i="3"/>
  <c r="J52" i="3"/>
  <c r="D10" i="3"/>
  <c r="E10" i="3"/>
  <c r="I52" i="3"/>
  <c r="C10" i="3"/>
  <c r="P10" i="3"/>
  <c r="D8" i="5" s="1"/>
  <c r="D10" i="5" s="1"/>
  <c r="K38" i="3"/>
  <c r="H8" i="2"/>
  <c r="K78" i="3"/>
  <c r="R41" i="3"/>
  <c r="R38" i="3"/>
  <c r="E38" i="2"/>
  <c r="E8" i="2" s="1"/>
  <c r="D6" i="5" l="1"/>
  <c r="K75" i="3"/>
  <c r="J92" i="3"/>
  <c r="K92" i="3" s="1"/>
  <c r="H92" i="3"/>
  <c r="H10" i="3" s="1"/>
  <c r="F10" i="3"/>
  <c r="K52" i="3"/>
  <c r="Q10" i="3"/>
  <c r="E8" i="5" s="1"/>
  <c r="E10" i="5" s="1"/>
  <c r="E6" i="5" s="1"/>
  <c r="I10" i="3"/>
  <c r="K8" i="2"/>
  <c r="C7" i="5" s="1"/>
  <c r="J10" i="3" l="1"/>
  <c r="K10" i="3"/>
  <c r="R10" i="3"/>
  <c r="C8" i="5" s="1"/>
  <c r="C10" i="5" s="1"/>
  <c r="C6" i="5" s="1"/>
</calcChain>
</file>

<file path=xl/sharedStrings.xml><?xml version="1.0" encoding="utf-8"?>
<sst xmlns="http://schemas.openxmlformats.org/spreadsheetml/2006/main" count="764" uniqueCount="210">
  <si>
    <t>AZƏRBAYCAN RESPUBLİKASININ MƏRKƏZİ BANKI</t>
  </si>
  <si>
    <t>LİKVİDLİYİN ÖRTÜLMƏ ƏMSALINA DAİR HESABAT</t>
  </si>
  <si>
    <t>CƏDVƏL L1 - TİTUL VƏRƏQİ</t>
  </si>
  <si>
    <t>Bankın adı:</t>
  </si>
  <si>
    <t>Lisenziya nömrəsi:</t>
  </si>
  <si>
    <t xml:space="preserve">Hesabat tarixi:   </t>
  </si>
  <si>
    <t>Hesabatın başa çatdırılması tarixi:</t>
  </si>
  <si>
    <t>Hesabata məsul struktur bölmə:</t>
  </si>
  <si>
    <t>Hesabata məsul şəxs:</t>
  </si>
  <si>
    <t>Adı (soyadı, adı, atasının adı):</t>
  </si>
  <si>
    <t>Vəzifəsi:</t>
  </si>
  <si>
    <t>Elektron poçt ünvanı:</t>
  </si>
  <si>
    <t>Telefon nömrəsi:</t>
  </si>
  <si>
    <t>Hesabatı tərtib edən şəxs:</t>
  </si>
  <si>
    <t>СƏDVƏL L2 - YÜKSƏK KEYFİYYƏTLİ LİKVİD AKTİVLƏR</t>
  </si>
  <si>
    <t>A - YÜKSƏK KEYFİYYƏTLİ LİKVİD AKTİVLƏR</t>
  </si>
  <si>
    <t>(min manatla)</t>
  </si>
  <si>
    <t>Bazar qiyməti</t>
  </si>
  <si>
    <t>O cümlədən, bloklaşdırılmış məbləğ</t>
  </si>
  <si>
    <t>Xalis Bazar qiyməti</t>
  </si>
  <si>
    <t>MV</t>
  </si>
  <si>
    <t>XV</t>
  </si>
  <si>
    <t>Cəmi</t>
  </si>
  <si>
    <t>1. Yüksək Kefiyyətli Likvid Aktivlər</t>
  </si>
  <si>
    <t>A1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</si>
  <si>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</si>
  <si>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</si>
  <si>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B1</t>
  </si>
  <si>
    <t>B2</t>
  </si>
  <si>
    <t>B3</t>
  </si>
  <si>
    <t>B4</t>
  </si>
  <si>
    <t>B5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</si>
  <si>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</si>
  <si>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B6</t>
  </si>
  <si>
    <t>7. 1-ci Qrup Yüksək Kefiyyətli Likvid Aktivlərin Məcmu Fondu</t>
  </si>
  <si>
    <t>B7</t>
  </si>
  <si>
    <t>C - 2-ci QRUP YÜKSƏK KEYFİYYƏTLİ LİKVİD AKTİVLƏR</t>
  </si>
  <si>
    <t>1. 2-ci Qrup A</t>
  </si>
  <si>
    <t>C1</t>
  </si>
  <si>
    <t>C1a</t>
  </si>
  <si>
    <t>C1b</t>
  </si>
  <si>
    <t>C1c</t>
  </si>
  <si>
    <t>C1d</t>
  </si>
  <si>
    <t>2. 2-ci Qrup B</t>
  </si>
  <si>
    <t>C2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</si>
  <si>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</si>
  <si>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</si>
  <si>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3. 2-ci Qrup Yüksək Kefiyyətli Likvid Aktivlərin hesablamaya daxil edilən məbləği</t>
  </si>
  <si>
    <t>C3</t>
  </si>
  <si>
    <t xml:space="preserve"> </t>
  </si>
  <si>
    <t>СƏDVƏL L3 (A) - PUL AXINLARI</t>
  </si>
  <si>
    <t>Ödəniş gününə qədər olan müddət</t>
  </si>
  <si>
    <t>Ehtimal olunan qaçış və ya geri çəkilmə ehtimalları</t>
  </si>
  <si>
    <t>Faizlə (%)</t>
  </si>
  <si>
    <t>Məbləğlə</t>
  </si>
  <si>
    <t>30 günə qədər</t>
  </si>
  <si>
    <t>30 gündən artıq</t>
  </si>
  <si>
    <t>0-30</t>
  </si>
  <si>
    <t>30 artıq</t>
  </si>
  <si>
    <t>x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</si>
  <si>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</si>
  <si>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</si>
  <si>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</si>
  <si>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</si>
  <si>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</si>
  <si>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</si>
  <si>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</si>
  <si>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</si>
  <si>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</si>
  <si>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</si>
  <si>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2. Bankların tələbləri</t>
  </si>
  <si>
    <t>a) Loro hesabları</t>
  </si>
  <si>
    <t xml:space="preserve">b) Bankların depozitləri </t>
  </si>
  <si>
    <t>C2b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</si>
  <si>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</si>
  <si>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</si>
  <si>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</si>
  <si>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</si>
  <si>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</si>
  <si>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</si>
  <si>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C4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</si>
  <si>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</si>
  <si>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</si>
  <si>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</si>
  <si>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</si>
  <si>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</si>
  <si>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</si>
  <si>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</si>
  <si>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</si>
  <si>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</si>
  <si>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</t>
  </si>
  <si>
    <t>C5a</t>
  </si>
  <si>
    <t>C5b</t>
  </si>
  <si>
    <t>C5c</t>
  </si>
  <si>
    <t>C5d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</si>
  <si>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</si>
  <si>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</si>
  <si>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</si>
  <si>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</si>
  <si>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</si>
  <si>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D1</t>
  </si>
  <si>
    <t>2. 2-ci Qrup Yüksək Keyfiyyətli Likvid Aktivlər ilə təmin olunmuş cəlbolunmalar</t>
  </si>
  <si>
    <t>D2</t>
  </si>
  <si>
    <t>3. Digər aktivlər ilə təmin olunmuş cəlbolunmalar</t>
  </si>
  <si>
    <t>D3</t>
  </si>
  <si>
    <t>4. Cəmi təminatlı cəlbolunmalar</t>
  </si>
  <si>
    <t>D4</t>
  </si>
  <si>
    <t>E - DİGƏR ÖHDƏLİKLƏR</t>
  </si>
  <si>
    <t>1. Birtərəfli qaydada ləğvetmə hüququ olmayan öhdəliklər</t>
  </si>
  <si>
    <t>E1</t>
  </si>
  <si>
    <t>E1a</t>
  </si>
  <si>
    <t>E1b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</si>
  <si>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</si>
  <si>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</si>
  <si>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</si>
  <si>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</si>
  <si>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</si>
  <si>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</si>
  <si>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</si>
  <si>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</si>
  <si>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</si>
  <si>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</si>
  <si>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</si>
  <si>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</si>
  <si>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</si>
  <si>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</si>
  <si>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</si>
  <si>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</si>
  <si>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E10</t>
  </si>
  <si>
    <t>СƏDVƏL L3 (B) - PUL AXINLARI</t>
  </si>
  <si>
    <t>Ehtimal olunan daxilolmalar</t>
  </si>
  <si>
    <t>B - YERLƏŞDİRİLMİŞ VƏSAİTLƏR</t>
  </si>
  <si>
    <t>1. Kreditlər üzrə ödənişlər</t>
  </si>
  <si>
    <t>3. Mərkəzi Banklardan daxilolmalar</t>
  </si>
  <si>
    <t>4. Banklardan daxilolmalar</t>
  </si>
  <si>
    <t>5. Qeyri-bank maliyyə institutlarından daxilolamalar</t>
  </si>
  <si>
    <t>1. Mərkəzi Bankdan alınmış və istifadə olunmamış kredit xətti</t>
  </si>
  <si>
    <t>2. Qiymətli kağızlardan müqavilə üzrə daxilolmalar</t>
  </si>
  <si>
    <t>3. Törəmə maliyyə alətləri üzrə xalis daxilolmalar</t>
  </si>
  <si>
    <t>4. Digər müqavilə üzrə daxilolmalar</t>
  </si>
  <si>
    <t>СƏDVƏL L4 - LİKVİDLİYİN ÖRTÜLMƏ ƏMSALI</t>
  </si>
  <si>
    <t>Maddələr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</si>
  <si>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</si>
  <si>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</si>
  <si>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</si>
  <si>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</si>
  <si>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</si>
  <si>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</si>
  <si>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</si>
  <si>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</si>
  <si>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</si>
  <si>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</si>
  <si>
    <t>C - Təminatlı yerləşdirmələr</t>
  </si>
  <si>
    <t>1. 1-ci Qrup Yüksək Keyfiyyətli Likvid Aktivlər ilə təmin olunmuş yerləşdirmələr</t>
  </si>
  <si>
    <t>2. 2-ci Qrup Yüksək Keyfiyyətli Likvid Aktivlər ilə təmin olunmuş yerləşdirmələr</t>
  </si>
  <si>
    <t>D5</t>
  </si>
  <si>
    <t>D - DİGƏR TƏLƏBLƏR</t>
  </si>
  <si>
    <t>C - HÜQUQİ ŞƏXSLƏRDƏN TƏMİNATSIZ CƏLBOLUNMALAR</t>
  </si>
  <si>
    <t>A - GÖZLƏNİLƏN CƏMİ NAĞD MƏXARİCLƏR</t>
  </si>
  <si>
    <t>1. Gözlənilən Cəmi Nağd Məxariclər</t>
  </si>
  <si>
    <t>A - GÖZLƏNİLƏN CƏMİ NAĞD MƏDAXİLLƏR</t>
  </si>
  <si>
    <t>1. Gözlənilən Cəmi Nağd Mədaxillər</t>
  </si>
  <si>
    <t>10. Cəmi digər ödənişlər</t>
  </si>
  <si>
    <t>6. Cəmi yerləşdirilmiş vəsaitlərdən daxilolmalar</t>
  </si>
  <si>
    <t>5. Cəmi digər daxilolmalar</t>
  </si>
  <si>
    <t>2. Hökumətlər, Məkəzi İdarəetmə Orqanlarından və Çoxtərəfli İnkişaf Banklarından daxilolmalar</t>
  </si>
  <si>
    <t>6. Dövlət Fondları tərəfindən kreditlərin maliyyələşdirilməsi məqsədilə yerləşdirilmiş vəsaitlər</t>
  </si>
  <si>
    <t>1. Hökumətlər, Mərkəzi Banklar, Mərkəzi İdarəetmə Orqanları və Çoxtərəfli İnkişaf Banklarının vəsaitləri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</si>
  <si>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</si>
  <si>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d) 1-ci qrup aktivlərə aid edilməyən və beynəlxalq reytinq agentlikləri tərəfindən verilmiş minimum investisiya reytinqə malik çoxtərəfli inkişaf bankları tərəfindən buraxılmış qiymətli kağızlar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</si>
  <si>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</si>
  <si>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</si>
  <si>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C1e</t>
  </si>
  <si>
    <t>C1f</t>
  </si>
  <si>
    <t>b) Azərbaycan Respublikası Maliyyə Nazirliyi tərəfindən xarici valyutada buraxılan dövlət istiqrazları ilə qeyd-şərtsiz təmin olunmuş qeyri-maliyyə institutlarının korporativ borc qiymətli kağızları</t>
  </si>
  <si>
    <t xml:space="preserve">     a) 2-ci qrup A aktivlər</t>
  </si>
  <si>
    <t xml:space="preserve">     b) 2-ci qrup B aktivlər</t>
  </si>
  <si>
    <t>D2.1</t>
  </si>
  <si>
    <t>D2.2</t>
  </si>
  <si>
    <t>c) Kredit xəttləri</t>
  </si>
  <si>
    <t>b) Qarantiyalar</t>
  </si>
  <si>
    <t>a) Akkreditivlər</t>
  </si>
  <si>
    <t>c1) fiziki şəxslərə verilmiş</t>
  </si>
  <si>
    <t>c2) hüquqi şəxslərə verilmiş</t>
  </si>
  <si>
    <t>c4) banklara verilmiş</t>
  </si>
  <si>
    <t>c5) digər</t>
  </si>
  <si>
    <t>C2.1</t>
  </si>
  <si>
    <t>C2.2</t>
  </si>
  <si>
    <t>E1c</t>
  </si>
  <si>
    <t>E1c1</t>
  </si>
  <si>
    <t>E1c2</t>
  </si>
  <si>
    <t>E1c3</t>
  </si>
  <si>
    <t>E1c4</t>
  </si>
  <si>
    <t>E1c5</t>
  </si>
  <si>
    <t>c3) Hökumətlər, mərkəzi banklar, mərkəzi idarəetmə orqanlarından və çoxtərəfli inkişaf banklarına verilmiş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</si>
  <si>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</si>
  <si>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</si>
  <si>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</si>
  <si>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</si>
  <si>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 xml:space="preserve">a) Azərbaycan Respublikasının xarici valyutada buraxdığı dövlət istiqrazları
</t>
  </si>
  <si>
    <t>c) Fondun buraxdığı təmin edilməmiş qiymətli kağızlar</t>
  </si>
  <si>
    <t>3. Yüksək Keyfiyyətli Likvid Aktivlərlə təmin olunmuş, lakin bu təminatı LCR-ın surətində tanınmayan yerləşdirmələr</t>
  </si>
  <si>
    <t>4. Digər aktivlər ilə təmin olunmuş yerləşdirmələr</t>
  </si>
  <si>
    <t>5. Cəmi təminatlı yerləşdirmələr</t>
  </si>
  <si>
    <t>Mirheydərov Vüqar Mirfazil oğlu</t>
  </si>
  <si>
    <t>baş mühasib</t>
  </si>
  <si>
    <t>v.mirheydarov@bmibaku.az</t>
  </si>
  <si>
    <t>(+99470)3771953</t>
  </si>
  <si>
    <t>Baş Mühasib</t>
  </si>
  <si>
    <t>Bank Melli İran Bakı filialı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</si>
</sst>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  <xf numFmtId="0" fontId="3" fillId="0" borderId="0"/>
    <xf numFmtId="0" fontId="3" fillId="0" borderId="0"/>
  </cellStyleXfs>
  <cellXfs count="124">
    <xf numFmtId="0" fontId="0" fillId="0" borderId="0" xfId="0"/>
    <xf numFmtId="0" fontId="0" fillId="0" borderId="0" xfId="0" applyProtection="1"/>
    <xf numFmtId="0" fontId="4" fillId="0" borderId="0" xfId="3" applyNumberFormat="1" applyFont="1" applyFill="1" applyBorder="1" applyAlignment="1" applyProtection="1">
      <alignment vertical="center"/>
    </xf>
    <xf numFmtId="0" fontId="2" fillId="0" borderId="0" xfId="3" applyNumberFormat="1" applyFont="1" applyFill="1" applyBorder="1" applyAlignment="1" applyProtection="1">
      <alignment horizontal="center" vertical="center"/>
    </xf>
    <xf numFmtId="0" fontId="4" fillId="0" borderId="0" xfId="3" applyNumberFormat="1" applyFont="1" applyFill="1" applyBorder="1" applyAlignment="1" applyProtection="1">
      <alignment horizontal="center" vertical="center"/>
    </xf>
    <xf numFmtId="0" fontId="6" fillId="0" borderId="0" xfId="3" applyNumberFormat="1" applyFont="1" applyFill="1" applyBorder="1" applyAlignment="1" applyProtection="1">
      <alignment vertical="center"/>
    </xf>
    <xf numFmtId="0" fontId="5" fillId="2" borderId="1" xfId="2" applyNumberFormat="1" applyFont="1" applyBorder="1" applyAlignment="1" applyProtection="1">
      <alignment horizontal="left" vertical="center" indent="2"/>
    </xf>
    <xf numFmtId="0" fontId="7" fillId="3" borderId="1" xfId="2" applyNumberFormat="1" applyFont="1" applyFill="1" applyBorder="1" applyAlignment="1" applyProtection="1">
      <alignment horizontal="left" vertical="center" indent="1"/>
      <protection locked="0"/>
    </xf>
    <xf numFmtId="0" fontId="5" fillId="2" borderId="2" xfId="2" applyNumberFormat="1" applyFont="1" applyBorder="1" applyAlignment="1" applyProtection="1">
      <alignment horizontal="left" vertical="center" indent="1"/>
    </xf>
    <xf numFmtId="0" fontId="7" fillId="0" borderId="0" xfId="3" applyNumberFormat="1" applyFont="1" applyFill="1" applyBorder="1" applyAlignment="1" applyProtection="1">
      <alignment horizontal="left" vertical="center"/>
      <protection locked="0"/>
    </xf>
    <xf numFmtId="0" fontId="7" fillId="0" borderId="0" xfId="3" applyNumberFormat="1" applyFont="1" applyFill="1" applyBorder="1" applyAlignment="1" applyProtection="1">
      <alignment horizontal="left" vertical="center"/>
    </xf>
    <xf numFmtId="0" fontId="8" fillId="0" borderId="0" xfId="3" applyNumberFormat="1" applyFont="1" applyFill="1" applyAlignment="1" applyProtection="1">
      <alignment vertical="center"/>
    </xf>
    <xf numFmtId="0" fontId="8" fillId="0" borderId="0" xfId="3" applyNumberFormat="1" applyFont="1" applyFill="1" applyBorder="1" applyAlignment="1" applyProtection="1">
      <alignment horizontal="left" vertical="center"/>
    </xf>
    <xf numFmtId="0" fontId="5" fillId="2" borderId="1" xfId="2" applyNumberFormat="1" applyFont="1" applyBorder="1" applyAlignment="1" applyProtection="1">
      <alignment horizontal="left" vertical="center" wrapText="1" indent="2"/>
    </xf>
    <xf numFmtId="0" fontId="5" fillId="2" borderId="2" xfId="2" applyNumberFormat="1" applyFont="1" applyBorder="1" applyAlignment="1" applyProtection="1">
      <alignment horizontal="left" vertical="center" wrapText="1" indent="2"/>
    </xf>
    <xf numFmtId="0" fontId="9" fillId="2" borderId="2" xfId="2" applyNumberFormat="1" applyFont="1" applyBorder="1" applyAlignment="1" applyProtection="1">
      <alignment horizontal="right" vertical="center"/>
    </xf>
    <xf numFmtId="0" fontId="9" fillId="2" borderId="1" xfId="2" applyNumberFormat="1" applyFont="1" applyBorder="1" applyAlignment="1" applyProtection="1">
      <alignment horizontal="right" vertical="center"/>
    </xf>
    <xf numFmtId="0" fontId="11" fillId="0" borderId="0" xfId="0" applyFont="1" applyFill="1" applyBorder="1" applyAlignment="1" applyProtection="1">
      <alignment vertical="center" wrapText="1"/>
    </xf>
    <xf numFmtId="0" fontId="12" fillId="0" borderId="0" xfId="0" applyFont="1" applyFill="1" applyBorder="1" applyAlignment="1" applyProtection="1">
      <alignment vertical="center"/>
    </xf>
    <xf numFmtId="0" fontId="12" fillId="0" borderId="0" xfId="0" applyFont="1" applyBorder="1" applyAlignment="1" applyProtection="1">
      <alignment vertical="center"/>
    </xf>
    <xf numFmtId="3" fontId="11" fillId="2" borderId="5" xfId="2" applyNumberFormat="1" applyFont="1" applyBorder="1" applyAlignment="1" applyProtection="1">
      <alignment horizontal="center" vertical="center" wrapText="1"/>
    </xf>
    <xf numFmtId="0" fontId="11" fillId="5" borderId="5" xfId="4" applyFont="1" applyFill="1" applyBorder="1" applyAlignment="1" applyProtection="1">
      <alignment horizontal="left" vertical="center" wrapText="1"/>
    </xf>
    <xf numFmtId="14" fontId="11" fillId="2" borderId="5" xfId="2" applyNumberFormat="1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Alignment="1" applyProtection="1">
      <alignment horizontal="center" vertical="center" wrapText="1"/>
    </xf>
    <xf numFmtId="3" fontId="12" fillId="0" borderId="0" xfId="0" applyNumberFormat="1" applyFont="1" applyBorder="1" applyAlignment="1" applyProtection="1">
      <alignment vertical="center"/>
    </xf>
    <xf numFmtId="9" fontId="12" fillId="0" borderId="0" xfId="1" applyFont="1" applyBorder="1" applyAlignment="1" applyProtection="1">
      <alignment vertical="center"/>
    </xf>
    <xf numFmtId="0" fontId="6" fillId="5" borderId="5" xfId="4" applyFont="1" applyFill="1" applyBorder="1" applyAlignment="1" applyProtection="1">
      <alignment horizontal="left" vertical="center" wrapText="1"/>
    </xf>
    <xf numFmtId="14" fontId="6" fillId="2" borderId="5" xfId="2" applyNumberFormat="1" applyFont="1" applyBorder="1" applyAlignment="1" applyProtection="1">
      <alignment horizontal="center" vertical="center"/>
    </xf>
    <xf numFmtId="3" fontId="12" fillId="0" borderId="5" xfId="0" applyNumberFormat="1" applyFont="1" applyBorder="1" applyAlignment="1" applyProtection="1">
      <alignment horizontal="center" vertical="center"/>
      <protection locked="0"/>
    </xf>
    <xf numFmtId="3" fontId="6" fillId="2" borderId="5" xfId="2" applyNumberFormat="1" applyFont="1" applyBorder="1" applyAlignment="1" applyProtection="1">
      <alignment horizontal="center" vertical="center" wrapText="1"/>
    </xf>
    <xf numFmtId="0" fontId="6" fillId="5" borderId="5" xfId="0" applyFont="1" applyFill="1" applyBorder="1" applyAlignment="1" applyProtection="1">
      <alignment horizontal="left" vertical="center" wrapText="1"/>
    </xf>
    <xf numFmtId="3" fontId="11" fillId="2" borderId="5" xfId="2" applyNumberFormat="1" applyFont="1" applyBorder="1" applyAlignment="1" applyProtection="1">
      <alignment horizontal="left" vertical="center" wrapText="1"/>
    </xf>
    <xf numFmtId="0" fontId="15" fillId="5" borderId="5" xfId="0" applyFont="1" applyFill="1" applyBorder="1" applyAlignment="1" applyProtection="1">
      <alignment horizontal="left" vertical="center" wrapText="1" indent="1"/>
    </xf>
    <xf numFmtId="3" fontId="12" fillId="0" borderId="5" xfId="0" applyNumberFormat="1" applyFont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vertical="center"/>
    </xf>
    <xf numFmtId="0" fontId="6" fillId="5" borderId="5" xfId="4" applyFont="1" applyFill="1" applyBorder="1" applyAlignment="1" applyProtection="1">
      <alignment horizontal="left" vertical="center" wrapText="1" indent="1"/>
    </xf>
    <xf numFmtId="0" fontId="11" fillId="0" borderId="0" xfId="0" applyFont="1" applyBorder="1" applyAlignment="1" applyProtection="1">
      <alignment vertical="center"/>
    </xf>
    <xf numFmtId="0" fontId="16" fillId="0" borderId="6" xfId="0" applyFont="1" applyBorder="1" applyAlignment="1" applyProtection="1">
      <alignment horizontal="left" vertical="center"/>
    </xf>
    <xf numFmtId="0" fontId="16" fillId="0" borderId="6" xfId="0" applyFont="1" applyBorder="1" applyAlignment="1" applyProtection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11" fillId="0" borderId="0" xfId="4" applyFont="1" applyFill="1" applyBorder="1" applyAlignment="1" applyProtection="1">
      <alignment horizontal="center" vertical="center" wrapText="1"/>
    </xf>
    <xf numFmtId="3" fontId="11" fillId="0" borderId="0" xfId="2" applyNumberFormat="1" applyFont="1" applyFill="1" applyBorder="1" applyAlignment="1" applyProtection="1">
      <alignment horizontal="center" vertical="center" wrapText="1"/>
    </xf>
    <xf numFmtId="3" fontId="11" fillId="2" borderId="5" xfId="2" quotePrefix="1" applyNumberFormat="1" applyFont="1" applyBorder="1" applyAlignment="1" applyProtection="1">
      <alignment horizontal="center" vertical="center" wrapText="1"/>
    </xf>
    <xf numFmtId="3" fontId="11" fillId="0" borderId="0" xfId="2" quotePrefix="1" applyNumberFormat="1" applyFont="1" applyFill="1" applyBorder="1" applyAlignment="1" applyProtection="1">
      <alignment horizontal="center" vertical="center" wrapText="1"/>
    </xf>
    <xf numFmtId="0" fontId="11" fillId="4" borderId="0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3" fontId="6" fillId="2" borderId="5" xfId="2" quotePrefix="1" applyNumberFormat="1" applyFont="1" applyBorder="1" applyAlignment="1" applyProtection="1">
      <alignment horizontal="center" vertical="center" wrapText="1"/>
    </xf>
    <xf numFmtId="164" fontId="6" fillId="2" borderId="5" xfId="2" quotePrefix="1" applyNumberFormat="1" applyFont="1" applyBorder="1" applyAlignment="1" applyProtection="1">
      <alignment horizontal="center" vertical="center" wrapText="1"/>
    </xf>
    <xf numFmtId="3" fontId="6" fillId="0" borderId="0" xfId="2" quotePrefix="1" applyNumberFormat="1" applyFont="1" applyFill="1" applyBorder="1" applyAlignment="1" applyProtection="1">
      <alignment horizontal="center" vertical="center" wrapText="1"/>
    </xf>
    <xf numFmtId="0" fontId="6" fillId="5" borderId="5" xfId="0" applyFont="1" applyFill="1" applyBorder="1" applyAlignment="1" applyProtection="1">
      <alignment horizontal="left" vertical="center" wrapText="1" indent="2"/>
    </xf>
    <xf numFmtId="3" fontId="6" fillId="0" borderId="5" xfId="2" quotePrefix="1" applyNumberFormat="1" applyFont="1" applyFill="1" applyBorder="1" applyAlignment="1" applyProtection="1">
      <alignment horizontal="center" vertical="center" wrapText="1"/>
      <protection locked="0"/>
    </xf>
    <xf numFmtId="3" fontId="6" fillId="6" borderId="5" xfId="2" quotePrefix="1" applyNumberFormat="1" applyFont="1" applyFill="1" applyBorder="1" applyAlignment="1" applyProtection="1">
      <alignment horizontal="center" vertical="center" wrapText="1"/>
    </xf>
    <xf numFmtId="9" fontId="6" fillId="2" borderId="5" xfId="1" quotePrefix="1" applyNumberFormat="1" applyFont="1" applyFill="1" applyBorder="1" applyAlignment="1" applyProtection="1">
      <alignment horizontal="center" vertical="center" wrapText="1"/>
    </xf>
    <xf numFmtId="9" fontId="6" fillId="2" borderId="5" xfId="1" applyFont="1" applyFill="1" applyBorder="1" applyAlignment="1" applyProtection="1">
      <alignment horizontal="center" vertical="center" wrapText="1"/>
    </xf>
    <xf numFmtId="9" fontId="6" fillId="2" borderId="5" xfId="1" applyNumberFormat="1" applyFont="1" applyFill="1" applyBorder="1" applyAlignment="1" applyProtection="1">
      <alignment horizontal="center" vertical="center" wrapText="1"/>
    </xf>
    <xf numFmtId="3" fontId="6" fillId="0" borderId="0" xfId="1" applyNumberFormat="1" applyFont="1" applyFill="1" applyBorder="1" applyAlignment="1" applyProtection="1">
      <alignment horizontal="center" vertical="center" wrapText="1"/>
    </xf>
    <xf numFmtId="3" fontId="6" fillId="2" borderId="5" xfId="1" applyNumberFormat="1" applyFont="1" applyFill="1" applyBorder="1" applyAlignment="1" applyProtection="1">
      <alignment horizontal="center" vertical="center" wrapText="1"/>
    </xf>
    <xf numFmtId="9" fontId="6" fillId="2" borderId="5" xfId="1" quotePrefix="1" applyFont="1" applyFill="1" applyBorder="1" applyAlignment="1" applyProtection="1">
      <alignment horizontal="center" vertical="center" wrapText="1"/>
    </xf>
    <xf numFmtId="9" fontId="11" fillId="2" borderId="5" xfId="1" applyFont="1" applyFill="1" applyBorder="1" applyAlignment="1" applyProtection="1">
      <alignment horizontal="center" vertical="center" wrapText="1"/>
    </xf>
    <xf numFmtId="0" fontId="6" fillId="5" borderId="5" xfId="4" applyFont="1" applyFill="1" applyBorder="1" applyAlignment="1" applyProtection="1">
      <alignment horizontal="center" vertical="center" wrapText="1"/>
    </xf>
    <xf numFmtId="165" fontId="6" fillId="2" borderId="5" xfId="1" applyNumberFormat="1" applyFont="1" applyFill="1" applyBorder="1" applyAlignment="1" applyProtection="1">
      <alignment horizontal="center" vertical="center" wrapText="1"/>
    </xf>
    <xf numFmtId="0" fontId="6" fillId="5" borderId="5" xfId="0" applyFont="1" applyFill="1" applyBorder="1" applyAlignment="1" applyProtection="1">
      <alignment horizontal="left" vertical="center" wrapText="1" indent="1"/>
    </xf>
    <xf numFmtId="0" fontId="12" fillId="0" borderId="0" xfId="0" applyFont="1" applyBorder="1"/>
    <xf numFmtId="0" fontId="14" fillId="0" borderId="0" xfId="0" applyFont="1" applyBorder="1"/>
    <xf numFmtId="0" fontId="13" fillId="4" borderId="0" xfId="0" applyFont="1" applyFill="1" applyBorder="1" applyAlignment="1" applyProtection="1"/>
    <xf numFmtId="0" fontId="6" fillId="5" borderId="5" xfId="4" applyFont="1" applyFill="1" applyBorder="1" applyAlignment="1" applyProtection="1">
      <alignment horizontal="left" vertical="center" wrapText="1" indent="2"/>
    </xf>
    <xf numFmtId="3" fontId="11" fillId="2" borderId="5" xfId="2" applyNumberFormat="1" applyFont="1" applyBorder="1" applyAlignment="1" applyProtection="1">
      <alignment horizontal="center" vertical="center" wrapText="1"/>
    </xf>
    <xf numFmtId="3" fontId="6" fillId="2" borderId="5" xfId="2" quotePrefix="1" applyNumberFormat="1" applyFont="1" applyBorder="1" applyAlignment="1" applyProtection="1">
      <alignment horizontal="center" vertical="center" wrapText="1"/>
      <protection locked="0"/>
    </xf>
    <xf numFmtId="0" fontId="11" fillId="5" borderId="5" xfId="4" applyFont="1" applyFill="1" applyBorder="1" applyAlignment="1" applyProtection="1">
      <alignment horizontal="left" vertical="top" wrapText="1"/>
    </xf>
    <xf numFmtId="0" fontId="6" fillId="5" borderId="5" xfId="4" applyFont="1" applyFill="1" applyBorder="1" applyAlignment="1" applyProtection="1">
      <alignment horizontal="left" vertical="top" wrapText="1"/>
    </xf>
    <xf numFmtId="165" fontId="11" fillId="2" borderId="5" xfId="1" applyNumberFormat="1" applyFont="1" applyFill="1" applyBorder="1" applyAlignment="1" applyProtection="1">
      <alignment horizontal="center" vertical="center"/>
    </xf>
    <xf numFmtId="3" fontId="6" fillId="2" borderId="5" xfId="2" applyNumberFormat="1" applyFont="1" applyBorder="1" applyAlignment="1" applyProtection="1">
      <alignment horizontal="center" vertical="center"/>
    </xf>
    <xf numFmtId="3" fontId="11" fillId="2" borderId="5" xfId="2" applyNumberFormat="1" applyFont="1" applyBorder="1" applyAlignment="1" applyProtection="1">
      <alignment horizontal="center" vertical="center" wrapText="1"/>
    </xf>
    <xf numFmtId="0" fontId="11" fillId="5" borderId="5" xfId="4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3" fontId="6" fillId="0" borderId="0" xfId="0" applyNumberFormat="1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8" fillId="4" borderId="0" xfId="0" applyFont="1" applyFill="1" applyBorder="1" applyAlignment="1" applyProtection="1">
      <alignment vertical="center"/>
    </xf>
    <xf numFmtId="0" fontId="8" fillId="4" borderId="0" xfId="0" applyFont="1" applyFill="1" applyBorder="1" applyAlignment="1" applyProtection="1">
      <alignment horizontal="left" vertical="center"/>
    </xf>
    <xf numFmtId="0" fontId="8" fillId="4" borderId="0" xfId="0" applyFont="1" applyFill="1" applyBorder="1" applyAlignment="1" applyProtection="1">
      <alignment horizontal="right" vertical="center"/>
    </xf>
    <xf numFmtId="0" fontId="8" fillId="0" borderId="0" xfId="0" applyFont="1" applyFill="1" applyBorder="1" applyAlignment="1" applyProtection="1">
      <alignment horizontal="right" vertical="center"/>
    </xf>
    <xf numFmtId="0" fontId="11" fillId="0" borderId="0" xfId="0" applyFont="1" applyBorder="1" applyAlignment="1">
      <alignment vertical="center"/>
    </xf>
    <xf numFmtId="3" fontId="6" fillId="0" borderId="5" xfId="0" applyNumberFormat="1" applyFont="1" applyBorder="1" applyAlignment="1" applyProtection="1">
      <alignment horizontal="center" vertical="center"/>
      <protection locked="0"/>
    </xf>
    <xf numFmtId="3" fontId="11" fillId="2" borderId="5" xfId="2" applyNumberFormat="1" applyFont="1" applyBorder="1" applyAlignment="1" applyProtection="1">
      <alignment horizontal="center" vertical="center" wrapText="1"/>
    </xf>
    <xf numFmtId="3" fontId="11" fillId="2" borderId="5" xfId="2" applyNumberFormat="1" applyFont="1" applyBorder="1" applyAlignment="1" applyProtection="1">
      <alignment horizontal="center" vertical="center" wrapText="1"/>
    </xf>
    <xf numFmtId="3" fontId="6" fillId="6" borderId="5" xfId="0" applyNumberFormat="1" applyFont="1" applyFill="1" applyBorder="1" applyAlignment="1" applyProtection="1">
      <alignment horizontal="center" vertical="center"/>
    </xf>
    <xf numFmtId="0" fontId="12" fillId="5" borderId="5" xfId="4" applyFont="1" applyFill="1" applyBorder="1" applyAlignment="1" applyProtection="1">
      <alignment horizontal="left" vertical="center" wrapText="1"/>
    </xf>
    <xf numFmtId="0" fontId="12" fillId="5" borderId="5" xfId="4" applyFont="1" applyFill="1" applyBorder="1" applyAlignment="1" applyProtection="1">
      <alignment horizontal="center" vertical="center" wrapText="1"/>
    </xf>
    <xf numFmtId="3" fontId="12" fillId="0" borderId="5" xfId="2" quotePrefix="1" applyNumberFormat="1" applyFont="1" applyFill="1" applyBorder="1" applyAlignment="1" applyProtection="1">
      <alignment horizontal="center" vertical="center" wrapText="1"/>
      <protection locked="0"/>
    </xf>
    <xf numFmtId="3" fontId="12" fillId="2" borderId="5" xfId="2" quotePrefix="1" applyNumberFormat="1" applyFont="1" applyBorder="1" applyAlignment="1" applyProtection="1">
      <alignment horizontal="center" vertical="center" wrapText="1"/>
    </xf>
    <xf numFmtId="9" fontId="12" fillId="2" borderId="5" xfId="1" applyFont="1" applyFill="1" applyBorder="1" applyAlignment="1" applyProtection="1">
      <alignment horizontal="center" vertical="center" wrapText="1"/>
    </xf>
    <xf numFmtId="0" fontId="7" fillId="3" borderId="2" xfId="2" applyNumberFormat="1" applyFont="1" applyFill="1" applyBorder="1" applyAlignment="1" applyProtection="1">
      <alignment horizontal="left" vertical="center" indent="1"/>
      <protection locked="0"/>
    </xf>
    <xf numFmtId="0" fontId="7" fillId="3" borderId="3" xfId="2" applyNumberFormat="1" applyFont="1" applyFill="1" applyBorder="1" applyAlignment="1" applyProtection="1">
      <alignment horizontal="left" vertical="center" indent="1"/>
      <protection locked="0"/>
    </xf>
    <xf numFmtId="0" fontId="7" fillId="3" borderId="4" xfId="2" applyNumberFormat="1" applyFont="1" applyFill="1" applyBorder="1" applyAlignment="1" applyProtection="1">
      <alignment horizontal="left" vertical="center" indent="1"/>
      <protection locked="0"/>
    </xf>
    <xf numFmtId="0" fontId="2" fillId="2" borderId="1" xfId="2" applyNumberFormat="1" applyFont="1" applyBorder="1" applyAlignment="1" applyProtection="1">
      <alignment horizontal="center" vertical="center" wrapText="1"/>
    </xf>
    <xf numFmtId="0" fontId="2" fillId="2" borderId="1" xfId="2" applyNumberFormat="1" applyFont="1" applyBorder="1" applyAlignment="1" applyProtection="1">
      <alignment horizontal="center" vertical="center"/>
    </xf>
    <xf numFmtId="0" fontId="5" fillId="2" borderId="1" xfId="2" applyNumberFormat="1" applyFont="1" applyBorder="1" applyAlignment="1" applyProtection="1">
      <alignment horizontal="center" vertical="center"/>
    </xf>
    <xf numFmtId="0" fontId="5" fillId="0" borderId="2" xfId="2" applyNumberFormat="1" applyFont="1" applyFill="1" applyBorder="1" applyAlignment="1" applyProtection="1">
      <alignment horizontal="center" vertical="center" wrapText="1"/>
      <protection locked="0"/>
    </xf>
    <xf numFmtId="0" fontId="5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5" fillId="0" borderId="4" xfId="2" applyNumberFormat="1" applyFont="1" applyFill="1" applyBorder="1" applyAlignment="1" applyProtection="1">
      <alignment horizontal="center" vertical="center" wrapText="1"/>
      <protection locked="0"/>
    </xf>
    <xf numFmtId="0" fontId="8" fillId="2" borderId="2" xfId="2" applyNumberFormat="1" applyFont="1" applyBorder="1" applyAlignment="1" applyProtection="1">
      <alignment horizontal="center" vertical="center"/>
    </xf>
    <xf numFmtId="0" fontId="8" fillId="2" borderId="3" xfId="2" applyNumberFormat="1" applyFont="1" applyBorder="1" applyAlignment="1" applyProtection="1">
      <alignment horizontal="center" vertical="center"/>
    </xf>
    <xf numFmtId="0" fontId="8" fillId="2" borderId="4" xfId="2" applyNumberFormat="1" applyFont="1" applyBorder="1" applyAlignment="1" applyProtection="1">
      <alignment horizontal="center" vertical="center"/>
    </xf>
    <xf numFmtId="0" fontId="10" fillId="3" borderId="2" xfId="2" applyNumberFormat="1" applyFont="1" applyFill="1" applyBorder="1" applyAlignment="1" applyProtection="1">
      <alignment horizontal="left" vertical="center" indent="1"/>
      <protection locked="0"/>
    </xf>
    <xf numFmtId="0" fontId="10" fillId="3" borderId="3" xfId="2" applyNumberFormat="1" applyFont="1" applyFill="1" applyBorder="1" applyAlignment="1" applyProtection="1">
      <alignment horizontal="left" vertical="center" indent="1"/>
      <protection locked="0"/>
    </xf>
    <xf numFmtId="0" fontId="10" fillId="3" borderId="4" xfId="2" applyNumberFormat="1" applyFont="1" applyFill="1" applyBorder="1" applyAlignment="1" applyProtection="1">
      <alignment horizontal="left" vertical="center" indent="1"/>
      <protection locked="0"/>
    </xf>
    <xf numFmtId="0" fontId="8" fillId="2" borderId="1" xfId="2" applyNumberFormat="1" applyFont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 wrapText="1"/>
    </xf>
    <xf numFmtId="0" fontId="13" fillId="4" borderId="0" xfId="0" applyFont="1" applyFill="1" applyBorder="1" applyAlignment="1" applyProtection="1">
      <alignment horizontal="right" vertical="center"/>
    </xf>
    <xf numFmtId="0" fontId="11" fillId="5" borderId="5" xfId="0" applyFont="1" applyFill="1" applyBorder="1" applyAlignment="1" applyProtection="1">
      <alignment horizontal="center" vertical="center" wrapText="1"/>
    </xf>
    <xf numFmtId="3" fontId="11" fillId="2" borderId="5" xfId="2" applyNumberFormat="1" applyFont="1" applyBorder="1" applyAlignment="1" applyProtection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11" fillId="5" borderId="5" xfId="4" applyFont="1" applyFill="1" applyBorder="1" applyAlignment="1" applyProtection="1">
      <alignment horizontal="center" vertical="center" wrapText="1"/>
    </xf>
    <xf numFmtId="0" fontId="11" fillId="6" borderId="5" xfId="4" applyFont="1" applyFill="1" applyBorder="1" applyAlignment="1" applyProtection="1">
      <alignment horizontal="center" vertical="center" wrapText="1"/>
    </xf>
    <xf numFmtId="49" fontId="11" fillId="5" borderId="5" xfId="4" applyNumberFormat="1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 applyProtection="1">
      <alignment horizontal="right" vertical="center"/>
    </xf>
    <xf numFmtId="0" fontId="7" fillId="3" borderId="1" xfId="2" applyNumberFormat="1" applyFont="1" applyFill="1" applyAlignment="1" applyProtection="1">
      <alignment horizontal="left" vertical="center" indent="1"/>
      <protection locked="0"/>
    </xf>
    <xf numFmtId="0" fontId="10" fillId="3" borderId="1" xfId="2" applyNumberFormat="1" applyFont="1" applyFill="1" applyAlignment="1" applyProtection="1">
      <alignment horizontal="left" vertical="center" indent="1"/>
      <protection locked="0"/>
    </xf>
    <xf numFmtId="0" fontId="7" fillId="3" borderId="1" xfId="2" applyNumberFormat="1" applyFont="1" applyFill="1" applyAlignment="1" applyProtection="1">
      <alignment horizontal="left" vertical="center" indent="1"/>
      <protection locked="0"/>
    </xf>
    <xf numFmtId="14" fontId="7" fillId="3" borderId="1" xfId="2" applyNumberFormat="1" applyFont="1" applyFill="1" applyBorder="1" applyAlignment="1" applyProtection="1">
      <alignment horizontal="left" vertical="center" indent="1"/>
      <protection locked="0"/>
    </xf>
  </cellXfs>
  <cellStyles count="5">
    <cellStyle name="Normal" xfId="0" builtinId="0"/>
    <cellStyle name="Normal_PRUDENSIAL_1NNN_MMYY1-YENI-unprotected" xfId="4"/>
    <cellStyle name="Normal_titulniy list" xfId="3"/>
    <cellStyle name="Note" xfId="2" builtinId="10"/>
    <cellStyle name="Percent" xfId="1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style="1" customWidth="1"/>
    <col min="2" max="2" width="52.140625" style="1" customWidth="1"/>
    <col min="3" max="3" width="18.7109375" style="1" customWidth="1"/>
    <col min="4" max="4" width="25.140625" style="1" customWidth="1"/>
    <col min="5" max="5" width="17.42578125" style="1" customWidth="1"/>
    <col min="6" max="16384" width="9.140625" style="1"/>
  </cols>
  <sheetData>
    <row r="2" spans="2:5" ht="18.75" x14ac:dyDescent="0.25">
      <c r="B2" s="97" t="s">
        <v>0</v>
      </c>
      <c r="C2" s="97"/>
      <c r="D2" s="97"/>
      <c r="E2" s="97"/>
    </row>
    <row r="3" spans="2:5" ht="18.75" x14ac:dyDescent="0.25">
      <c r="B3" s="2"/>
      <c r="C3" s="2"/>
      <c r="D3" s="2"/>
      <c r="E3" s="2"/>
    </row>
    <row r="4" spans="2:5" ht="18.75" x14ac:dyDescent="0.25">
      <c r="B4" s="98" t="s">
        <v>1</v>
      </c>
      <c r="C4" s="98"/>
      <c r="D4" s="98"/>
      <c r="E4" s="98"/>
    </row>
    <row r="5" spans="2:5" ht="18.75" x14ac:dyDescent="0.25">
      <c r="B5" s="3"/>
      <c r="C5" s="4"/>
      <c r="D5" s="4"/>
      <c r="E5" s="4"/>
    </row>
    <row r="6" spans="2:5" ht="19.5" customHeight="1" x14ac:dyDescent="0.25">
      <c r="B6" s="99" t="s">
        <v>2</v>
      </c>
      <c r="C6" s="99"/>
      <c r="D6" s="99"/>
      <c r="E6" s="99"/>
    </row>
    <row r="7" spans="2:5" x14ac:dyDescent="0.25">
      <c r="B7" s="5"/>
      <c r="C7" s="5"/>
      <c r="D7" s="5"/>
      <c r="E7" s="5"/>
    </row>
    <row r="8" spans="2:5" ht="17.25" customHeight="1" x14ac:dyDescent="0.25">
      <c r="B8" s="6" t="s">
        <v>3</v>
      </c>
      <c r="C8" s="122" t="s">
        <v>209</v>
      </c>
      <c r="D8" s="8" t="s">
        <v>4</v>
      </c>
      <c r="E8" s="7"/>
    </row>
    <row r="9" spans="2:5" ht="17.25" customHeight="1" x14ac:dyDescent="0.25">
      <c r="B9" s="6" t="s">
        <v>5</v>
      </c>
      <c r="C9" s="7"/>
      <c r="D9" s="9"/>
      <c r="E9" s="10"/>
    </row>
    <row r="10" spans="2:5" ht="17.25" customHeight="1" x14ac:dyDescent="0.25">
      <c r="B10" s="6" t="s">
        <v>6</v>
      </c>
      <c r="C10" s="123">
        <f ca="1">TODAY()</f>
        <v>45355</v>
      </c>
      <c r="D10" s="11"/>
      <c r="E10" s="12"/>
    </row>
    <row r="11" spans="2:5" x14ac:dyDescent="0.25">
      <c r="B11" s="5"/>
      <c r="C11" s="5"/>
      <c r="D11" s="5"/>
      <c r="E11" s="5"/>
    </row>
    <row r="12" spans="2:5" ht="17.25" customHeight="1" x14ac:dyDescent="0.25">
      <c r="B12" s="13" t="s">
        <v>7</v>
      </c>
      <c r="C12" s="100"/>
      <c r="D12" s="101"/>
      <c r="E12" s="102"/>
    </row>
    <row r="13" spans="2:5" ht="15.75" customHeight="1" x14ac:dyDescent="0.25">
      <c r="B13" s="14" t="s">
        <v>8</v>
      </c>
      <c r="C13" s="103"/>
      <c r="D13" s="104"/>
      <c r="E13" s="105"/>
    </row>
    <row r="14" spans="2:5" ht="15.75" x14ac:dyDescent="0.25">
      <c r="B14" s="15" t="s">
        <v>9</v>
      </c>
      <c r="C14" s="94" t="s">
        <v>204</v>
      </c>
      <c r="D14" s="95"/>
      <c r="E14" s="96"/>
    </row>
    <row r="15" spans="2:5" ht="15.75" x14ac:dyDescent="0.25">
      <c r="B15" s="15" t="s">
        <v>10</v>
      </c>
      <c r="C15" s="94" t="s">
        <v>205</v>
      </c>
      <c r="D15" s="95"/>
      <c r="E15" s="96"/>
    </row>
    <row r="16" spans="2:5" ht="15.75" x14ac:dyDescent="0.25">
      <c r="B16" s="15" t="s">
        <v>11</v>
      </c>
      <c r="C16" s="106" t="s">
        <v>206</v>
      </c>
      <c r="D16" s="107"/>
      <c r="E16" s="108"/>
    </row>
    <row r="17" spans="2:5" ht="15.75" x14ac:dyDescent="0.25">
      <c r="B17" s="15" t="s">
        <v>12</v>
      </c>
      <c r="C17" s="94" t="s">
        <v>207</v>
      </c>
      <c r="D17" s="95"/>
      <c r="E17" s="96"/>
    </row>
    <row r="18" spans="2:5" ht="15.75" x14ac:dyDescent="0.25">
      <c r="B18" s="13" t="s">
        <v>13</v>
      </c>
      <c r="C18" s="109"/>
      <c r="D18" s="109"/>
      <c r="E18" s="109"/>
    </row>
    <row r="19" spans="2:5" ht="15.75" x14ac:dyDescent="0.25">
      <c r="B19" s="16" t="s">
        <v>9</v>
      </c>
      <c r="C19" s="120" t="s">
        <v>204</v>
      </c>
      <c r="D19" s="120"/>
      <c r="E19" s="120"/>
    </row>
    <row r="20" spans="2:5" ht="15.75" x14ac:dyDescent="0.25">
      <c r="B20" s="16" t="s">
        <v>10</v>
      </c>
      <c r="C20" s="120" t="s">
        <v>208</v>
      </c>
      <c r="D20" s="120"/>
      <c r="E20" s="120"/>
    </row>
    <row r="21" spans="2:5" ht="15.75" x14ac:dyDescent="0.25">
      <c r="B21" s="16" t="s">
        <v>11</v>
      </c>
      <c r="C21" s="121" t="s">
        <v>206</v>
      </c>
      <c r="D21" s="120"/>
      <c r="E21" s="120"/>
    </row>
    <row r="22" spans="2:5" ht="15.75" x14ac:dyDescent="0.25">
      <c r="B22" s="16" t="s">
        <v>12</v>
      </c>
      <c r="C22" s="120" t="s">
        <v>207</v>
      </c>
      <c r="D22" s="120"/>
      <c r="E22" s="120"/>
    </row>
  </sheetData>
  <sheetProtection password="D95A" sheet="1" formatColumns="0" formatRows="0"/>
  <mergeCells count="14"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54" priority="3">
      <formula>B1048566="PLEASE CORRECT ALL COMPARISON RULES"</formula>
    </cfRule>
  </conditionalFormatting>
  <conditionalFormatting sqref="B2:E2">
    <cfRule type="expression" dxfId="53" priority="15">
      <formula>B1="PLEASE CORRECT ALL COMPARISON RULES"</formula>
    </cfRule>
  </conditionalFormatting>
  <conditionalFormatting sqref="B4:E4">
    <cfRule type="expression" dxfId="52" priority="14">
      <formula>B1="PLEASE CORRECT ALL COMPARISON RULES"</formula>
    </cfRule>
  </conditionalFormatting>
  <conditionalFormatting sqref="B6:E6">
    <cfRule type="expression" dxfId="51" priority="13">
      <formula>B1="PLEASE CORRECT ALL COMPARISON RULES"</formula>
    </cfRule>
  </conditionalFormatting>
  <conditionalFormatting sqref="B8">
    <cfRule type="expression" dxfId="50" priority="12">
      <formula>B1="PLEASE CORRECT ALL COMPARISON RULES"</formula>
    </cfRule>
  </conditionalFormatting>
  <conditionalFormatting sqref="D8">
    <cfRule type="expression" dxfId="49" priority="11">
      <formula>B1="PLEASE CORRECT ALL COMPARISON RULES"</formula>
    </cfRule>
  </conditionalFormatting>
  <conditionalFormatting sqref="B10">
    <cfRule type="expression" dxfId="48" priority="10">
      <formula>B1="PLEASE CORRECT ALL COMPARISON RULES"</formula>
    </cfRule>
  </conditionalFormatting>
  <conditionalFormatting sqref="B9">
    <cfRule type="expression" dxfId="47" priority="9">
      <formula>B1="PLEASE CORRECT ALL COMPARISON RULES"</formula>
    </cfRule>
  </conditionalFormatting>
  <conditionalFormatting sqref="B22 B16">
    <cfRule type="expression" dxfId="46" priority="8">
      <formula>B1048560="PLEASE CORRECT ALL COMPARISON RULES"</formula>
    </cfRule>
  </conditionalFormatting>
  <conditionalFormatting sqref="B21 B15">
    <cfRule type="expression" dxfId="45" priority="7">
      <formula>B1048560="PLEASE CORRECT ALL COMPARISON RULES"</formula>
    </cfRule>
  </conditionalFormatting>
  <conditionalFormatting sqref="B20 B14">
    <cfRule type="expression" dxfId="44" priority="6">
      <formula>B1048560="PLEASE CORRECT ALL COMPARISON RULES"</formula>
    </cfRule>
  </conditionalFormatting>
  <conditionalFormatting sqref="B19 B13">
    <cfRule type="expression" dxfId="43" priority="5">
      <formula>B1048560="PLEASE CORRECT ALL COMPARISON RULES"</formula>
    </cfRule>
  </conditionalFormatting>
  <conditionalFormatting sqref="B18">
    <cfRule type="expression" dxfId="42" priority="4">
      <formula>B1048566="PLEASE CORRECT ALL COMPARISON RULES"</formula>
    </cfRule>
  </conditionalFormatting>
  <conditionalFormatting sqref="C12">
    <cfRule type="expression" dxfId="41" priority="2">
      <formula>C1048566="PLEASE CORRECT ALL COMPARISON RULES"</formula>
    </cfRule>
  </conditionalFormatting>
  <conditionalFormatting sqref="B17">
    <cfRule type="expression" dxfId="4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style="19" customWidth="1"/>
    <col min="2" max="2" width="5" style="19" bestFit="1" customWidth="1"/>
    <col min="3" max="11" width="12.42578125" style="26" customWidth="1"/>
    <col min="12" max="12" width="8.7109375" style="19" customWidth="1"/>
    <col min="13" max="15" width="8.5703125" style="19" customWidth="1"/>
    <col min="16" max="16384" width="9.140625" style="19"/>
  </cols>
  <sheetData>
    <row r="2" spans="1:22" ht="15.75" x14ac:dyDescent="0.25">
      <c r="A2" s="110" t="s">
        <v>14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spans="1:22" ht="15.75" x14ac:dyDescent="0.25">
      <c r="A3" s="110" t="s">
        <v>15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 spans="1:22" x14ac:dyDescent="0.25">
      <c r="A4" s="111" t="s">
        <v>16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spans="1:22" ht="18.75" customHeight="1" x14ac:dyDescent="0.25">
      <c r="A5" s="112" t="s">
        <v>141</v>
      </c>
      <c r="B5" s="112"/>
      <c r="C5" s="113" t="s">
        <v>17</v>
      </c>
      <c r="D5" s="113"/>
      <c r="E5" s="113"/>
      <c r="F5" s="113" t="s">
        <v>18</v>
      </c>
      <c r="G5" s="113"/>
      <c r="H5" s="113"/>
      <c r="I5" s="113" t="s">
        <v>19</v>
      </c>
      <c r="J5" s="113"/>
      <c r="K5" s="113"/>
    </row>
    <row r="6" spans="1:22" ht="14.25" customHeight="1" x14ac:dyDescent="0.25">
      <c r="A6" s="112"/>
      <c r="B6" s="112"/>
      <c r="C6" s="20" t="s">
        <v>20</v>
      </c>
      <c r="D6" s="20" t="s">
        <v>21</v>
      </c>
      <c r="E6" s="20" t="s">
        <v>22</v>
      </c>
      <c r="F6" s="20" t="s">
        <v>20</v>
      </c>
      <c r="G6" s="20" t="s">
        <v>21</v>
      </c>
      <c r="H6" s="20" t="s">
        <v>22</v>
      </c>
      <c r="I6" s="20" t="s">
        <v>20</v>
      </c>
      <c r="J6" s="20" t="s">
        <v>21</v>
      </c>
      <c r="K6" s="20" t="s">
        <v>22</v>
      </c>
    </row>
    <row r="7" spans="1:22" x14ac:dyDescent="0.25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spans="1:22" s="23" customFormat="1" ht="18.75" customHeight="1" x14ac:dyDescent="0.25">
      <c r="A8" s="21" t="s">
        <v>23</v>
      </c>
      <c r="B8" s="22" t="s">
        <v>24</v>
      </c>
      <c r="C8" s="20">
        <f>C21+C38</f>
        <v>0</v>
      </c>
      <c r="D8" s="20">
        <f t="shared" ref="D8:J8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 spans="1:22" x14ac:dyDescent="0.25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spans="1:22" ht="15.75" x14ac:dyDescent="0.25">
      <c r="A10" s="110" t="s">
        <v>25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 spans="1:22" x14ac:dyDescent="0.25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spans="1:22" s="23" customFormat="1" ht="18" customHeight="1" x14ac:dyDescent="0.25">
      <c r="A12" s="112" t="s">
        <v>141</v>
      </c>
      <c r="B12" s="112"/>
      <c r="C12" s="113" t="s">
        <v>17</v>
      </c>
      <c r="D12" s="113"/>
      <c r="E12" s="113"/>
      <c r="F12" s="113" t="s">
        <v>18</v>
      </c>
      <c r="G12" s="113"/>
      <c r="H12" s="113"/>
      <c r="I12" s="113" t="s">
        <v>19</v>
      </c>
      <c r="J12" s="113"/>
      <c r="K12" s="113"/>
    </row>
    <row r="13" spans="1:22" s="23" customFormat="1" x14ac:dyDescent="0.25">
      <c r="A13" s="112"/>
      <c r="B13" s="112"/>
      <c r="C13" s="20" t="s">
        <v>20</v>
      </c>
      <c r="D13" s="20" t="s">
        <v>21</v>
      </c>
      <c r="E13" s="20" t="s">
        <v>22</v>
      </c>
      <c r="F13" s="20" t="s">
        <v>20</v>
      </c>
      <c r="G13" s="20" t="s">
        <v>21</v>
      </c>
      <c r="H13" s="20" t="s">
        <v>22</v>
      </c>
      <c r="I13" s="20" t="s">
        <v>20</v>
      </c>
      <c r="J13" s="20" t="s">
        <v>21</v>
      </c>
      <c r="K13" s="20" t="s">
        <v>22</v>
      </c>
    </row>
    <row r="14" spans="1:22" s="23" customFormat="1" ht="16.5" customHeight="1" x14ac:dyDescent="0.25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spans="1:22" s="23" customFormat="1" ht="40.5" customHeight="1" x14ac:dyDescent="0.25">
      <c r="A15" s="28" t="s">
        <v>26</v>
      </c>
      <c r="B15" s="29" t="s">
        <v>27</v>
      </c>
      <c r="C15" s="30"/>
      <c r="D15" s="30"/>
      <c r="E15" s="31">
        <f>C15+D15</f>
        <v>0</v>
      </c>
      <c r="F15" s="69" t="s">
        <v>59</v>
      </c>
      <c r="G15" s="69" t="s">
        <v>59</v>
      </c>
      <c r="H15" s="69" t="s">
        <v>59</v>
      </c>
      <c r="I15" s="31">
        <f>C15</f>
        <v>0</v>
      </c>
      <c r="J15" s="31">
        <f>D15</f>
        <v>0</v>
      </c>
      <c r="K15" s="31">
        <f>E15</f>
        <v>0</v>
      </c>
    </row>
    <row r="16" spans="1:22" s="23" customFormat="1" ht="25.5" x14ac:dyDescent="0.25">
      <c r="A16" s="28" t="s">
        <v>195</v>
      </c>
      <c r="B16" s="29" t="s">
        <v>28</v>
      </c>
      <c r="C16" s="30"/>
      <c r="D16" s="30"/>
      <c r="E16" s="31">
        <f>C16+D16</f>
        <v>0</v>
      </c>
      <c r="F16" s="30"/>
      <c r="G16" s="30"/>
      <c r="H16" s="31">
        <f t="shared" ref="H16:H21" si="1">F16+G16</f>
        <v>0</v>
      </c>
      <c r="I16" s="31">
        <f t="shared" ref="I16:K21" si="2">C16-F16</f>
        <v>0</v>
      </c>
      <c r="J16" s="31">
        <f t="shared" si="2"/>
        <v>0</v>
      </c>
      <c r="K16" s="31">
        <f t="shared" si="2"/>
        <v>0</v>
      </c>
    </row>
    <row r="17" spans="1:11" s="23" customFormat="1" ht="32.25" customHeight="1" x14ac:dyDescent="0.25">
      <c r="A17" s="28" t="s">
        <v>196</v>
      </c>
      <c r="B17" s="29" t="s">
        <v>29</v>
      </c>
      <c r="C17" s="30"/>
      <c r="D17" s="30"/>
      <c r="E17" s="31">
        <f t="shared" ref="E17:E18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spans="1:11" ht="43.5" customHeight="1" x14ac:dyDescent="0.25">
      <c r="A18" s="32" t="s">
        <v>197</v>
      </c>
      <c r="B18" s="29" t="s">
        <v>30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spans="1:11" ht="31.5" customHeight="1" x14ac:dyDescent="0.25">
      <c r="A19" s="32" t="s">
        <v>198</v>
      </c>
      <c r="B19" s="29" t="s">
        <v>31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spans="1:11" ht="45.75" customHeight="1" x14ac:dyDescent="0.25">
      <c r="A20" s="32" t="s">
        <v>32</v>
      </c>
      <c r="B20" s="29" t="s">
        <v>33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spans="1:11" s="23" customFormat="1" ht="20.25" customHeight="1" x14ac:dyDescent="0.25">
      <c r="A21" s="21" t="s">
        <v>34</v>
      </c>
      <c r="B21" s="22" t="s">
        <v>35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spans="1:11" ht="15.75" x14ac:dyDescent="0.25">
      <c r="A23" s="110" t="s">
        <v>36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 spans="1:11" x14ac:dyDescent="0.25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spans="1:11" s="23" customFormat="1" ht="18" customHeight="1" x14ac:dyDescent="0.25">
      <c r="A25" s="112" t="s">
        <v>141</v>
      </c>
      <c r="B25" s="112"/>
      <c r="C25" s="113" t="s">
        <v>17</v>
      </c>
      <c r="D25" s="113"/>
      <c r="E25" s="113"/>
      <c r="F25" s="113" t="s">
        <v>18</v>
      </c>
      <c r="G25" s="113"/>
      <c r="H25" s="113"/>
      <c r="I25" s="113" t="s">
        <v>19</v>
      </c>
      <c r="J25" s="113"/>
      <c r="K25" s="113"/>
    </row>
    <row r="26" spans="1:11" s="23" customFormat="1" ht="14.25" customHeight="1" x14ac:dyDescent="0.25">
      <c r="A26" s="112"/>
      <c r="B26" s="112"/>
      <c r="C26" s="20" t="s">
        <v>20</v>
      </c>
      <c r="D26" s="20" t="s">
        <v>21</v>
      </c>
      <c r="E26" s="20" t="s">
        <v>22</v>
      </c>
      <c r="F26" s="20" t="s">
        <v>20</v>
      </c>
      <c r="G26" s="20" t="s">
        <v>21</v>
      </c>
      <c r="H26" s="20" t="s">
        <v>22</v>
      </c>
      <c r="I26" s="20" t="s">
        <v>20</v>
      </c>
      <c r="J26" s="20" t="s">
        <v>21</v>
      </c>
      <c r="K26" s="20" t="s">
        <v>22</v>
      </c>
    </row>
    <row r="27" spans="1:11" s="23" customFormat="1" ht="14.25" customHeight="1" x14ac:dyDescent="0.25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spans="1:11" s="23" customFormat="1" ht="18" customHeight="1" x14ac:dyDescent="0.25">
      <c r="A28" s="33" t="s">
        <v>37</v>
      </c>
      <c r="B28" s="20" t="s">
        <v>38</v>
      </c>
      <c r="C28" s="20">
        <f>C29+C30+C31+C32+C33+C34</f>
        <v>0</v>
      </c>
      <c r="D28" s="86">
        <f>D29+D30+D31+D32+D33+D34</f>
        <v>0</v>
      </c>
      <c r="E28" s="20">
        <f t="shared" ref="E28:E35" si="4">C28+D28</f>
        <v>0</v>
      </c>
      <c r="F28" s="86">
        <f>F29+F30+F31+F32+F33+F34</f>
        <v>0</v>
      </c>
      <c r="G28" s="86">
        <f>G29+G30+G31+G32+G33+G34</f>
        <v>0</v>
      </c>
      <c r="H28" s="20">
        <f t="shared" ref="H28:H35" si="5">F28+G28</f>
        <v>0</v>
      </c>
      <c r="I28" s="20">
        <f t="shared" ref="I28:K28" si="6">C28-F28</f>
        <v>0</v>
      </c>
      <c r="J28" s="20">
        <f t="shared" si="6"/>
        <v>0</v>
      </c>
      <c r="K28" s="20">
        <f t="shared" si="6"/>
        <v>0</v>
      </c>
    </row>
    <row r="29" spans="1:11" ht="53.25" customHeight="1" x14ac:dyDescent="0.25">
      <c r="A29" s="34" t="s">
        <v>199</v>
      </c>
      <c r="B29" s="29" t="s">
        <v>39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spans="1:11" ht="46.5" customHeight="1" x14ac:dyDescent="0.25">
      <c r="A30" s="34" t="s">
        <v>168</v>
      </c>
      <c r="B30" s="29" t="s">
        <v>40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 t="shared" ref="K30" si="7">E30-H30</f>
        <v>0</v>
      </c>
    </row>
    <row r="31" spans="1:11" ht="32.25" customHeight="1" x14ac:dyDescent="0.25">
      <c r="A31" s="34" t="s">
        <v>200</v>
      </c>
      <c r="B31" s="29" t="s">
        <v>41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 t="shared" ref="I31:K36" si="8">E31-H31</f>
        <v>0</v>
      </c>
    </row>
    <row r="32" spans="1:11" ht="43.5" customHeight="1" x14ac:dyDescent="0.25">
      <c r="A32" s="34" t="s">
        <v>169</v>
      </c>
      <c r="B32" s="29" t="s">
        <v>42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 t="shared" si="8"/>
        <v>0</v>
      </c>
      <c r="J32" s="31">
        <f t="shared" si="8"/>
        <v>0</v>
      </c>
      <c r="K32" s="31">
        <f t="shared" si="8"/>
        <v>0</v>
      </c>
    </row>
    <row r="33" spans="1:11" ht="42.75" customHeight="1" x14ac:dyDescent="0.25">
      <c r="A33" s="34" t="s">
        <v>170</v>
      </c>
      <c r="B33" s="29" t="s">
        <v>172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 t="shared" ref="K33" si="9">E33-H33</f>
        <v>0</v>
      </c>
    </row>
    <row r="34" spans="1:11" ht="42.75" customHeight="1" x14ac:dyDescent="0.25">
      <c r="A34" s="34" t="s">
        <v>171</v>
      </c>
      <c r="B34" s="29" t="s">
        <v>173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 t="shared" si="8"/>
        <v>0</v>
      </c>
    </row>
    <row r="35" spans="1:11" s="36" customFormat="1" ht="20.25" customHeight="1" x14ac:dyDescent="0.25">
      <c r="A35" s="33" t="s">
        <v>43</v>
      </c>
      <c r="B35" s="20" t="s">
        <v>44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 t="shared" si="8"/>
        <v>0</v>
      </c>
      <c r="J35" s="20">
        <f t="shared" si="8"/>
        <v>0</v>
      </c>
      <c r="K35" s="20">
        <f t="shared" si="8"/>
        <v>0</v>
      </c>
    </row>
    <row r="36" spans="1:11" ht="42.75" customHeight="1" x14ac:dyDescent="0.25">
      <c r="A36" s="37" t="s">
        <v>45</v>
      </c>
      <c r="B36" s="29" t="s">
        <v>46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 t="shared" si="8"/>
        <v>0</v>
      </c>
      <c r="K36" s="31">
        <f t="shared" si="8"/>
        <v>0</v>
      </c>
    </row>
    <row r="37" spans="1:11" ht="42.75" customHeight="1" x14ac:dyDescent="0.25">
      <c r="A37" s="34" t="s">
        <v>174</v>
      </c>
      <c r="B37" s="29" t="s">
        <v>73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 t="shared" ref="J37" si="10">D37-G37</f>
        <v>0</v>
      </c>
      <c r="K37" s="31">
        <f t="shared" ref="K37" si="11">E37-H37</f>
        <v>0</v>
      </c>
    </row>
    <row r="38" spans="1:11" s="38" customFormat="1" ht="24.75" customHeight="1" x14ac:dyDescent="0.25">
      <c r="A38" s="21" t="s">
        <v>47</v>
      </c>
      <c r="B38" s="22" t="s">
        <v>48</v>
      </c>
      <c r="C38" s="20">
        <f>MIN((C28*0.85+(MIN(0.5*C35,(3*C21/17)+0.15*C28,0.25*C21))),(C21)*2/3)</f>
        <v>0</v>
      </c>
      <c r="D38" s="20">
        <f t="shared" ref="D38:G38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spans="1:11" ht="35.25" customHeight="1" x14ac:dyDescent="0.25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 count="22"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39" priority="9">
      <formula>#REF!="PLEASE CORRECT ALL COMPARISON RULES"</formula>
    </cfRule>
  </conditionalFormatting>
  <conditionalFormatting sqref="B21">
    <cfRule type="expression" dxfId="38" priority="8">
      <formula>#REF!="PLEASE CORRECT ALL COMPARISON RULES"</formula>
    </cfRule>
  </conditionalFormatting>
  <conditionalFormatting sqref="B36">
    <cfRule type="expression" dxfId="37" priority="7">
      <formula>#REF!="PLEASE CORRECT ALL COMPARISON RULES"</formula>
    </cfRule>
  </conditionalFormatting>
  <conditionalFormatting sqref="B38">
    <cfRule type="expression" dxfId="36" priority="6">
      <formula>#REF!="PLEASE CORRECT ALL COMPARISON RULES"</formula>
    </cfRule>
  </conditionalFormatting>
  <conditionalFormatting sqref="B31:B32 B34">
    <cfRule type="expression" dxfId="35" priority="5">
      <formula>#REF!="PLEASE CORRECT ALL COMPARISON RULES"</formula>
    </cfRule>
  </conditionalFormatting>
  <conditionalFormatting sqref="B29">
    <cfRule type="expression" dxfId="34" priority="4">
      <formula>#REF!="PLEASE CORRECT ALL COMPARISON RULES"</formula>
    </cfRule>
  </conditionalFormatting>
  <conditionalFormatting sqref="B30">
    <cfRule type="expression" dxfId="33" priority="3">
      <formula>#REF!="PLEASE CORRECT ALL COMPARISON RULES"</formula>
    </cfRule>
  </conditionalFormatting>
  <conditionalFormatting sqref="B33">
    <cfRule type="expression" dxfId="32" priority="2">
      <formula>#REF!="PLEASE CORRECT ALL COMPARISON RULES"</formula>
    </cfRule>
  </conditionalFormatting>
  <conditionalFormatting sqref="B37">
    <cfRule type="expression" dxfId="31" priority="1">
      <formula>#REF!="PLEASE CORRECT ALL COMPARISON RULES"</formula>
    </cfRule>
  </conditionalFormatting>
  <pageMargins left="0.16" right="0.16" top="0.75" bottom="0.75" header="0.3" footer="0.3"/>
  <pageSetup scale="5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style="77" customWidth="1"/>
    <col min="2" max="2" width="6.5703125" style="77" bestFit="1" customWidth="1"/>
    <col min="3" max="4" width="9.28515625" style="78" customWidth="1"/>
    <col min="5" max="5" width="7.7109375" style="78" customWidth="1"/>
    <col min="6" max="6" width="10.140625" style="78" customWidth="1"/>
    <col min="7" max="7" width="9.7109375" style="78" customWidth="1"/>
    <col min="8" max="8" width="8.7109375" style="78" bestFit="1" customWidth="1"/>
    <col min="9" max="11" width="8.7109375" style="77" bestFit="1" customWidth="1"/>
    <col min="12" max="15" width="7.7109375" style="77" customWidth="1"/>
    <col min="16" max="18" width="9" style="77" customWidth="1"/>
    <col min="19" max="19" width="3.42578125" style="79" customWidth="1"/>
    <col min="20" max="16384" width="9.140625" style="77"/>
  </cols>
  <sheetData>
    <row r="1" spans="1:19" ht="7.5" customHeight="1" x14ac:dyDescent="0.25">
      <c r="C1" s="78" t="s">
        <v>49</v>
      </c>
    </row>
    <row r="2" spans="1:19" ht="15.75" x14ac:dyDescent="0.25">
      <c r="A2" s="114" t="s">
        <v>50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spans="1:19" ht="15.75" x14ac:dyDescent="0.25">
      <c r="A3" s="114" t="s">
        <v>158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 spans="1:19" x14ac:dyDescent="0.25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16</v>
      </c>
      <c r="S4" s="83"/>
    </row>
    <row r="5" spans="1:19" ht="17.25" customHeight="1" x14ac:dyDescent="0.25">
      <c r="A5" s="112" t="s">
        <v>141</v>
      </c>
      <c r="B5" s="112"/>
      <c r="C5" s="115" t="s">
        <v>51</v>
      </c>
      <c r="D5" s="115"/>
      <c r="E5" s="115"/>
      <c r="F5" s="115"/>
      <c r="G5" s="115"/>
      <c r="H5" s="115"/>
      <c r="I5" s="115"/>
      <c r="J5" s="115"/>
      <c r="K5" s="115"/>
      <c r="L5" s="116" t="s">
        <v>52</v>
      </c>
      <c r="M5" s="116"/>
      <c r="N5" s="116"/>
      <c r="O5" s="116"/>
      <c r="P5" s="116"/>
      <c r="Q5" s="116"/>
      <c r="R5" s="116"/>
      <c r="S5" s="42"/>
    </row>
    <row r="6" spans="1:19" ht="17.25" customHeight="1" x14ac:dyDescent="0.25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53</v>
      </c>
      <c r="M6" s="116"/>
      <c r="N6" s="116"/>
      <c r="O6" s="116"/>
      <c r="P6" s="116" t="s">
        <v>54</v>
      </c>
      <c r="Q6" s="116"/>
      <c r="R6" s="116"/>
      <c r="S6" s="42"/>
    </row>
    <row r="7" spans="1:19" ht="15" customHeight="1" x14ac:dyDescent="0.25">
      <c r="A7" s="112"/>
      <c r="B7" s="112"/>
      <c r="C7" s="116" t="s">
        <v>55</v>
      </c>
      <c r="D7" s="116"/>
      <c r="E7" s="116"/>
      <c r="F7" s="117" t="s">
        <v>56</v>
      </c>
      <c r="G7" s="117"/>
      <c r="H7" s="117"/>
      <c r="I7" s="116" t="s">
        <v>22</v>
      </c>
      <c r="J7" s="116"/>
      <c r="K7" s="116"/>
      <c r="L7" s="116" t="s">
        <v>57</v>
      </c>
      <c r="M7" s="116"/>
      <c r="N7" s="117" t="s">
        <v>58</v>
      </c>
      <c r="O7" s="117"/>
      <c r="P7" s="116" t="s">
        <v>22</v>
      </c>
      <c r="Q7" s="116"/>
      <c r="R7" s="116"/>
      <c r="S7" s="42"/>
    </row>
    <row r="8" spans="1:19" ht="15" customHeight="1" x14ac:dyDescent="0.25">
      <c r="A8" s="112"/>
      <c r="B8" s="112"/>
      <c r="C8" s="74" t="s">
        <v>20</v>
      </c>
      <c r="D8" s="74" t="s">
        <v>21</v>
      </c>
      <c r="E8" s="74" t="s">
        <v>22</v>
      </c>
      <c r="F8" s="74" t="s">
        <v>20</v>
      </c>
      <c r="G8" s="74" t="s">
        <v>21</v>
      </c>
      <c r="H8" s="74" t="s">
        <v>22</v>
      </c>
      <c r="I8" s="74" t="s">
        <v>20</v>
      </c>
      <c r="J8" s="74" t="s">
        <v>21</v>
      </c>
      <c r="K8" s="74" t="s">
        <v>22</v>
      </c>
      <c r="L8" s="74" t="s">
        <v>20</v>
      </c>
      <c r="M8" s="74" t="s">
        <v>21</v>
      </c>
      <c r="N8" s="74" t="s">
        <v>20</v>
      </c>
      <c r="O8" s="74" t="s">
        <v>21</v>
      </c>
      <c r="P8" s="74" t="s">
        <v>20</v>
      </c>
      <c r="Q8" s="74" t="s">
        <v>21</v>
      </c>
      <c r="R8" s="74" t="s">
        <v>22</v>
      </c>
      <c r="S8" s="43"/>
    </row>
    <row r="9" spans="1:19" x14ac:dyDescent="0.25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spans="1:19" s="84" customFormat="1" ht="15" customHeight="1" x14ac:dyDescent="0.25">
      <c r="A10" s="21" t="s">
        <v>159</v>
      </c>
      <c r="B10" s="22" t="s">
        <v>24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59</v>
      </c>
      <c r="M10" s="74" t="s">
        <v>59</v>
      </c>
      <c r="N10" s="74" t="s">
        <v>59</v>
      </c>
      <c r="O10" s="74" t="s">
        <v>59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 spans="1:19" x14ac:dyDescent="0.25">
      <c r="A11" s="46"/>
      <c r="B11" s="47"/>
      <c r="C11" s="46"/>
      <c r="D11" s="46"/>
      <c r="E11" s="46"/>
      <c r="F11" s="46"/>
      <c r="G11" s="46"/>
      <c r="H11" s="46"/>
    </row>
    <row r="12" spans="1:19" ht="15.75" x14ac:dyDescent="0.25">
      <c r="A12" s="114" t="s">
        <v>60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spans="1:19" ht="9" customHeight="1" x14ac:dyDescent="0.25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spans="1:19" ht="13.5" customHeight="1" x14ac:dyDescent="0.25">
      <c r="A14" s="112" t="s">
        <v>141</v>
      </c>
      <c r="B14" s="112"/>
      <c r="C14" s="115" t="s">
        <v>51</v>
      </c>
      <c r="D14" s="115"/>
      <c r="E14" s="115"/>
      <c r="F14" s="115"/>
      <c r="G14" s="115"/>
      <c r="H14" s="115"/>
      <c r="I14" s="115"/>
      <c r="J14" s="115"/>
      <c r="K14" s="115"/>
      <c r="L14" s="116" t="s">
        <v>52</v>
      </c>
      <c r="M14" s="116"/>
      <c r="N14" s="116"/>
      <c r="O14" s="116"/>
      <c r="P14" s="116"/>
      <c r="Q14" s="116"/>
      <c r="R14" s="116"/>
      <c r="S14" s="42"/>
    </row>
    <row r="15" spans="1:19" x14ac:dyDescent="0.2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53</v>
      </c>
      <c r="M15" s="116"/>
      <c r="N15" s="116"/>
      <c r="O15" s="116"/>
      <c r="P15" s="116" t="s">
        <v>54</v>
      </c>
      <c r="Q15" s="116"/>
      <c r="R15" s="116"/>
      <c r="S15" s="42"/>
    </row>
    <row r="16" spans="1:19" ht="12.75" customHeight="1" x14ac:dyDescent="0.25">
      <c r="A16" s="112"/>
      <c r="B16" s="112"/>
      <c r="C16" s="116" t="s">
        <v>55</v>
      </c>
      <c r="D16" s="116"/>
      <c r="E16" s="116"/>
      <c r="F16" s="117" t="s">
        <v>56</v>
      </c>
      <c r="G16" s="117"/>
      <c r="H16" s="117"/>
      <c r="I16" s="116" t="s">
        <v>22</v>
      </c>
      <c r="J16" s="116"/>
      <c r="K16" s="116"/>
      <c r="L16" s="116" t="s">
        <v>57</v>
      </c>
      <c r="M16" s="116"/>
      <c r="N16" s="117" t="s">
        <v>58</v>
      </c>
      <c r="O16" s="117"/>
      <c r="P16" s="116" t="s">
        <v>22</v>
      </c>
      <c r="Q16" s="116"/>
      <c r="R16" s="116"/>
      <c r="S16" s="42"/>
    </row>
    <row r="17" spans="1:19" x14ac:dyDescent="0.25">
      <c r="A17" s="112"/>
      <c r="B17" s="112"/>
      <c r="C17" s="74" t="s">
        <v>20</v>
      </c>
      <c r="D17" s="74" t="s">
        <v>21</v>
      </c>
      <c r="E17" s="74" t="s">
        <v>22</v>
      </c>
      <c r="F17" s="74" t="s">
        <v>20</v>
      </c>
      <c r="G17" s="74" t="s">
        <v>21</v>
      </c>
      <c r="H17" s="74" t="s">
        <v>22</v>
      </c>
      <c r="I17" s="74" t="s">
        <v>20</v>
      </c>
      <c r="J17" s="74" t="s">
        <v>21</v>
      </c>
      <c r="K17" s="74" t="s">
        <v>22</v>
      </c>
      <c r="L17" s="74" t="s">
        <v>20</v>
      </c>
      <c r="M17" s="74" t="s">
        <v>21</v>
      </c>
      <c r="N17" s="74" t="s">
        <v>20</v>
      </c>
      <c r="O17" s="74" t="s">
        <v>21</v>
      </c>
      <c r="P17" s="74" t="s">
        <v>20</v>
      </c>
      <c r="Q17" s="74" t="s">
        <v>21</v>
      </c>
      <c r="R17" s="74" t="s">
        <v>22</v>
      </c>
      <c r="S17" s="43"/>
    </row>
    <row r="18" spans="1:19" x14ac:dyDescent="0.25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spans="1:19" ht="13.5" customHeight="1" x14ac:dyDescent="0.25">
      <c r="A19" s="28" t="s">
        <v>61</v>
      </c>
      <c r="B19" s="29" t="s">
        <v>27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59</v>
      </c>
      <c r="G19" s="49" t="s">
        <v>59</v>
      </c>
      <c r="H19" s="49" t="s">
        <v>59</v>
      </c>
      <c r="I19" s="48">
        <f>C19</f>
        <v>0</v>
      </c>
      <c r="J19" s="48">
        <f>D19</f>
        <v>0</v>
      </c>
      <c r="K19" s="48">
        <f>I19+J19</f>
        <v>0</v>
      </c>
      <c r="L19" s="48" t="s">
        <v>59</v>
      </c>
      <c r="M19" s="48" t="s">
        <v>59</v>
      </c>
      <c r="N19" s="48" t="s">
        <v>59</v>
      </c>
      <c r="O19" s="48" t="s">
        <v>59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spans="1:19" ht="13.5" customHeight="1" x14ac:dyDescent="0.25">
      <c r="A20" s="51" t="s">
        <v>62</v>
      </c>
      <c r="B20" s="29" t="s">
        <v>63</v>
      </c>
      <c r="C20" s="52"/>
      <c r="D20" s="52"/>
      <c r="E20" s="48">
        <f t="shared" ref="E20:E24" si="0">C20+D20</f>
        <v>0</v>
      </c>
      <c r="F20" s="49" t="s">
        <v>59</v>
      </c>
      <c r="G20" s="49" t="s">
        <v>59</v>
      </c>
      <c r="H20" s="49" t="s">
        <v>59</v>
      </c>
      <c r="I20" s="48">
        <f t="shared" ref="I20:J21" si="1">C20</f>
        <v>0</v>
      </c>
      <c r="J20" s="48">
        <f t="shared" si="1"/>
        <v>0</v>
      </c>
      <c r="K20" s="48">
        <f t="shared" ref="K20:K24" si="2">I20+J20</f>
        <v>0</v>
      </c>
      <c r="L20" s="54">
        <v>0.25</v>
      </c>
      <c r="M20" s="54">
        <v>0.22</v>
      </c>
      <c r="N20" s="55" t="s">
        <v>59</v>
      </c>
      <c r="O20" s="55" t="s">
        <v>59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spans="1:19" ht="13.5" customHeight="1" x14ac:dyDescent="0.25">
      <c r="A21" s="51" t="s">
        <v>64</v>
      </c>
      <c r="B21" s="29" t="s">
        <v>65</v>
      </c>
      <c r="C21" s="52"/>
      <c r="D21" s="52"/>
      <c r="E21" s="48">
        <f t="shared" si="0"/>
        <v>0</v>
      </c>
      <c r="F21" s="49" t="s">
        <v>59</v>
      </c>
      <c r="G21" s="49" t="s">
        <v>59</v>
      </c>
      <c r="H21" s="49" t="s">
        <v>59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59</v>
      </c>
      <c r="O21" s="55" t="s">
        <v>59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spans="1:19" ht="13.5" customHeight="1" x14ac:dyDescent="0.25">
      <c r="A22" s="28" t="s">
        <v>66</v>
      </c>
      <c r="B22" s="29" t="s">
        <v>28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59</v>
      </c>
      <c r="M22" s="48" t="s">
        <v>59</v>
      </c>
      <c r="N22" s="48" t="s">
        <v>59</v>
      </c>
      <c r="O22" s="48" t="s">
        <v>59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spans="1:19" ht="13.5" customHeight="1" x14ac:dyDescent="0.25">
      <c r="A23" s="51" t="s">
        <v>62</v>
      </c>
      <c r="B23" s="29" t="s">
        <v>67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t="shared" ref="I23:J24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7.0000000000000007E-2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spans="1:19" ht="13.5" customHeight="1" x14ac:dyDescent="0.25">
      <c r="A24" s="51" t="s">
        <v>64</v>
      </c>
      <c r="B24" s="29" t="s">
        <v>68</v>
      </c>
      <c r="C24" s="52"/>
      <c r="D24" s="52"/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spans="1:19" s="84" customFormat="1" ht="15.75" customHeight="1" x14ac:dyDescent="0.25">
      <c r="A25" s="21" t="s">
        <v>69</v>
      </c>
      <c r="B25" s="22" t="s">
        <v>29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59</v>
      </c>
      <c r="M25" s="44" t="s">
        <v>59</v>
      </c>
      <c r="N25" s="44" t="s">
        <v>59</v>
      </c>
      <c r="O25" s="44" t="s">
        <v>59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7" spans="1:19" ht="15.75" x14ac:dyDescent="0.25">
      <c r="A27" s="114" t="s">
        <v>157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 spans="1:19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spans="1:19" ht="15" customHeight="1" x14ac:dyDescent="0.25">
      <c r="A29" s="112" t="s">
        <v>141</v>
      </c>
      <c r="B29" s="112"/>
      <c r="C29" s="115" t="s">
        <v>51</v>
      </c>
      <c r="D29" s="115"/>
      <c r="E29" s="115"/>
      <c r="F29" s="115"/>
      <c r="G29" s="115"/>
      <c r="H29" s="115"/>
      <c r="I29" s="115"/>
      <c r="J29" s="115"/>
      <c r="K29" s="115"/>
      <c r="L29" s="116" t="s">
        <v>52</v>
      </c>
      <c r="M29" s="116"/>
      <c r="N29" s="116"/>
      <c r="O29" s="116"/>
      <c r="P29" s="116"/>
      <c r="Q29" s="116"/>
      <c r="R29" s="116"/>
      <c r="S29" s="42"/>
    </row>
    <row r="30" spans="1:19" ht="14.25" customHeight="1" x14ac:dyDescent="0.25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53</v>
      </c>
      <c r="M30" s="116"/>
      <c r="N30" s="116"/>
      <c r="O30" s="116"/>
      <c r="P30" s="116" t="s">
        <v>54</v>
      </c>
      <c r="Q30" s="116"/>
      <c r="R30" s="116"/>
      <c r="S30" s="42"/>
    </row>
    <row r="31" spans="1:19" ht="15" customHeight="1" x14ac:dyDescent="0.25">
      <c r="A31" s="112"/>
      <c r="B31" s="112"/>
      <c r="C31" s="116" t="s">
        <v>55</v>
      </c>
      <c r="D31" s="116"/>
      <c r="E31" s="116"/>
      <c r="F31" s="117" t="s">
        <v>56</v>
      </c>
      <c r="G31" s="117"/>
      <c r="H31" s="117"/>
      <c r="I31" s="116" t="s">
        <v>22</v>
      </c>
      <c r="J31" s="116"/>
      <c r="K31" s="116"/>
      <c r="L31" s="116" t="s">
        <v>57</v>
      </c>
      <c r="M31" s="116"/>
      <c r="N31" s="117" t="s">
        <v>58</v>
      </c>
      <c r="O31" s="117"/>
      <c r="P31" s="116" t="s">
        <v>22</v>
      </c>
      <c r="Q31" s="116"/>
      <c r="R31" s="116"/>
      <c r="S31" s="42"/>
    </row>
    <row r="32" spans="1:19" ht="16.5" customHeight="1" x14ac:dyDescent="0.25">
      <c r="A32" s="112"/>
      <c r="B32" s="112"/>
      <c r="C32" s="74" t="s">
        <v>20</v>
      </c>
      <c r="D32" s="74" t="s">
        <v>21</v>
      </c>
      <c r="E32" s="74" t="s">
        <v>22</v>
      </c>
      <c r="F32" s="74" t="s">
        <v>20</v>
      </c>
      <c r="G32" s="74" t="s">
        <v>21</v>
      </c>
      <c r="H32" s="74" t="s">
        <v>22</v>
      </c>
      <c r="I32" s="74" t="s">
        <v>20</v>
      </c>
      <c r="J32" s="74" t="s">
        <v>21</v>
      </c>
      <c r="K32" s="74" t="s">
        <v>22</v>
      </c>
      <c r="L32" s="74" t="s">
        <v>20</v>
      </c>
      <c r="M32" s="74" t="s">
        <v>21</v>
      </c>
      <c r="N32" s="74" t="s">
        <v>20</v>
      </c>
      <c r="O32" s="74" t="s">
        <v>21</v>
      </c>
      <c r="P32" s="74" t="s">
        <v>20</v>
      </c>
      <c r="Q32" s="74" t="s">
        <v>21</v>
      </c>
      <c r="R32" s="74" t="s">
        <v>22</v>
      </c>
      <c r="S32" s="43"/>
    </row>
    <row r="33" spans="1:19" x14ac:dyDescent="0.25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spans="1:19" ht="25.5" x14ac:dyDescent="0.25">
      <c r="A34" s="28" t="s">
        <v>167</v>
      </c>
      <c r="B34" s="31" t="s">
        <v>38</v>
      </c>
      <c r="C34" s="85"/>
      <c r="D34" s="85"/>
      <c r="E34" s="48">
        <f t="shared" ref="E34:E49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 spans="1:19" x14ac:dyDescent="0.25">
      <c r="A35" s="28" t="s">
        <v>70</v>
      </c>
      <c r="B35" s="31" t="s">
        <v>44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59</v>
      </c>
      <c r="M35" s="55" t="s">
        <v>59</v>
      </c>
      <c r="N35" s="55" t="s">
        <v>59</v>
      </c>
      <c r="O35" s="55" t="s">
        <v>59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spans="1:19" ht="13.5" customHeight="1" x14ac:dyDescent="0.25">
      <c r="A36" s="51" t="s">
        <v>71</v>
      </c>
      <c r="B36" s="29" t="s">
        <v>46</v>
      </c>
      <c r="C36" s="85"/>
      <c r="D36" s="85"/>
      <c r="E36" s="48">
        <f t="shared" si="4"/>
        <v>0</v>
      </c>
      <c r="F36" s="49" t="s">
        <v>59</v>
      </c>
      <c r="G36" s="49" t="s">
        <v>59</v>
      </c>
      <c r="H36" s="49" t="s">
        <v>59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59</v>
      </c>
      <c r="O36" s="55" t="s">
        <v>59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spans="1:19" x14ac:dyDescent="0.25">
      <c r="A37" s="51" t="s">
        <v>72</v>
      </c>
      <c r="B37" s="29" t="s">
        <v>73</v>
      </c>
      <c r="C37" s="85"/>
      <c r="D37" s="85"/>
      <c r="E37" s="48">
        <f t="shared" si="4"/>
        <v>0</v>
      </c>
      <c r="F37" s="52"/>
      <c r="G37" s="52"/>
      <c r="H37" s="48">
        <f>F37+G37</f>
        <v>0</v>
      </c>
      <c r="I37" s="48">
        <f t="shared" ref="I37:J50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 spans="1:19" x14ac:dyDescent="0.25">
      <c r="A38" s="28" t="s">
        <v>74</v>
      </c>
      <c r="B38" s="31" t="s">
        <v>48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t="shared" ref="H38:H40" si="6">F38+G38</f>
        <v>0</v>
      </c>
      <c r="I38" s="48">
        <f t="shared" si="5"/>
        <v>0</v>
      </c>
      <c r="J38" s="48">
        <f t="shared" si="5"/>
        <v>0</v>
      </c>
      <c r="K38" s="48">
        <f t="shared" ref="K38:K48" si="7">I38+J38</f>
        <v>0</v>
      </c>
      <c r="L38" s="55" t="s">
        <v>59</v>
      </c>
      <c r="M38" s="55" t="s">
        <v>59</v>
      </c>
      <c r="N38" s="55" t="s">
        <v>59</v>
      </c>
      <c r="O38" s="55" t="s">
        <v>59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 spans="1:19" x14ac:dyDescent="0.25">
      <c r="A39" s="51" t="s">
        <v>75</v>
      </c>
      <c r="B39" s="29" t="s">
        <v>76</v>
      </c>
      <c r="C39" s="85"/>
      <c r="D39" s="85"/>
      <c r="E39" s="48">
        <f t="shared" si="4"/>
        <v>0</v>
      </c>
      <c r="F39" s="49" t="s">
        <v>59</v>
      </c>
      <c r="G39" s="49" t="s">
        <v>59</v>
      </c>
      <c r="H39" s="49" t="s">
        <v>59</v>
      </c>
      <c r="I39" s="48">
        <f>C39</f>
        <v>0</v>
      </c>
      <c r="J39" s="48">
        <f t="shared" ref="J39" si="8">D39</f>
        <v>0</v>
      </c>
      <c r="K39" s="48">
        <f>I39+J39</f>
        <v>0</v>
      </c>
      <c r="L39" s="59">
        <v>0.75</v>
      </c>
      <c r="M39" s="59">
        <v>0.75</v>
      </c>
      <c r="N39" s="55" t="s">
        <v>59</v>
      </c>
      <c r="O39" s="55" t="s">
        <v>59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 spans="1:19" x14ac:dyDescent="0.25">
      <c r="A40" s="51" t="s">
        <v>77</v>
      </c>
      <c r="B40" s="29" t="s">
        <v>78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 spans="1:19" x14ac:dyDescent="0.25">
      <c r="A41" s="28" t="s">
        <v>79</v>
      </c>
      <c r="B41" s="29" t="s">
        <v>80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59</v>
      </c>
      <c r="G41" s="49" t="s">
        <v>59</v>
      </c>
      <c r="H41" s="49" t="s">
        <v>59</v>
      </c>
      <c r="I41" s="48">
        <f>C41</f>
        <v>0</v>
      </c>
      <c r="J41" s="48">
        <f>D41</f>
        <v>0</v>
      </c>
      <c r="K41" s="48">
        <f t="shared" ref="K41:K44" si="9">I41+J41</f>
        <v>0</v>
      </c>
      <c r="L41" s="55" t="s">
        <v>59</v>
      </c>
      <c r="M41" s="55" t="s">
        <v>59</v>
      </c>
      <c r="N41" s="55" t="s">
        <v>59</v>
      </c>
      <c r="O41" s="55" t="s">
        <v>59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 spans="1:19" x14ac:dyDescent="0.25">
      <c r="A42" s="51" t="s">
        <v>81</v>
      </c>
      <c r="B42" s="29" t="s">
        <v>82</v>
      </c>
      <c r="C42" s="52"/>
      <c r="D42" s="52"/>
      <c r="E42" s="48">
        <f t="shared" si="4"/>
        <v>0</v>
      </c>
      <c r="F42" s="49" t="s">
        <v>59</v>
      </c>
      <c r="G42" s="49" t="s">
        <v>59</v>
      </c>
      <c r="H42" s="49" t="s">
        <v>59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59</v>
      </c>
      <c r="O42" s="55" t="s">
        <v>59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 spans="1:19" x14ac:dyDescent="0.25">
      <c r="A43" s="51" t="s">
        <v>83</v>
      </c>
      <c r="B43" s="29" t="s">
        <v>84</v>
      </c>
      <c r="C43" s="52"/>
      <c r="D43" s="52"/>
      <c r="E43" s="48">
        <f t="shared" si="4"/>
        <v>0</v>
      </c>
      <c r="F43" s="49" t="s">
        <v>59</v>
      </c>
      <c r="G43" s="49" t="s">
        <v>59</v>
      </c>
      <c r="H43" s="49" t="s">
        <v>59</v>
      </c>
      <c r="I43" s="48">
        <f t="shared" ref="I43:I44" si="10">C43</f>
        <v>0</v>
      </c>
      <c r="J43" s="48">
        <f t="shared" ref="J43:J44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59</v>
      </c>
      <c r="O43" s="55" t="s">
        <v>59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 spans="1:19" x14ac:dyDescent="0.25">
      <c r="A44" s="51" t="s">
        <v>85</v>
      </c>
      <c r="B44" s="29" t="s">
        <v>86</v>
      </c>
      <c r="C44" s="52"/>
      <c r="D44" s="52"/>
      <c r="E44" s="48">
        <f t="shared" si="4"/>
        <v>0</v>
      </c>
      <c r="F44" s="49" t="s">
        <v>59</v>
      </c>
      <c r="G44" s="49" t="s">
        <v>59</v>
      </c>
      <c r="H44" s="49" t="s">
        <v>59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0.28000000000000003</v>
      </c>
      <c r="N44" s="55" t="s">
        <v>59</v>
      </c>
      <c r="O44" s="55" t="s">
        <v>59</v>
      </c>
      <c r="P44" s="48">
        <f>C44*L44</f>
        <v>0</v>
      </c>
      <c r="Q44" s="48">
        <f t="shared" ref="Q44" si="12">D44*M44</f>
        <v>0</v>
      </c>
      <c r="R44" s="48">
        <f>P44+Q44</f>
        <v>0</v>
      </c>
      <c r="S44" s="50"/>
    </row>
    <row r="45" spans="1:19" x14ac:dyDescent="0.25">
      <c r="A45" s="51" t="s">
        <v>87</v>
      </c>
      <c r="B45" s="29" t="s">
        <v>88</v>
      </c>
      <c r="C45" s="52"/>
      <c r="D45" s="52"/>
      <c r="E45" s="48">
        <f t="shared" si="4"/>
        <v>0</v>
      </c>
      <c r="F45" s="49" t="s">
        <v>59</v>
      </c>
      <c r="G45" s="49" t="s">
        <v>59</v>
      </c>
      <c r="H45" s="49" t="s">
        <v>59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59</v>
      </c>
      <c r="O45" s="55" t="s">
        <v>59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 spans="1:19" x14ac:dyDescent="0.25">
      <c r="A46" s="28" t="s">
        <v>89</v>
      </c>
      <c r="B46" s="29" t="s">
        <v>90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t="shared" ref="H46:H52" si="13">F46+G46</f>
        <v>0</v>
      </c>
      <c r="I46" s="48">
        <f t="shared" ref="I46:J46" si="14">C46+F46</f>
        <v>0</v>
      </c>
      <c r="J46" s="48">
        <f t="shared" si="14"/>
        <v>0</v>
      </c>
      <c r="K46" s="48">
        <f>I46+J46</f>
        <v>0</v>
      </c>
      <c r="L46" s="55" t="s">
        <v>59</v>
      </c>
      <c r="M46" s="55" t="s">
        <v>59</v>
      </c>
      <c r="N46" s="55" t="s">
        <v>59</v>
      </c>
      <c r="O46" s="55" t="s">
        <v>59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 spans="1:19" x14ac:dyDescent="0.25">
      <c r="A47" s="51" t="s">
        <v>81</v>
      </c>
      <c r="B47" s="29" t="s">
        <v>91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 spans="1:19" x14ac:dyDescent="0.25">
      <c r="A48" s="51" t="s">
        <v>83</v>
      </c>
      <c r="B48" s="29" t="s">
        <v>92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t="shared" ref="P48:Q50" si="15">C48*L48+F48*N48</f>
        <v>0</v>
      </c>
      <c r="Q48" s="48">
        <f t="shared" si="15"/>
        <v>0</v>
      </c>
      <c r="R48" s="48">
        <f t="shared" ref="R48:R52" si="16">P48+Q48</f>
        <v>0</v>
      </c>
      <c r="S48" s="50"/>
    </row>
    <row r="49" spans="1:19" x14ac:dyDescent="0.25">
      <c r="A49" s="51" t="s">
        <v>85</v>
      </c>
      <c r="B49" s="29" t="s">
        <v>93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0.28000000000000003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 spans="1:19" x14ac:dyDescent="0.25">
      <c r="A50" s="51" t="s">
        <v>87</v>
      </c>
      <c r="B50" s="29" t="s">
        <v>94</v>
      </c>
      <c r="C50" s="52"/>
      <c r="D50" s="52"/>
      <c r="E50" s="48">
        <f t="shared" ref="E50" si="17"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spans="1:19" ht="25.5" x14ac:dyDescent="0.25">
      <c r="A51" s="32" t="s">
        <v>166</v>
      </c>
      <c r="B51" s="29" t="s">
        <v>95</v>
      </c>
      <c r="C51" s="49" t="s">
        <v>59</v>
      </c>
      <c r="D51" s="49" t="s">
        <v>59</v>
      </c>
      <c r="E51" s="49" t="s">
        <v>59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spans="1:19" s="84" customFormat="1" ht="16.5" customHeight="1" x14ac:dyDescent="0.25">
      <c r="A52" s="21" t="s">
        <v>96</v>
      </c>
      <c r="B52" s="22" t="s">
        <v>97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59</v>
      </c>
      <c r="M52" s="60" t="s">
        <v>59</v>
      </c>
      <c r="N52" s="60" t="s">
        <v>59</v>
      </c>
      <c r="O52" s="60" t="s">
        <v>59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spans="1:19" ht="15.75" x14ac:dyDescent="0.25">
      <c r="A54" s="114" t="s">
        <v>98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 spans="1:19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spans="1:19" ht="13.5" customHeight="1" x14ac:dyDescent="0.25">
      <c r="A56" s="112" t="s">
        <v>141</v>
      </c>
      <c r="B56" s="112"/>
      <c r="C56" s="115" t="s">
        <v>51</v>
      </c>
      <c r="D56" s="115"/>
      <c r="E56" s="115"/>
      <c r="F56" s="115"/>
      <c r="G56" s="115"/>
      <c r="H56" s="115"/>
      <c r="I56" s="115"/>
      <c r="J56" s="115"/>
      <c r="K56" s="115"/>
      <c r="L56" s="116" t="s">
        <v>52</v>
      </c>
      <c r="M56" s="116"/>
      <c r="N56" s="116"/>
      <c r="O56" s="116"/>
      <c r="P56" s="116"/>
      <c r="Q56" s="116"/>
      <c r="R56" s="116"/>
      <c r="S56" s="42"/>
    </row>
    <row r="57" spans="1:19" x14ac:dyDescent="0.25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53</v>
      </c>
      <c r="M57" s="116"/>
      <c r="N57" s="116"/>
      <c r="O57" s="116"/>
      <c r="P57" s="116" t="s">
        <v>54</v>
      </c>
      <c r="Q57" s="116"/>
      <c r="R57" s="116"/>
      <c r="S57" s="42"/>
    </row>
    <row r="58" spans="1:19" ht="12.75" customHeight="1" x14ac:dyDescent="0.25">
      <c r="A58" s="112"/>
      <c r="B58" s="112"/>
      <c r="C58" s="116" t="s">
        <v>55</v>
      </c>
      <c r="D58" s="116"/>
      <c r="E58" s="116"/>
      <c r="F58" s="117" t="s">
        <v>56</v>
      </c>
      <c r="G58" s="117"/>
      <c r="H58" s="117"/>
      <c r="I58" s="116" t="s">
        <v>22</v>
      </c>
      <c r="J58" s="116"/>
      <c r="K58" s="116"/>
      <c r="L58" s="116" t="s">
        <v>57</v>
      </c>
      <c r="M58" s="116"/>
      <c r="N58" s="117" t="s">
        <v>58</v>
      </c>
      <c r="O58" s="117"/>
      <c r="P58" s="116" t="s">
        <v>22</v>
      </c>
      <c r="Q58" s="116"/>
      <c r="R58" s="116"/>
      <c r="S58" s="42"/>
    </row>
    <row r="59" spans="1:19" x14ac:dyDescent="0.25">
      <c r="A59" s="112"/>
      <c r="B59" s="112"/>
      <c r="C59" s="74" t="s">
        <v>20</v>
      </c>
      <c r="D59" s="74" t="s">
        <v>21</v>
      </c>
      <c r="E59" s="74" t="s">
        <v>22</v>
      </c>
      <c r="F59" s="74" t="s">
        <v>20</v>
      </c>
      <c r="G59" s="74" t="s">
        <v>21</v>
      </c>
      <c r="H59" s="74" t="s">
        <v>22</v>
      </c>
      <c r="I59" s="74" t="s">
        <v>20</v>
      </c>
      <c r="J59" s="74" t="s">
        <v>21</v>
      </c>
      <c r="K59" s="74" t="s">
        <v>22</v>
      </c>
      <c r="L59" s="74" t="s">
        <v>20</v>
      </c>
      <c r="M59" s="74" t="s">
        <v>21</v>
      </c>
      <c r="N59" s="74" t="s">
        <v>20</v>
      </c>
      <c r="O59" s="74" t="s">
        <v>21</v>
      </c>
      <c r="P59" s="74" t="s">
        <v>20</v>
      </c>
      <c r="Q59" s="74" t="s">
        <v>21</v>
      </c>
      <c r="R59" s="74" t="s">
        <v>22</v>
      </c>
      <c r="S59" s="43"/>
    </row>
    <row r="60" spans="1:19" x14ac:dyDescent="0.25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spans="1:19" ht="25.5" x14ac:dyDescent="0.25">
      <c r="A61" s="28" t="s">
        <v>99</v>
      </c>
      <c r="B61" s="61" t="s">
        <v>100</v>
      </c>
      <c r="C61" s="52"/>
      <c r="D61" s="52"/>
      <c r="E61" s="44">
        <f t="shared" ref="E61:E66" si="18">C61+D61</f>
        <v>0</v>
      </c>
      <c r="F61" s="48" t="s">
        <v>59</v>
      </c>
      <c r="G61" s="48" t="s">
        <v>59</v>
      </c>
      <c r="H61" s="48" t="s">
        <v>59</v>
      </c>
      <c r="I61" s="48">
        <f>C61</f>
        <v>0</v>
      </c>
      <c r="J61" s="48">
        <f>D61</f>
        <v>0</v>
      </c>
      <c r="K61" s="48">
        <f t="shared" ref="K61:K66" si="19">I61+J61</f>
        <v>0</v>
      </c>
      <c r="L61" s="56">
        <v>0</v>
      </c>
      <c r="M61" s="56">
        <v>0</v>
      </c>
      <c r="N61" s="56" t="s">
        <v>59</v>
      </c>
      <c r="O61" s="56" t="s">
        <v>59</v>
      </c>
      <c r="P61" s="48">
        <f t="shared" ref="P61:Q65" si="20">C61*L61</f>
        <v>0</v>
      </c>
      <c r="Q61" s="48">
        <f t="shared" si="20"/>
        <v>0</v>
      </c>
      <c r="R61" s="48">
        <f>P61+Q61</f>
        <v>0</v>
      </c>
      <c r="S61" s="50"/>
    </row>
    <row r="62" spans="1:19" ht="25.5" x14ac:dyDescent="0.25">
      <c r="A62" s="28" t="s">
        <v>101</v>
      </c>
      <c r="B62" s="61" t="s">
        <v>102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59</v>
      </c>
      <c r="G62" s="48" t="s">
        <v>59</v>
      </c>
      <c r="H62" s="48" t="s">
        <v>59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59</v>
      </c>
      <c r="M62" s="56" t="s">
        <v>59</v>
      </c>
      <c r="N62" s="56" t="s">
        <v>59</v>
      </c>
      <c r="O62" s="56" t="s">
        <v>59</v>
      </c>
      <c r="P62" s="48" t="s">
        <v>59</v>
      </c>
      <c r="Q62" s="48" t="s">
        <v>59</v>
      </c>
      <c r="R62" s="48" t="s">
        <v>59</v>
      </c>
      <c r="S62" s="50"/>
    </row>
    <row r="63" spans="1:19" ht="16.5" customHeight="1" x14ac:dyDescent="0.25">
      <c r="A63" s="28" t="s">
        <v>175</v>
      </c>
      <c r="B63" s="61" t="s">
        <v>177</v>
      </c>
      <c r="C63" s="52"/>
      <c r="D63" s="52"/>
      <c r="E63" s="48">
        <f t="shared" si="18"/>
        <v>0</v>
      </c>
      <c r="F63" s="48" t="s">
        <v>59</v>
      </c>
      <c r="G63" s="48" t="s">
        <v>59</v>
      </c>
      <c r="H63" s="48" t="s">
        <v>59</v>
      </c>
      <c r="I63" s="48">
        <f t="shared" ref="I63" si="21">C63</f>
        <v>0</v>
      </c>
      <c r="J63" s="48">
        <f t="shared" ref="J63" si="22">D63</f>
        <v>0</v>
      </c>
      <c r="K63" s="48">
        <f t="shared" si="19"/>
        <v>0</v>
      </c>
      <c r="L63" s="55">
        <v>0.15</v>
      </c>
      <c r="M63" s="55">
        <v>0.15</v>
      </c>
      <c r="N63" s="56" t="s">
        <v>59</v>
      </c>
      <c r="O63" s="56" t="s">
        <v>59</v>
      </c>
      <c r="P63" s="48">
        <f>C63*L63</f>
        <v>0</v>
      </c>
      <c r="Q63" s="48">
        <f t="shared" ref="Q63" si="23">D63*M63</f>
        <v>0</v>
      </c>
      <c r="R63" s="48">
        <f>P63+Q63</f>
        <v>0</v>
      </c>
      <c r="S63" s="50"/>
    </row>
    <row r="64" spans="1:19" ht="16.5" customHeight="1" x14ac:dyDescent="0.25">
      <c r="A64" s="28" t="s">
        <v>176</v>
      </c>
      <c r="B64" s="61" t="s">
        <v>178</v>
      </c>
      <c r="C64" s="52"/>
      <c r="D64" s="52"/>
      <c r="E64" s="48">
        <f t="shared" si="18"/>
        <v>0</v>
      </c>
      <c r="F64" s="48" t="s">
        <v>59</v>
      </c>
      <c r="G64" s="48" t="s">
        <v>59</v>
      </c>
      <c r="H64" s="48" t="s">
        <v>59</v>
      </c>
      <c r="I64" s="48">
        <f t="shared" ref="I64" si="24">C64</f>
        <v>0</v>
      </c>
      <c r="J64" s="48">
        <f t="shared" ref="J64" si="25">D64</f>
        <v>0</v>
      </c>
      <c r="K64" s="48">
        <f t="shared" si="19"/>
        <v>0</v>
      </c>
      <c r="L64" s="55">
        <v>0.5</v>
      </c>
      <c r="M64" s="55">
        <v>0.5</v>
      </c>
      <c r="N64" s="56" t="s">
        <v>59</v>
      </c>
      <c r="O64" s="56" t="s">
        <v>59</v>
      </c>
      <c r="P64" s="48">
        <f>C64*L64</f>
        <v>0</v>
      </c>
      <c r="Q64" s="48">
        <f t="shared" ref="Q64" si="26">D64*M64</f>
        <v>0</v>
      </c>
      <c r="R64" s="48">
        <f>P64+Q64</f>
        <v>0</v>
      </c>
      <c r="S64" s="50"/>
    </row>
    <row r="65" spans="1:19" ht="16.5" customHeight="1" x14ac:dyDescent="0.25">
      <c r="A65" s="28" t="s">
        <v>103</v>
      </c>
      <c r="B65" s="61" t="s">
        <v>104</v>
      </c>
      <c r="C65" s="52"/>
      <c r="D65" s="52"/>
      <c r="E65" s="48">
        <f t="shared" si="18"/>
        <v>0</v>
      </c>
      <c r="F65" s="48" t="s">
        <v>59</v>
      </c>
      <c r="G65" s="48" t="s">
        <v>59</v>
      </c>
      <c r="H65" s="48" t="s">
        <v>59</v>
      </c>
      <c r="I65" s="48">
        <f t="shared" ref="I65:J66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59</v>
      </c>
      <c r="O65" s="56" t="s">
        <v>59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spans="1:19" s="84" customFormat="1" ht="16.5" customHeight="1" x14ac:dyDescent="0.25">
      <c r="A66" s="21" t="s">
        <v>105</v>
      </c>
      <c r="B66" s="75" t="s">
        <v>106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59</v>
      </c>
      <c r="G66" s="44" t="s">
        <v>59</v>
      </c>
      <c r="H66" s="44" t="s">
        <v>59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59</v>
      </c>
      <c r="M66" s="44" t="s">
        <v>59</v>
      </c>
      <c r="N66" s="44" t="s">
        <v>59</v>
      </c>
      <c r="O66" s="44" t="s">
        <v>59</v>
      </c>
      <c r="P66" s="44">
        <f>P61+P63+P65+P64</f>
        <v>0</v>
      </c>
      <c r="Q66" s="44">
        <f t="shared" ref="Q66:R66" si="28">Q61+Q63+Q65+Q64</f>
        <v>0</v>
      </c>
      <c r="R66" s="44">
        <f t="shared" si="28"/>
        <v>0</v>
      </c>
      <c r="S66" s="45"/>
    </row>
    <row r="68" spans="1:19" ht="15.75" x14ac:dyDescent="0.25">
      <c r="A68" s="114" t="s">
        <v>107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 spans="1:19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spans="1:19" ht="13.5" customHeight="1" x14ac:dyDescent="0.25">
      <c r="A70" s="112" t="s">
        <v>141</v>
      </c>
      <c r="B70" s="112"/>
      <c r="C70" s="115" t="s">
        <v>51</v>
      </c>
      <c r="D70" s="115"/>
      <c r="E70" s="115"/>
      <c r="F70" s="115"/>
      <c r="G70" s="115"/>
      <c r="H70" s="115"/>
      <c r="I70" s="115"/>
      <c r="J70" s="115"/>
      <c r="K70" s="115"/>
      <c r="L70" s="116" t="s">
        <v>52</v>
      </c>
      <c r="M70" s="116"/>
      <c r="N70" s="116"/>
      <c r="O70" s="116"/>
      <c r="P70" s="116"/>
      <c r="Q70" s="116"/>
      <c r="R70" s="116"/>
      <c r="S70" s="42"/>
    </row>
    <row r="71" spans="1:19" x14ac:dyDescent="0.25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53</v>
      </c>
      <c r="M71" s="116"/>
      <c r="N71" s="116"/>
      <c r="O71" s="116"/>
      <c r="P71" s="116" t="s">
        <v>54</v>
      </c>
      <c r="Q71" s="116"/>
      <c r="R71" s="116"/>
      <c r="S71" s="42"/>
    </row>
    <row r="72" spans="1:19" ht="12.75" customHeight="1" x14ac:dyDescent="0.25">
      <c r="A72" s="112"/>
      <c r="B72" s="112"/>
      <c r="C72" s="116" t="s">
        <v>55</v>
      </c>
      <c r="D72" s="116"/>
      <c r="E72" s="116"/>
      <c r="F72" s="117" t="s">
        <v>56</v>
      </c>
      <c r="G72" s="117"/>
      <c r="H72" s="117"/>
      <c r="I72" s="116" t="s">
        <v>22</v>
      </c>
      <c r="J72" s="116"/>
      <c r="K72" s="116"/>
      <c r="L72" s="116" t="s">
        <v>57</v>
      </c>
      <c r="M72" s="116"/>
      <c r="N72" s="117" t="s">
        <v>58</v>
      </c>
      <c r="O72" s="117"/>
      <c r="P72" s="116" t="s">
        <v>22</v>
      </c>
      <c r="Q72" s="116"/>
      <c r="R72" s="116"/>
      <c r="S72" s="42"/>
    </row>
    <row r="73" spans="1:19" x14ac:dyDescent="0.25">
      <c r="A73" s="112"/>
      <c r="B73" s="112"/>
      <c r="C73" s="74" t="s">
        <v>20</v>
      </c>
      <c r="D73" s="74" t="s">
        <v>21</v>
      </c>
      <c r="E73" s="74" t="s">
        <v>22</v>
      </c>
      <c r="F73" s="74" t="s">
        <v>20</v>
      </c>
      <c r="G73" s="74" t="s">
        <v>21</v>
      </c>
      <c r="H73" s="74" t="s">
        <v>22</v>
      </c>
      <c r="I73" s="74" t="s">
        <v>20</v>
      </c>
      <c r="J73" s="74" t="s">
        <v>21</v>
      </c>
      <c r="K73" s="74" t="s">
        <v>22</v>
      </c>
      <c r="L73" s="74" t="s">
        <v>20</v>
      </c>
      <c r="M73" s="74" t="s">
        <v>21</v>
      </c>
      <c r="N73" s="74" t="s">
        <v>20</v>
      </c>
      <c r="O73" s="74" t="s">
        <v>21</v>
      </c>
      <c r="P73" s="74" t="s">
        <v>20</v>
      </c>
      <c r="Q73" s="74" t="s">
        <v>21</v>
      </c>
      <c r="R73" s="74" t="s">
        <v>22</v>
      </c>
      <c r="S73" s="43"/>
    </row>
    <row r="74" spans="1:19" x14ac:dyDescent="0.25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spans="1:19" ht="14.25" customHeight="1" x14ac:dyDescent="0.25">
      <c r="A75" s="28" t="s">
        <v>108</v>
      </c>
      <c r="B75" s="61" t="s">
        <v>109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t="shared" ref="H75:H81" si="29">F75+G75</f>
        <v>0</v>
      </c>
      <c r="I75" s="48">
        <f t="shared" ref="I75:J80" si="30">C75+F75</f>
        <v>0</v>
      </c>
      <c r="J75" s="48">
        <f t="shared" si="30"/>
        <v>0</v>
      </c>
      <c r="K75" s="48">
        <f>I75+J75</f>
        <v>0</v>
      </c>
      <c r="L75" s="62" t="s">
        <v>59</v>
      </c>
      <c r="M75" s="55" t="s">
        <v>59</v>
      </c>
      <c r="N75" s="48" t="s">
        <v>59</v>
      </c>
      <c r="O75" s="48" t="s">
        <v>59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spans="1:19" ht="14.25" customHeight="1" x14ac:dyDescent="0.25">
      <c r="A76" s="37" t="s">
        <v>181</v>
      </c>
      <c r="B76" s="61" t="s">
        <v>110</v>
      </c>
      <c r="C76" s="52"/>
      <c r="D76" s="52"/>
      <c r="E76" s="48">
        <f t="shared" ref="E76:E89" si="31">C76+D76</f>
        <v>0</v>
      </c>
      <c r="F76" s="52"/>
      <c r="G76" s="52"/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spans="1:19" ht="14.25" customHeight="1" x14ac:dyDescent="0.25">
      <c r="A77" s="63" t="s">
        <v>180</v>
      </c>
      <c r="B77" s="29" t="s">
        <v>111</v>
      </c>
      <c r="C77" s="52"/>
      <c r="D77" s="52"/>
      <c r="E77" s="48">
        <f>C77+D77</f>
        <v>0</v>
      </c>
      <c r="F77" s="52"/>
      <c r="G77" s="52"/>
      <c r="H77" s="48">
        <f>F77+G77</f>
        <v>0</v>
      </c>
      <c r="I77" s="48">
        <f>C77+F77</f>
        <v>0</v>
      </c>
      <c r="J77" s="48">
        <f t="shared" ref="J77" si="32">D77+G77</f>
        <v>0</v>
      </c>
      <c r="K77" s="48">
        <f t="shared" ref="K77" si="33"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spans="1:19" ht="14.25" customHeight="1" x14ac:dyDescent="0.25">
      <c r="A78" s="63" t="s">
        <v>179</v>
      </c>
      <c r="B78" s="29" t="s">
        <v>188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t="shared" ref="K78:K91" si="34">I78+J78</f>
        <v>0</v>
      </c>
      <c r="L78" s="62" t="s">
        <v>59</v>
      </c>
      <c r="M78" s="55" t="s">
        <v>59</v>
      </c>
      <c r="N78" s="48" t="s">
        <v>59</v>
      </c>
      <c r="O78" s="48" t="s">
        <v>59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spans="1:19" ht="14.25" customHeight="1" x14ac:dyDescent="0.25">
      <c r="A79" s="51" t="s">
        <v>182</v>
      </c>
      <c r="B79" s="29" t="s">
        <v>189</v>
      </c>
      <c r="C79" s="85"/>
      <c r="D79" s="85"/>
      <c r="E79" s="48">
        <f t="shared" si="31"/>
        <v>0</v>
      </c>
      <c r="F79" s="85"/>
      <c r="G79" s="85"/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t="shared" ref="P79:Q83" si="35">C79*L79+F79*N79</f>
        <v>0</v>
      </c>
      <c r="Q79" s="48">
        <f t="shared" si="35"/>
        <v>0</v>
      </c>
      <c r="R79" s="48">
        <f>P79+Q79</f>
        <v>0</v>
      </c>
      <c r="S79" s="50"/>
    </row>
    <row r="80" spans="1:19" ht="14.25" customHeight="1" x14ac:dyDescent="0.25">
      <c r="A80" s="51" t="s">
        <v>183</v>
      </c>
      <c r="B80" s="29" t="s">
        <v>190</v>
      </c>
      <c r="C80" s="85"/>
      <c r="D80" s="85"/>
      <c r="E80" s="48">
        <f t="shared" si="31"/>
        <v>0</v>
      </c>
      <c r="F80" s="85"/>
      <c r="G80" s="85"/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spans="1:19" ht="28.5" customHeight="1" x14ac:dyDescent="0.25">
      <c r="A81" s="51" t="s">
        <v>194</v>
      </c>
      <c r="B81" s="29" t="s">
        <v>191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t="shared" ref="I81:J83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spans="1:19" ht="14.25" customHeight="1" x14ac:dyDescent="0.25">
      <c r="A82" s="67" t="s">
        <v>184</v>
      </c>
      <c r="B82" s="29" t="s">
        <v>192</v>
      </c>
      <c r="C82" s="85"/>
      <c r="D82" s="85"/>
      <c r="E82" s="48">
        <f>C82+D82</f>
        <v>0</v>
      </c>
      <c r="F82" s="85"/>
      <c r="G82" s="85"/>
      <c r="H82" s="48">
        <f t="shared" ref="H82:H83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spans="1:19" ht="14.25" customHeight="1" x14ac:dyDescent="0.25">
      <c r="A83" s="67" t="s">
        <v>185</v>
      </c>
      <c r="B83" s="29" t="s">
        <v>193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spans="1:19" ht="14.25" customHeight="1" x14ac:dyDescent="0.25">
      <c r="A84" s="28" t="s">
        <v>112</v>
      </c>
      <c r="B84" s="61" t="s">
        <v>113</v>
      </c>
      <c r="C84" s="85"/>
      <c r="D84" s="85"/>
      <c r="E84" s="48">
        <f t="shared" si="31"/>
        <v>0</v>
      </c>
      <c r="F84" s="85"/>
      <c r="G84" s="85"/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 t="shared" ref="Q84" si="38">D84*M84+G84*O84</f>
        <v>0</v>
      </c>
      <c r="R84" s="48">
        <f t="shared" ref="R84:R90" si="39">P84+Q84</f>
        <v>0</v>
      </c>
      <c r="S84" s="50"/>
    </row>
    <row r="85" spans="1:19" ht="14.25" customHeight="1" x14ac:dyDescent="0.25">
      <c r="A85" s="28" t="s">
        <v>114</v>
      </c>
      <c r="B85" s="61" t="s">
        <v>115</v>
      </c>
      <c r="C85" s="85"/>
      <c r="D85" s="85"/>
      <c r="E85" s="48">
        <f t="shared" si="31"/>
        <v>0</v>
      </c>
      <c r="F85" s="48" t="s">
        <v>59</v>
      </c>
      <c r="G85" s="48" t="s">
        <v>59</v>
      </c>
      <c r="H85" s="48" t="s">
        <v>59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59</v>
      </c>
      <c r="O85" s="48" t="s">
        <v>59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spans="1:19" ht="14.25" customHeight="1" x14ac:dyDescent="0.25">
      <c r="A86" s="28" t="s">
        <v>116</v>
      </c>
      <c r="B86" s="61" t="s">
        <v>117</v>
      </c>
      <c r="C86" s="85"/>
      <c r="D86" s="85"/>
      <c r="E86" s="48">
        <f>C86+D86</f>
        <v>0</v>
      </c>
      <c r="F86" s="48" t="s">
        <v>59</v>
      </c>
      <c r="G86" s="48" t="s">
        <v>59</v>
      </c>
      <c r="H86" s="48" t="s">
        <v>59</v>
      </c>
      <c r="I86" s="48">
        <f t="shared" ref="I86:I91" si="40">C86</f>
        <v>0</v>
      </c>
      <c r="J86" s="48">
        <f t="shared" ref="J86:J91" si="41">D86</f>
        <v>0</v>
      </c>
      <c r="K86" s="48">
        <f>I86+J86</f>
        <v>0</v>
      </c>
      <c r="L86" s="55">
        <v>1</v>
      </c>
      <c r="M86" s="55">
        <v>1</v>
      </c>
      <c r="N86" s="48" t="s">
        <v>59</v>
      </c>
      <c r="O86" s="48" t="s">
        <v>59</v>
      </c>
      <c r="P86" s="48">
        <f t="shared" ref="P86:Q90" si="42">C86*L86</f>
        <v>0</v>
      </c>
      <c r="Q86" s="48">
        <f t="shared" si="42"/>
        <v>0</v>
      </c>
      <c r="R86" s="48">
        <f t="shared" si="39"/>
        <v>0</v>
      </c>
      <c r="S86" s="50"/>
    </row>
    <row r="87" spans="1:19" ht="14.25" customHeight="1" x14ac:dyDescent="0.25">
      <c r="A87" s="28" t="s">
        <v>118</v>
      </c>
      <c r="B87" s="61" t="s">
        <v>119</v>
      </c>
      <c r="C87" s="85"/>
      <c r="D87" s="85"/>
      <c r="E87" s="48">
        <f t="shared" si="31"/>
        <v>0</v>
      </c>
      <c r="F87" s="48" t="s">
        <v>59</v>
      </c>
      <c r="G87" s="48" t="s">
        <v>59</v>
      </c>
      <c r="H87" s="48" t="s">
        <v>59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59</v>
      </c>
      <c r="O87" s="48" t="s">
        <v>59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spans="1:19" ht="14.25" customHeight="1" x14ac:dyDescent="0.25">
      <c r="A88" s="28" t="s">
        <v>120</v>
      </c>
      <c r="B88" s="61" t="s">
        <v>121</v>
      </c>
      <c r="C88" s="85"/>
      <c r="D88" s="85"/>
      <c r="E88" s="48">
        <f t="shared" si="31"/>
        <v>0</v>
      </c>
      <c r="F88" s="48" t="s">
        <v>59</v>
      </c>
      <c r="G88" s="48" t="s">
        <v>59</v>
      </c>
      <c r="H88" s="48" t="s">
        <v>59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59</v>
      </c>
      <c r="O88" s="48" t="s">
        <v>59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spans="1:19" ht="14.25" customHeight="1" x14ac:dyDescent="0.25">
      <c r="A89" s="28" t="s">
        <v>122</v>
      </c>
      <c r="B89" s="61" t="s">
        <v>123</v>
      </c>
      <c r="C89" s="85"/>
      <c r="D89" s="85"/>
      <c r="E89" s="48">
        <f t="shared" si="31"/>
        <v>0</v>
      </c>
      <c r="F89" s="48" t="s">
        <v>59</v>
      </c>
      <c r="G89" s="48" t="s">
        <v>59</v>
      </c>
      <c r="H89" s="48" t="s">
        <v>59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59</v>
      </c>
      <c r="O89" s="48" t="s">
        <v>59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spans="1:19" ht="14.25" customHeight="1" x14ac:dyDescent="0.25">
      <c r="A90" s="28" t="s">
        <v>124</v>
      </c>
      <c r="B90" s="61" t="s">
        <v>125</v>
      </c>
      <c r="C90" s="85"/>
      <c r="D90" s="85"/>
      <c r="E90" s="48">
        <f>C90+D90</f>
        <v>0</v>
      </c>
      <c r="F90" s="48" t="s">
        <v>59</v>
      </c>
      <c r="G90" s="48" t="s">
        <v>59</v>
      </c>
      <c r="H90" s="48" t="s">
        <v>59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59</v>
      </c>
      <c r="O90" s="48" t="s">
        <v>59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spans="1:19" ht="14.25" customHeight="1" x14ac:dyDescent="0.25">
      <c r="A91" s="28" t="s">
        <v>126</v>
      </c>
      <c r="B91" s="61" t="s">
        <v>127</v>
      </c>
      <c r="C91" s="85"/>
      <c r="D91" s="85"/>
      <c r="E91" s="48">
        <f>C91+D91</f>
        <v>0</v>
      </c>
      <c r="F91" s="48" t="s">
        <v>59</v>
      </c>
      <c r="G91" s="48" t="s">
        <v>59</v>
      </c>
      <c r="H91" s="48" t="s">
        <v>59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59</v>
      </c>
      <c r="O91" s="48" t="s">
        <v>59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spans="1:19" s="84" customFormat="1" ht="15.75" customHeight="1" x14ac:dyDescent="0.25">
      <c r="A92" s="21" t="s">
        <v>162</v>
      </c>
      <c r="B92" s="75" t="s">
        <v>128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59</v>
      </c>
      <c r="M92" s="44" t="s">
        <v>59</v>
      </c>
      <c r="N92" s="44" t="s">
        <v>59</v>
      </c>
      <c r="O92" s="44" t="s">
        <v>59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 count="96"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30" priority="15">
      <formula>#REF!="PLEASE CORRECT ALL COMPARISON RULES"</formula>
    </cfRule>
  </conditionalFormatting>
  <conditionalFormatting sqref="B19">
    <cfRule type="expression" dxfId="29" priority="14">
      <formula>#REF!="PLEASE CORRECT ALL COMPARISON RULES"</formula>
    </cfRule>
  </conditionalFormatting>
  <conditionalFormatting sqref="B22">
    <cfRule type="expression" dxfId="28" priority="13">
      <formula>#REF!="PLEASE CORRECT ALL COMPARISON RULES"</formula>
    </cfRule>
  </conditionalFormatting>
  <conditionalFormatting sqref="B25">
    <cfRule type="expression" dxfId="27" priority="12">
      <formula>#REF!="PLEASE CORRECT ALL COMPARISON RULES"</formula>
    </cfRule>
  </conditionalFormatting>
  <conditionalFormatting sqref="B41">
    <cfRule type="expression" dxfId="26" priority="11">
      <formula>#REF!="PLEASE CORRECT ALL COMPARISON RULES"</formula>
    </cfRule>
  </conditionalFormatting>
  <conditionalFormatting sqref="B47:B50">
    <cfRule type="expression" dxfId="25" priority="9">
      <formula>#REF!="PLEASE CORRECT ALL COMPARISON RULES"</formula>
    </cfRule>
  </conditionalFormatting>
  <conditionalFormatting sqref="B46">
    <cfRule type="expression" dxfId="24" priority="10">
      <formula>#REF!="PLEASE CORRECT ALL COMPARISON RULES"</formula>
    </cfRule>
  </conditionalFormatting>
  <conditionalFormatting sqref="B86">
    <cfRule type="expression" dxfId="23" priority="8">
      <formula>#REF!="PLEASE CORRECT ALL COMPARISON RULES"</formula>
    </cfRule>
  </conditionalFormatting>
  <conditionalFormatting sqref="B52">
    <cfRule type="expression" dxfId="22" priority="7">
      <formula>#REF!="PLEASE CORRECT ALL COMPARISON RULES"</formula>
    </cfRule>
  </conditionalFormatting>
  <conditionalFormatting sqref="B20:B21">
    <cfRule type="expression" dxfId="21" priority="6">
      <formula>#REF!="PLEASE CORRECT ALL COMPARISON RULES"</formula>
    </cfRule>
  </conditionalFormatting>
  <conditionalFormatting sqref="B42:B45">
    <cfRule type="expression" dxfId="20" priority="5">
      <formula>#REF!="PLEASE CORRECT ALL COMPARISON RULES"</formula>
    </cfRule>
  </conditionalFormatting>
  <conditionalFormatting sqref="B78">
    <cfRule type="expression" dxfId="19" priority="4">
      <formula>#REF!="PLEASE CORRECT ALL COMPARISON RULES"</formula>
    </cfRule>
  </conditionalFormatting>
  <conditionalFormatting sqref="B79:B83">
    <cfRule type="expression" dxfId="18" priority="3">
      <formula>#REF!="PLEASE CORRECT ALL COMPARISON RULES"</formula>
    </cfRule>
  </conditionalFormatting>
  <conditionalFormatting sqref="B51">
    <cfRule type="expression" dxfId="17" priority="2">
      <formula>#REF!="PLEASE CORRECT ALL COMPARISON RULES"</formula>
    </cfRule>
  </conditionalFormatting>
  <conditionalFormatting sqref="B77">
    <cfRule type="expression" dxfId="16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 r:id="rId1"/>
  <rowBreaks count="2" manualBreakCount="2">
    <brk id="26" max="17" man="1"/>
    <brk id="52" max="17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style="77" customWidth="1"/>
    <col min="2" max="2" width="6.5703125" style="77" bestFit="1" customWidth="1"/>
    <col min="3" max="8" width="7.85546875" style="78" customWidth="1"/>
    <col min="9" max="15" width="7.85546875" style="77" customWidth="1"/>
    <col min="16" max="17" width="9" style="77" bestFit="1" customWidth="1"/>
    <col min="18" max="18" width="12.7109375" style="77" bestFit="1" customWidth="1"/>
    <col min="19" max="19" width="3.140625" style="77" customWidth="1"/>
    <col min="20" max="20" width="5.28515625" style="77" customWidth="1"/>
    <col min="21" max="16384" width="9.140625" style="77"/>
  </cols>
  <sheetData>
    <row r="2" spans="1:18" ht="15.75" x14ac:dyDescent="0.25">
      <c r="A2" s="114" t="s">
        <v>129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ht="15.75" x14ac:dyDescent="0.25">
      <c r="A3" s="114" t="s">
        <v>160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1:18" x14ac:dyDescent="0.25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16</v>
      </c>
    </row>
    <row r="5" spans="1:18" x14ac:dyDescent="0.25">
      <c r="A5" s="112" t="s">
        <v>141</v>
      </c>
      <c r="B5" s="112"/>
      <c r="C5" s="115" t="s">
        <v>51</v>
      </c>
      <c r="D5" s="115"/>
      <c r="E5" s="115"/>
      <c r="F5" s="115"/>
      <c r="G5" s="115"/>
      <c r="H5" s="115"/>
      <c r="I5" s="115"/>
      <c r="J5" s="115"/>
      <c r="K5" s="115"/>
      <c r="L5" s="116" t="s">
        <v>130</v>
      </c>
      <c r="M5" s="116"/>
      <c r="N5" s="116"/>
      <c r="O5" s="116"/>
      <c r="P5" s="116"/>
      <c r="Q5" s="116"/>
      <c r="R5" s="116"/>
    </row>
    <row r="6" spans="1:18" x14ac:dyDescent="0.25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53</v>
      </c>
      <c r="M6" s="116"/>
      <c r="N6" s="116"/>
      <c r="O6" s="116"/>
      <c r="P6" s="116" t="s">
        <v>54</v>
      </c>
      <c r="Q6" s="116"/>
      <c r="R6" s="116"/>
    </row>
    <row r="7" spans="1:18" ht="12.75" customHeight="1" x14ac:dyDescent="0.25">
      <c r="A7" s="112"/>
      <c r="B7" s="112"/>
      <c r="C7" s="116" t="s">
        <v>55</v>
      </c>
      <c r="D7" s="116"/>
      <c r="E7" s="116"/>
      <c r="F7" s="117" t="s">
        <v>56</v>
      </c>
      <c r="G7" s="117"/>
      <c r="H7" s="117"/>
      <c r="I7" s="116" t="s">
        <v>22</v>
      </c>
      <c r="J7" s="116"/>
      <c r="K7" s="116"/>
      <c r="L7" s="116" t="s">
        <v>57</v>
      </c>
      <c r="M7" s="116"/>
      <c r="N7" s="117" t="s">
        <v>58</v>
      </c>
      <c r="O7" s="117"/>
      <c r="P7" s="116" t="s">
        <v>22</v>
      </c>
      <c r="Q7" s="116"/>
      <c r="R7" s="116"/>
    </row>
    <row r="8" spans="1:18" x14ac:dyDescent="0.25">
      <c r="A8" s="112"/>
      <c r="B8" s="112"/>
      <c r="C8" s="74" t="s">
        <v>20</v>
      </c>
      <c r="D8" s="74" t="s">
        <v>21</v>
      </c>
      <c r="E8" s="74" t="s">
        <v>22</v>
      </c>
      <c r="F8" s="74" t="s">
        <v>20</v>
      </c>
      <c r="G8" s="74" t="s">
        <v>21</v>
      </c>
      <c r="H8" s="74" t="s">
        <v>22</v>
      </c>
      <c r="I8" s="74" t="s">
        <v>20</v>
      </c>
      <c r="J8" s="74" t="s">
        <v>21</v>
      </c>
      <c r="K8" s="74" t="s">
        <v>22</v>
      </c>
      <c r="L8" s="74" t="s">
        <v>20</v>
      </c>
      <c r="M8" s="74" t="s">
        <v>21</v>
      </c>
      <c r="N8" s="74" t="s">
        <v>20</v>
      </c>
      <c r="O8" s="74" t="s">
        <v>21</v>
      </c>
      <c r="P8" s="74" t="s">
        <v>20</v>
      </c>
      <c r="Q8" s="74" t="s">
        <v>21</v>
      </c>
      <c r="R8" s="74" t="s">
        <v>22</v>
      </c>
    </row>
    <row r="9" spans="1:18" x14ac:dyDescent="0.25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pans="1:18" s="84" customFormat="1" x14ac:dyDescent="0.25">
      <c r="A10" s="21" t="s">
        <v>161</v>
      </c>
      <c r="B10" s="22" t="s">
        <v>24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t="shared" ref="G10:H10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59</v>
      </c>
      <c r="M10" s="74" t="s">
        <v>59</v>
      </c>
      <c r="N10" s="74" t="s">
        <v>59</v>
      </c>
      <c r="O10" s="74" t="s">
        <v>59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 spans="1:18" x14ac:dyDescent="0.25">
      <c r="A11" s="46"/>
      <c r="B11" s="47"/>
      <c r="C11" s="46"/>
      <c r="D11" s="46"/>
      <c r="E11" s="46"/>
      <c r="F11" s="46"/>
      <c r="G11" s="46"/>
      <c r="H11" s="46"/>
    </row>
    <row r="12" spans="1:18" ht="15.75" x14ac:dyDescent="0.25">
      <c r="A12" s="114" t="s">
        <v>131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 spans="1:18" x14ac:dyDescent="0.25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 spans="1:18" x14ac:dyDescent="0.25">
      <c r="A14" s="112" t="s">
        <v>141</v>
      </c>
      <c r="B14" s="112"/>
      <c r="C14" s="115" t="s">
        <v>51</v>
      </c>
      <c r="D14" s="115"/>
      <c r="E14" s="115"/>
      <c r="F14" s="115"/>
      <c r="G14" s="115"/>
      <c r="H14" s="115"/>
      <c r="I14" s="115"/>
      <c r="J14" s="115"/>
      <c r="K14" s="115"/>
      <c r="L14" s="116" t="s">
        <v>130</v>
      </c>
      <c r="M14" s="116"/>
      <c r="N14" s="116"/>
      <c r="O14" s="116"/>
      <c r="P14" s="116"/>
      <c r="Q14" s="116"/>
      <c r="R14" s="116"/>
    </row>
    <row r="15" spans="1:18" x14ac:dyDescent="0.2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53</v>
      </c>
      <c r="M15" s="116"/>
      <c r="N15" s="116"/>
      <c r="O15" s="116"/>
      <c r="P15" s="116" t="s">
        <v>54</v>
      </c>
      <c r="Q15" s="116"/>
      <c r="R15" s="116"/>
    </row>
    <row r="16" spans="1:18" ht="12.75" customHeight="1" x14ac:dyDescent="0.25">
      <c r="A16" s="112"/>
      <c r="B16" s="112"/>
      <c r="C16" s="116" t="s">
        <v>55</v>
      </c>
      <c r="D16" s="116"/>
      <c r="E16" s="116"/>
      <c r="F16" s="117" t="s">
        <v>56</v>
      </c>
      <c r="G16" s="117"/>
      <c r="H16" s="117"/>
      <c r="I16" s="116" t="s">
        <v>22</v>
      </c>
      <c r="J16" s="116"/>
      <c r="K16" s="116"/>
      <c r="L16" s="116" t="s">
        <v>57</v>
      </c>
      <c r="M16" s="116"/>
      <c r="N16" s="117" t="s">
        <v>58</v>
      </c>
      <c r="O16" s="117"/>
      <c r="P16" s="116" t="s">
        <v>22</v>
      </c>
      <c r="Q16" s="116"/>
      <c r="R16" s="116"/>
    </row>
    <row r="17" spans="1:19" x14ac:dyDescent="0.25">
      <c r="A17" s="112"/>
      <c r="B17" s="112"/>
      <c r="C17" s="74" t="s">
        <v>20</v>
      </c>
      <c r="D17" s="74" t="s">
        <v>21</v>
      </c>
      <c r="E17" s="74" t="s">
        <v>22</v>
      </c>
      <c r="F17" s="74" t="s">
        <v>20</v>
      </c>
      <c r="G17" s="74" t="s">
        <v>21</v>
      </c>
      <c r="H17" s="74" t="s">
        <v>22</v>
      </c>
      <c r="I17" s="74" t="s">
        <v>20</v>
      </c>
      <c r="J17" s="74" t="s">
        <v>21</v>
      </c>
      <c r="K17" s="74" t="s">
        <v>22</v>
      </c>
      <c r="L17" s="74" t="s">
        <v>20</v>
      </c>
      <c r="M17" s="74" t="s">
        <v>21</v>
      </c>
      <c r="N17" s="74" t="s">
        <v>20</v>
      </c>
      <c r="O17" s="74" t="s">
        <v>21</v>
      </c>
      <c r="P17" s="74" t="s">
        <v>20</v>
      </c>
      <c r="Q17" s="74" t="s">
        <v>21</v>
      </c>
      <c r="R17" s="74" t="s">
        <v>22</v>
      </c>
    </row>
    <row r="18" spans="1:19" x14ac:dyDescent="0.25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spans="1:19" ht="15.75" customHeight="1" x14ac:dyDescent="0.25">
      <c r="A19" s="28" t="s">
        <v>132</v>
      </c>
      <c r="B19" s="29" t="s">
        <v>27</v>
      </c>
      <c r="C19" s="52"/>
      <c r="D19" s="52"/>
      <c r="E19" s="48">
        <f t="shared" ref="E19:E24" si="1">C19+D19</f>
        <v>0</v>
      </c>
      <c r="F19" s="48"/>
      <c r="G19" s="48"/>
      <c r="H19" s="49">
        <f t="shared" ref="H19:H24" si="2">F19+G19</f>
        <v>0</v>
      </c>
      <c r="I19" s="48">
        <f>C19+F19</f>
        <v>0</v>
      </c>
      <c r="J19" s="48">
        <f>D19+G19</f>
        <v>0</v>
      </c>
      <c r="K19" s="48">
        <f t="shared" ref="K19:K24" si="3">I19+J19</f>
        <v>0</v>
      </c>
      <c r="L19" s="55">
        <v>0.5</v>
      </c>
      <c r="M19" s="55">
        <v>0.5</v>
      </c>
      <c r="N19" s="55" t="s">
        <v>59</v>
      </c>
      <c r="O19" s="55" t="s">
        <v>59</v>
      </c>
      <c r="P19" s="48">
        <f>C19*L19</f>
        <v>0</v>
      </c>
      <c r="Q19" s="48">
        <f>D19*M19</f>
        <v>0</v>
      </c>
      <c r="R19" s="48">
        <f>P19+Q19</f>
        <v>0</v>
      </c>
    </row>
    <row r="20" spans="1:19" ht="27.75" customHeight="1" x14ac:dyDescent="0.25">
      <c r="A20" s="28" t="s">
        <v>165</v>
      </c>
      <c r="B20" s="29" t="s">
        <v>28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t="shared" ref="I20:J24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59</v>
      </c>
      <c r="O20" s="55" t="s">
        <v>59</v>
      </c>
      <c r="P20" s="48">
        <f>C20*L20</f>
        <v>0</v>
      </c>
      <c r="Q20" s="48">
        <f t="shared" ref="P20:Q23" si="5">D20*M20</f>
        <v>0</v>
      </c>
      <c r="R20" s="48">
        <f>P20+Q20</f>
        <v>0</v>
      </c>
    </row>
    <row r="21" spans="1:19" x14ac:dyDescent="0.25">
      <c r="A21" s="28" t="s">
        <v>133</v>
      </c>
      <c r="B21" s="29" t="s">
        <v>29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59</v>
      </c>
      <c r="O21" s="55" t="s">
        <v>59</v>
      </c>
      <c r="P21" s="48">
        <f t="shared" si="5"/>
        <v>0</v>
      </c>
      <c r="Q21" s="48">
        <f t="shared" si="5"/>
        <v>0</v>
      </c>
      <c r="R21" s="48">
        <f>P21+Q21</f>
        <v>0</v>
      </c>
    </row>
    <row r="22" spans="1:19" x14ac:dyDescent="0.25">
      <c r="A22" s="28" t="s">
        <v>134</v>
      </c>
      <c r="B22" s="29" t="s">
        <v>30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59</v>
      </c>
      <c r="O22" s="55" t="s">
        <v>59</v>
      </c>
      <c r="P22" s="48">
        <f>C22*L22</f>
        <v>0</v>
      </c>
      <c r="Q22" s="48">
        <f t="shared" si="5"/>
        <v>0</v>
      </c>
      <c r="R22" s="48">
        <f>P22+Q22</f>
        <v>0</v>
      </c>
    </row>
    <row r="23" spans="1:19" x14ac:dyDescent="0.25">
      <c r="A23" s="28" t="s">
        <v>135</v>
      </c>
      <c r="B23" s="29" t="s">
        <v>31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59</v>
      </c>
      <c r="O23" s="55" t="s">
        <v>59</v>
      </c>
      <c r="P23" s="48">
        <f t="shared" si="5"/>
        <v>0</v>
      </c>
      <c r="Q23" s="48">
        <f t="shared" si="5"/>
        <v>0</v>
      </c>
      <c r="R23" s="48">
        <f>P23+Q23</f>
        <v>0</v>
      </c>
    </row>
    <row r="24" spans="1:19" s="84" customFormat="1" x14ac:dyDescent="0.25">
      <c r="A24" s="21" t="s">
        <v>163</v>
      </c>
      <c r="B24" s="22" t="s">
        <v>33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59</v>
      </c>
      <c r="M24" s="44" t="s">
        <v>59</v>
      </c>
      <c r="N24" s="44" t="s">
        <v>59</v>
      </c>
      <c r="O24" s="44" t="s">
        <v>59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spans="1:19" ht="18.75" x14ac:dyDescent="0.25">
      <c r="A26" s="118" t="s">
        <v>152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spans="1:19" ht="18.75" x14ac:dyDescent="0.2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spans="1:19" ht="13.5" customHeight="1" x14ac:dyDescent="0.25">
      <c r="A28" s="112" t="s">
        <v>141</v>
      </c>
      <c r="B28" s="112"/>
      <c r="C28" s="115" t="s">
        <v>51</v>
      </c>
      <c r="D28" s="115"/>
      <c r="E28" s="115"/>
      <c r="F28" s="115"/>
      <c r="G28" s="115"/>
      <c r="H28" s="115"/>
      <c r="I28" s="115"/>
      <c r="J28" s="115"/>
      <c r="K28" s="115"/>
      <c r="L28" s="116" t="s">
        <v>130</v>
      </c>
      <c r="M28" s="116"/>
      <c r="N28" s="116"/>
      <c r="O28" s="116"/>
      <c r="P28" s="116"/>
      <c r="Q28" s="116"/>
      <c r="R28" s="116"/>
      <c r="S28" s="42"/>
    </row>
    <row r="29" spans="1:19" x14ac:dyDescent="0.25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53</v>
      </c>
      <c r="M29" s="116"/>
      <c r="N29" s="116"/>
      <c r="O29" s="116"/>
      <c r="P29" s="116" t="s">
        <v>54</v>
      </c>
      <c r="Q29" s="116"/>
      <c r="R29" s="116"/>
      <c r="S29" s="42"/>
    </row>
    <row r="30" spans="1:19" ht="12.75" customHeight="1" x14ac:dyDescent="0.25">
      <c r="A30" s="112"/>
      <c r="B30" s="112"/>
      <c r="C30" s="116" t="s">
        <v>55</v>
      </c>
      <c r="D30" s="116"/>
      <c r="E30" s="116"/>
      <c r="F30" s="117" t="s">
        <v>56</v>
      </c>
      <c r="G30" s="117"/>
      <c r="H30" s="117"/>
      <c r="I30" s="116" t="s">
        <v>22</v>
      </c>
      <c r="J30" s="116"/>
      <c r="K30" s="116"/>
      <c r="L30" s="116" t="s">
        <v>57</v>
      </c>
      <c r="M30" s="116"/>
      <c r="N30" s="117" t="s">
        <v>58</v>
      </c>
      <c r="O30" s="117"/>
      <c r="P30" s="116" t="s">
        <v>22</v>
      </c>
      <c r="Q30" s="116"/>
      <c r="R30" s="116"/>
      <c r="S30" s="42"/>
    </row>
    <row r="31" spans="1:19" x14ac:dyDescent="0.25">
      <c r="A31" s="112"/>
      <c r="B31" s="112"/>
      <c r="C31" s="74" t="s">
        <v>20</v>
      </c>
      <c r="D31" s="74" t="s">
        <v>21</v>
      </c>
      <c r="E31" s="74" t="s">
        <v>22</v>
      </c>
      <c r="F31" s="74" t="s">
        <v>20</v>
      </c>
      <c r="G31" s="74" t="s">
        <v>21</v>
      </c>
      <c r="H31" s="74" t="s">
        <v>22</v>
      </c>
      <c r="I31" s="74" t="s">
        <v>20</v>
      </c>
      <c r="J31" s="74" t="s">
        <v>21</v>
      </c>
      <c r="K31" s="74" t="s">
        <v>22</v>
      </c>
      <c r="L31" s="74" t="s">
        <v>20</v>
      </c>
      <c r="M31" s="74" t="s">
        <v>21</v>
      </c>
      <c r="N31" s="74" t="s">
        <v>20</v>
      </c>
      <c r="O31" s="74" t="s">
        <v>21</v>
      </c>
      <c r="P31" s="74" t="s">
        <v>20</v>
      </c>
      <c r="Q31" s="74" t="s">
        <v>21</v>
      </c>
      <c r="R31" s="74" t="s">
        <v>22</v>
      </c>
      <c r="S31" s="43"/>
    </row>
    <row r="32" spans="1:19" x14ac:dyDescent="0.25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spans="1:19" ht="25.5" x14ac:dyDescent="0.25">
      <c r="A33" s="28" t="s">
        <v>153</v>
      </c>
      <c r="B33" s="61" t="s">
        <v>38</v>
      </c>
      <c r="C33" s="52"/>
      <c r="D33" s="52"/>
      <c r="E33" s="48">
        <f t="shared" ref="E33:E39" si="6">C33+D33</f>
        <v>0</v>
      </c>
      <c r="F33" s="48" t="s">
        <v>59</v>
      </c>
      <c r="G33" s="48" t="s">
        <v>59</v>
      </c>
      <c r="H33" s="48" t="s">
        <v>59</v>
      </c>
      <c r="I33" s="48">
        <f>C33</f>
        <v>0</v>
      </c>
      <c r="J33" s="48">
        <f>D33</f>
        <v>0</v>
      </c>
      <c r="K33" s="48">
        <f t="shared" ref="K33:K39" si="7">I33+J33</f>
        <v>0</v>
      </c>
      <c r="L33" s="56">
        <v>0</v>
      </c>
      <c r="M33" s="56">
        <v>0</v>
      </c>
      <c r="N33" s="56" t="s">
        <v>59</v>
      </c>
      <c r="O33" s="56" t="s">
        <v>59</v>
      </c>
      <c r="P33" s="48">
        <f t="shared" ref="P33:Q38" si="8">C33*L33</f>
        <v>0</v>
      </c>
      <c r="Q33" s="48">
        <f t="shared" si="8"/>
        <v>0</v>
      </c>
      <c r="R33" s="48">
        <f>P33+Q33</f>
        <v>0</v>
      </c>
      <c r="S33" s="50"/>
    </row>
    <row r="34" spans="1:19" ht="25.5" x14ac:dyDescent="0.25">
      <c r="A34" s="28" t="s">
        <v>154</v>
      </c>
      <c r="B34" s="61" t="s">
        <v>44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59</v>
      </c>
      <c r="G34" s="48" t="s">
        <v>59</v>
      </c>
      <c r="H34" s="48" t="s">
        <v>59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59</v>
      </c>
      <c r="M34" s="56" t="s">
        <v>59</v>
      </c>
      <c r="N34" s="56" t="s">
        <v>59</v>
      </c>
      <c r="O34" s="56" t="s">
        <v>59</v>
      </c>
      <c r="P34" s="56" t="s">
        <v>59</v>
      </c>
      <c r="Q34" s="56" t="s">
        <v>59</v>
      </c>
      <c r="R34" s="56" t="s">
        <v>59</v>
      </c>
      <c r="S34" s="50"/>
    </row>
    <row r="35" spans="1:19" ht="16.5" customHeight="1" x14ac:dyDescent="0.25">
      <c r="A35" s="89" t="s">
        <v>175</v>
      </c>
      <c r="B35" s="90" t="s">
        <v>186</v>
      </c>
      <c r="C35" s="91"/>
      <c r="D35" s="91"/>
      <c r="E35" s="92">
        <f t="shared" si="6"/>
        <v>0</v>
      </c>
      <c r="F35" s="92" t="s">
        <v>59</v>
      </c>
      <c r="G35" s="92" t="s">
        <v>59</v>
      </c>
      <c r="H35" s="92" t="s">
        <v>59</v>
      </c>
      <c r="I35" s="92">
        <f t="shared" ref="I35" si="9">C35</f>
        <v>0</v>
      </c>
      <c r="J35" s="92">
        <f t="shared" ref="J35" si="10">D35</f>
        <v>0</v>
      </c>
      <c r="K35" s="92">
        <f t="shared" si="7"/>
        <v>0</v>
      </c>
      <c r="L35" s="93">
        <v>0.15</v>
      </c>
      <c r="M35" s="93">
        <v>0.15</v>
      </c>
      <c r="N35" s="56" t="s">
        <v>59</v>
      </c>
      <c r="O35" s="56" t="s">
        <v>59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spans="1:19" ht="16.5" customHeight="1" x14ac:dyDescent="0.25">
      <c r="A36" s="89" t="s">
        <v>176</v>
      </c>
      <c r="B36" s="90" t="s">
        <v>187</v>
      </c>
      <c r="C36" s="91"/>
      <c r="D36" s="91"/>
      <c r="E36" s="92">
        <f t="shared" si="6"/>
        <v>0</v>
      </c>
      <c r="F36" s="92" t="s">
        <v>59</v>
      </c>
      <c r="G36" s="92" t="s">
        <v>59</v>
      </c>
      <c r="H36" s="92" t="s">
        <v>59</v>
      </c>
      <c r="I36" s="92">
        <f t="shared" ref="I36" si="11">C36</f>
        <v>0</v>
      </c>
      <c r="J36" s="92">
        <f t="shared" ref="J36" si="12">D36</f>
        <v>0</v>
      </c>
      <c r="K36" s="92">
        <f t="shared" si="7"/>
        <v>0</v>
      </c>
      <c r="L36" s="93">
        <v>0.5</v>
      </c>
      <c r="M36" s="93">
        <v>0.5</v>
      </c>
      <c r="N36" s="56" t="s">
        <v>59</v>
      </c>
      <c r="O36" s="56" t="s">
        <v>59</v>
      </c>
      <c r="P36" s="48">
        <f>C36*L36</f>
        <v>0</v>
      </c>
      <c r="Q36" s="48">
        <f t="shared" ref="Q36" si="13">D36*M36</f>
        <v>0</v>
      </c>
      <c r="R36" s="48">
        <f>P36+Q36</f>
        <v>0</v>
      </c>
      <c r="S36" s="50"/>
    </row>
    <row r="37" spans="1:19" ht="38.25" x14ac:dyDescent="0.25">
      <c r="A37" s="89" t="s">
        <v>201</v>
      </c>
      <c r="B37" s="90" t="s">
        <v>48</v>
      </c>
      <c r="C37" s="91"/>
      <c r="D37" s="91"/>
      <c r="E37" s="92">
        <f t="shared" si="6"/>
        <v>0</v>
      </c>
      <c r="F37" s="92" t="s">
        <v>59</v>
      </c>
      <c r="G37" s="92" t="s">
        <v>59</v>
      </c>
      <c r="H37" s="92" t="s">
        <v>59</v>
      </c>
      <c r="I37" s="92">
        <f t="shared" ref="I37" si="14">C37</f>
        <v>0</v>
      </c>
      <c r="J37" s="92">
        <f t="shared" ref="J37" si="15">D37</f>
        <v>0</v>
      </c>
      <c r="K37" s="92">
        <f t="shared" ref="K37" si="16">I37+J37</f>
        <v>0</v>
      </c>
      <c r="L37" s="93">
        <v>1</v>
      </c>
      <c r="M37" s="93">
        <v>1</v>
      </c>
      <c r="N37" s="56" t="s">
        <v>59</v>
      </c>
      <c r="O37" s="56" t="s">
        <v>59</v>
      </c>
      <c r="P37" s="48">
        <f>C37*L37</f>
        <v>0</v>
      </c>
      <c r="Q37" s="48">
        <f t="shared" ref="Q37" si="17">D37*M37</f>
        <v>0</v>
      </c>
      <c r="R37" s="48">
        <f>P37+Q37</f>
        <v>0</v>
      </c>
      <c r="S37" s="50"/>
    </row>
    <row r="38" spans="1:19" ht="16.5" customHeight="1" x14ac:dyDescent="0.25">
      <c r="A38" s="28" t="s">
        <v>202</v>
      </c>
      <c r="B38" s="61" t="s">
        <v>80</v>
      </c>
      <c r="C38" s="52"/>
      <c r="D38" s="52"/>
      <c r="E38" s="48">
        <f t="shared" si="6"/>
        <v>0</v>
      </c>
      <c r="F38" s="48" t="s">
        <v>59</v>
      </c>
      <c r="G38" s="48" t="s">
        <v>59</v>
      </c>
      <c r="H38" s="48" t="s">
        <v>59</v>
      </c>
      <c r="I38" s="48">
        <f t="shared" ref="I38:J39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59</v>
      </c>
      <c r="O38" s="56" t="s">
        <v>59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spans="1:19" s="84" customFormat="1" ht="16.5" customHeight="1" x14ac:dyDescent="0.25">
      <c r="A39" s="21" t="s">
        <v>203</v>
      </c>
      <c r="B39" s="75" t="s">
        <v>90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59</v>
      </c>
      <c r="G39" s="44" t="s">
        <v>59</v>
      </c>
      <c r="H39" s="44" t="s">
        <v>59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59</v>
      </c>
      <c r="M39" s="44" t="s">
        <v>59</v>
      </c>
      <c r="N39" s="44" t="s">
        <v>59</v>
      </c>
      <c r="O39" s="44" t="s">
        <v>59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spans="1:19" ht="15.75" x14ac:dyDescent="0.25">
      <c r="A41" s="114" t="s">
        <v>156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 spans="1:19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 spans="1:19" x14ac:dyDescent="0.25">
      <c r="A43" s="112" t="s">
        <v>141</v>
      </c>
      <c r="B43" s="112"/>
      <c r="C43" s="115" t="s">
        <v>51</v>
      </c>
      <c r="D43" s="115"/>
      <c r="E43" s="115"/>
      <c r="F43" s="115"/>
      <c r="G43" s="115"/>
      <c r="H43" s="115"/>
      <c r="I43" s="115"/>
      <c r="J43" s="115"/>
      <c r="K43" s="115"/>
      <c r="L43" s="116" t="s">
        <v>130</v>
      </c>
      <c r="M43" s="116"/>
      <c r="N43" s="116"/>
      <c r="O43" s="116"/>
      <c r="P43" s="116"/>
      <c r="Q43" s="116"/>
      <c r="R43" s="116"/>
    </row>
    <row r="44" spans="1:19" x14ac:dyDescent="0.25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53</v>
      </c>
      <c r="M44" s="116"/>
      <c r="N44" s="116"/>
      <c r="O44" s="116"/>
      <c r="P44" s="116" t="s">
        <v>54</v>
      </c>
      <c r="Q44" s="116"/>
      <c r="R44" s="116"/>
    </row>
    <row r="45" spans="1:19" ht="12.75" customHeight="1" x14ac:dyDescent="0.25">
      <c r="A45" s="112"/>
      <c r="B45" s="112"/>
      <c r="C45" s="116" t="s">
        <v>55</v>
      </c>
      <c r="D45" s="116"/>
      <c r="E45" s="116"/>
      <c r="F45" s="117" t="s">
        <v>56</v>
      </c>
      <c r="G45" s="117"/>
      <c r="H45" s="117"/>
      <c r="I45" s="116" t="s">
        <v>22</v>
      </c>
      <c r="J45" s="116"/>
      <c r="K45" s="116"/>
      <c r="L45" s="116" t="s">
        <v>57</v>
      </c>
      <c r="M45" s="116"/>
      <c r="N45" s="117" t="s">
        <v>58</v>
      </c>
      <c r="O45" s="117"/>
      <c r="P45" s="116" t="s">
        <v>22</v>
      </c>
      <c r="Q45" s="116"/>
      <c r="R45" s="116"/>
    </row>
    <row r="46" spans="1:19" x14ac:dyDescent="0.25">
      <c r="A46" s="112"/>
      <c r="B46" s="112"/>
      <c r="C46" s="74" t="s">
        <v>20</v>
      </c>
      <c r="D46" s="74" t="s">
        <v>21</v>
      </c>
      <c r="E46" s="74" t="s">
        <v>22</v>
      </c>
      <c r="F46" s="74" t="s">
        <v>20</v>
      </c>
      <c r="G46" s="74" t="s">
        <v>21</v>
      </c>
      <c r="H46" s="74" t="s">
        <v>22</v>
      </c>
      <c r="I46" s="74" t="s">
        <v>20</v>
      </c>
      <c r="J46" s="74" t="s">
        <v>21</v>
      </c>
      <c r="K46" s="74" t="s">
        <v>22</v>
      </c>
      <c r="L46" s="74" t="s">
        <v>20</v>
      </c>
      <c r="M46" s="74" t="s">
        <v>21</v>
      </c>
      <c r="N46" s="74" t="s">
        <v>20</v>
      </c>
      <c r="O46" s="74" t="s">
        <v>21</v>
      </c>
      <c r="P46" s="74" t="s">
        <v>20</v>
      </c>
      <c r="Q46" s="74" t="s">
        <v>21</v>
      </c>
      <c r="R46" s="74" t="s">
        <v>22</v>
      </c>
    </row>
    <row r="47" spans="1:19" x14ac:dyDescent="0.25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spans="1:19" ht="19.5" customHeight="1" x14ac:dyDescent="0.25">
      <c r="A48" s="28" t="s">
        <v>136</v>
      </c>
      <c r="B48" s="29" t="s">
        <v>100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spans="1:18" ht="15" customHeight="1" x14ac:dyDescent="0.25">
      <c r="A49" s="28" t="s">
        <v>137</v>
      </c>
      <c r="B49" s="61" t="s">
        <v>102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t="shared" ref="I49:J51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59</v>
      </c>
      <c r="O49" s="48" t="s">
        <v>59</v>
      </c>
      <c r="P49" s="48">
        <f>C49*L49</f>
        <v>0</v>
      </c>
      <c r="Q49" s="48">
        <f>D49*M49</f>
        <v>0</v>
      </c>
      <c r="R49" s="48">
        <f>P49+Q49</f>
        <v>0</v>
      </c>
    </row>
    <row r="50" spans="1:18" ht="15" customHeight="1" x14ac:dyDescent="0.25">
      <c r="A50" s="28" t="s">
        <v>138</v>
      </c>
      <c r="B50" s="29" t="s">
        <v>104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59</v>
      </c>
      <c r="O50" s="48" t="s">
        <v>59</v>
      </c>
      <c r="P50" s="48">
        <f>C50*L50</f>
        <v>0</v>
      </c>
      <c r="Q50" s="48">
        <f t="shared" ref="P50:Q51" si="20">D50*M50</f>
        <v>0</v>
      </c>
      <c r="R50" s="48">
        <f>P50+Q50</f>
        <v>0</v>
      </c>
    </row>
    <row r="51" spans="1:18" ht="15" customHeight="1" x14ac:dyDescent="0.25">
      <c r="A51" s="28" t="s">
        <v>139</v>
      </c>
      <c r="B51" s="61" t="s">
        <v>106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59</v>
      </c>
      <c r="O51" s="48" t="s">
        <v>59</v>
      </c>
      <c r="P51" s="48">
        <f t="shared" si="20"/>
        <v>0</v>
      </c>
      <c r="Q51" s="48">
        <f>D51*M51</f>
        <v>0</v>
      </c>
      <c r="R51" s="48">
        <f>P51+Q51</f>
        <v>0</v>
      </c>
    </row>
    <row r="52" spans="1:18" s="84" customFormat="1" ht="15" customHeight="1" x14ac:dyDescent="0.25">
      <c r="A52" s="21" t="s">
        <v>164</v>
      </c>
      <c r="B52" s="75" t="s">
        <v>155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59</v>
      </c>
      <c r="M52" s="44" t="s">
        <v>59</v>
      </c>
      <c r="N52" s="44" t="s">
        <v>59</v>
      </c>
      <c r="O52" s="44" t="s">
        <v>59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 count="77"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15" priority="8">
      <formula>#REF!="PLEASE CORRECT ALL COMPARISON RULES"</formula>
    </cfRule>
  </conditionalFormatting>
  <conditionalFormatting sqref="B19">
    <cfRule type="expression" dxfId="14" priority="7">
      <formula>#REF!="PLEASE CORRECT ALL COMPARISON RULES"</formula>
    </cfRule>
  </conditionalFormatting>
  <conditionalFormatting sqref="B20">
    <cfRule type="expression" dxfId="13" priority="6">
      <formula>#REF!="PLEASE CORRECT ALL COMPARISON RULES"</formula>
    </cfRule>
  </conditionalFormatting>
  <conditionalFormatting sqref="B21">
    <cfRule type="expression" dxfId="12" priority="4">
      <formula>#REF!="PLEASE CORRECT ALL COMPARISON RULES"</formula>
    </cfRule>
  </conditionalFormatting>
  <conditionalFormatting sqref="B23">
    <cfRule type="expression" dxfId="11" priority="5">
      <formula>#REF!="PLEASE CORRECT ALL COMPARISON RULES"</formula>
    </cfRule>
  </conditionalFormatting>
  <conditionalFormatting sqref="B24">
    <cfRule type="expression" dxfId="10" priority="3">
      <formula>#REF!="PLEASE CORRECT ALL COMPARISON RULES"</formula>
    </cfRule>
  </conditionalFormatting>
  <conditionalFormatting sqref="B48 B50">
    <cfRule type="expression" dxfId="9" priority="2">
      <formula>#REF!="PLEASE CORRECT ALL COMPARISON RULES"</formula>
    </cfRule>
  </conditionalFormatting>
  <conditionalFormatting sqref="B22">
    <cfRule type="expression" dxfId="8" priority="1">
      <formula>#REF!="PLEASE CORRECT ALL COMPARISON RULES"</formula>
    </cfRule>
  </conditionalFormatting>
  <pageMargins left="0.16" right="0.16" top="0.75" bottom="0.75" header="0.3" footer="0.3"/>
  <pageSetup scale="6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style="64" customWidth="1"/>
    <col min="2" max="2" width="5.85546875" style="64" customWidth="1"/>
    <col min="3" max="5" width="18.85546875" style="64" customWidth="1"/>
    <col min="6" max="16384" width="9.140625" style="64"/>
  </cols>
  <sheetData>
    <row r="2" spans="1:27" ht="15.75" customHeight="1" x14ac:dyDescent="0.2">
      <c r="A2" s="114" t="s">
        <v>140</v>
      </c>
      <c r="B2" s="114"/>
      <c r="C2" s="114"/>
      <c r="D2" s="114"/>
      <c r="E2" s="114"/>
    </row>
    <row r="3" spans="1:27" ht="14.25" customHeight="1" x14ac:dyDescent="0.2">
      <c r="A3" s="119" t="s">
        <v>16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 spans="1:27" x14ac:dyDescent="0.2">
      <c r="A4" s="112" t="s">
        <v>141</v>
      </c>
      <c r="B4" s="112"/>
      <c r="C4" s="68" t="s">
        <v>22</v>
      </c>
      <c r="D4" s="68" t="s">
        <v>20</v>
      </c>
      <c r="E4" s="68" t="s">
        <v>21</v>
      </c>
    </row>
    <row r="5" spans="1:27" x14ac:dyDescent="0.2">
      <c r="A5" s="113">
        <v>1</v>
      </c>
      <c r="B5" s="113"/>
      <c r="C5" s="116">
        <v>2</v>
      </c>
      <c r="D5" s="116"/>
      <c r="E5" s="116"/>
    </row>
    <row r="6" spans="1:27" s="65" customFormat="1" ht="15" customHeight="1" x14ac:dyDescent="0.2">
      <c r="A6" s="70" t="s">
        <v>142</v>
      </c>
      <c r="B6" s="29" t="s">
        <v>143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spans="1:27" s="65" customFormat="1" ht="15" customHeight="1" x14ac:dyDescent="0.2">
      <c r="A7" s="71" t="s">
        <v>144</v>
      </c>
      <c r="B7" s="29" t="s">
        <v>145</v>
      </c>
      <c r="C7" s="73">
        <f>'L2'!K8</f>
        <v>0</v>
      </c>
      <c r="D7" s="73">
        <f>'L2'!I8</f>
        <v>0</v>
      </c>
      <c r="E7" s="73">
        <f>'L2'!J8</f>
        <v>0</v>
      </c>
    </row>
    <row r="8" spans="1:27" s="65" customFormat="1" ht="15" customHeight="1" x14ac:dyDescent="0.2">
      <c r="A8" s="71" t="s">
        <v>146</v>
      </c>
      <c r="B8" s="29" t="s">
        <v>147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spans="1:27" s="65" customFormat="1" ht="15" customHeight="1" x14ac:dyDescent="0.2">
      <c r="A9" s="71" t="s">
        <v>148</v>
      </c>
      <c r="B9" s="29" t="s">
        <v>149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spans="1:27" s="65" customFormat="1" ht="15" customHeight="1" x14ac:dyDescent="0.2">
      <c r="A10" s="71" t="s">
        <v>150</v>
      </c>
      <c r="B10" s="29" t="s">
        <v>151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 count="5">
    <mergeCell ref="A2:E2"/>
    <mergeCell ref="A3:E3"/>
    <mergeCell ref="A4:B4"/>
    <mergeCell ref="A5:B5"/>
    <mergeCell ref="C5:E5"/>
  </mergeCells>
  <conditionalFormatting sqref="B6:E6 B7">
    <cfRule type="expression" dxfId="7" priority="8">
      <formula>#REF!="PLEASE CORRECT ALL COMPARISON RULES"</formula>
    </cfRule>
  </conditionalFormatting>
  <conditionalFormatting sqref="B8">
    <cfRule type="expression" dxfId="6" priority="6">
      <formula>#REF!="PLEASE CORRECT ALL COMPARISON RULES"</formula>
    </cfRule>
  </conditionalFormatting>
  <conditionalFormatting sqref="C8:E8">
    <cfRule type="expression" dxfId="5" priority="5">
      <formula>#REF!="PLEASE CORRECT ALL COMPARISON RULES"</formula>
    </cfRule>
  </conditionalFormatting>
  <conditionalFormatting sqref="C7:E7">
    <cfRule type="expression" dxfId="4" priority="7">
      <formula>#REF!="PLEASE CORRECT ALL COMPARISON RULES"</formula>
    </cfRule>
  </conditionalFormatting>
  <conditionalFormatting sqref="C9:E9">
    <cfRule type="expression" dxfId="3" priority="3">
      <formula>#REF!="PLEASE CORRECT ALL COMPARISON RULES"</formula>
    </cfRule>
  </conditionalFormatting>
  <conditionalFormatting sqref="B9">
    <cfRule type="expression" dxfId="2" priority="4">
      <formula>#REF!="PLEASE CORRECT ALL COMPARISON RULES"</formula>
    </cfRule>
  </conditionalFormatting>
  <conditionalFormatting sqref="B10">
    <cfRule type="expression" dxfId="1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