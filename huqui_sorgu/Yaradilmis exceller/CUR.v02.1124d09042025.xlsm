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<sst xmlns="http://schemas.openxmlformats.org/spreadsheetml/2006/main" count="484" uniqueCount="484">
  <si>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</si>
  <si>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</si>
  <si>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</si>
  <si>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</si>
  <si>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</si>
  <si>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</si>
  <si>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</si>
  <si>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</si>
  <si>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</si>
  <si>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</si>
  <si>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</si>
  <si>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</si>
  <si>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</si>
  <si>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</si>
  <si>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</si>
  <si>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</si>
  <si>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</si>
  <si>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</si>
  <si>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</si>
  <si>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</si>
  <si>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</si>
  <si>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</si>
  <si>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</si>
  <si>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</si>
  <si>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</si>
  <si>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</si>
  <si>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</si>
  <si>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</si>
  <si>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</si>
  <si>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</si>
  <si>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</si>
  <si>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</si>
  <si>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</si>
  <si>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</si>
  <si>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</si>
  <si>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</si>
  <si>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</si>
  <si>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</si>
  <si>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</si>
  <si>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</si>
  <si>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</si>
  <si>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</si>
  <si>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</si>
  <si>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</si>
  <si>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</si>
  <si>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</si>
  <si>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</si>
  <si>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</si>
  <si>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</si>
  <si>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</si>
  <si>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</si>
  <si>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</si>
  <si>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</si>
  <si>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</si>
  <si>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</si>
  <si>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</si>
  <si>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</si>
  <si>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</si>
  <si>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</si>
  <si>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</si>
  <si>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</si>
  <si>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</si>
  <si>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</si>
  <si>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</si>
  <si>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</si>
  <si>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</si>
  <si>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</si>
  <si>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</si>
  <si>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</si>
  <si>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</si>
  <si>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</si>
  <si>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</si>
  <si>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</si>
  <si>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</si>
  <si>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</si>
  <si>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</si>
  <si>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</si>
  <si>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</si>
  <si>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</si>
  <si>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</si>
  <si>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</si>
  <si>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</si>
  <si>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</si>
  <si>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</si>
  <si>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</si>
  <si>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</si>
  <si>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</si>
  <si>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</si>
  <si>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</si>
  <si>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</si>
  <si>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</si>
  <si>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</si>
  <si>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</si>
  <si>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</si>
  <si>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</si>
  <si>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</si>
  <si>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</si>
  <si>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</si>
  <si>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</si>
  <si>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</si>
  <si>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</si>
  <si>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</si>
  <si>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</si>
  <si>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</si>
  <si>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</si>
  <si>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</si>
  <si>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</si>
  <si>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</si>
  <si>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</si>
  <si>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</si>
  <si>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</si>
  <si>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</si>
  <si>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</si>
  <si>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</si>
  <si>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</si>
  <si>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</si>
  <si>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</si>
  <si>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</si>
  <si>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</si>
  <si>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</si>
  <si>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</si>
  <si>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</si>
  <si>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</si>
  <si>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</si>
  <si>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</si>
  <si>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</si>
  <si>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</si>
  <si>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</si>
  <si>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</si>
  <si>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</si>
  <si>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</si>
  <si>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</si>
  <si>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</si>
  <si>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</si>
  <si>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</si>
  <si>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</si>
  <si>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</si>
  <si>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</si>
  <si>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</si>
  <si>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</si>
  <si>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</si>
  <si>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</si>
  <si>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</si>
  <si>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</si>
  <si>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</si>
  <si>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</si>
  <si>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</si>
  <si>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</si>
  <si>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</si>
  <si>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</si>
  <si>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</si>
  <si>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</si>
  <si>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</si>
  <si>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</si>
  <si>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</si>
  <si>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</si>
  <si>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</si>
  <si>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</si>
  <si>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</si>
  <si>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</si>
  <si>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</si>
  <si>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</si>
  <si>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</si>
  <si>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</si>
  <si>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</si>
  <si>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</si>
  <si>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</si>
  <si>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</si>
  <si>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</si>
  <si>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</si>
  <si>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</si>
  <si>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</si>
  <si>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</si>
  <si>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</si>
  <si>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</si>
  <si>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</si>
  <si>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</si>
  <si>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</si>
  <si>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</si>
  <si>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</si>
  <si>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</si>
  <si>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</si>
  <si>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</si>
  <si>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</si>
  <si>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</si>
  <si>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</si>
  <si>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</si>
  <si>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</si>
  <si>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</si>
  <si>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</si>
  <si>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</si>
  <si>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</si>
  <si>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</si>
  <si>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</si>
  <si>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</si>
  <si>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</si>
  <si>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</si>
  <si>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</si>
  <si>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</si>
  <si>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</si>
  <si>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</si>
  <si>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</si>
  <si>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</si>
  <si>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</si>
  <si>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</si>
  <si>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</si>
  <si>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Tarix:09-04-2025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</si>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</sst>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3129.38538</v>
      </c>
      <c r="D9" s="19">
        <f>SUM(E9:OFFSET(BE9:BE9,0,-1))</f>
        <v>0</v>
      </c>
      <c r="E9" s="127">
        <v>462.22268</v>
      </c>
      <c r="F9" s="127">
        <v>1875.3023</v>
      </c>
      <c r="G9" s="127">
        <v>799.12935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37020.98451</v>
      </c>
      <c r="D10" s="19">
        <f>SUM(E10:OFFSET(BE10:BE10,0,-1))</f>
        <v>0</v>
      </c>
      <c r="E10" s="189">
        <v>4046.31268</v>
      </c>
      <c r="F10" s="189">
        <v>947.7517</v>
      </c>
      <c r="G10" s="189">
        <v>32296.36523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3571.60332</v>
      </c>
      <c r="D12" s="21">
        <f>SUM(E12:OFFSET(BE12:BE12,0,-1))</f>
        <v>0</v>
      </c>
      <c r="E12" s="119">
        <v>3470.954</v>
      </c>
      <c r="F12" s="119">
        <v>0</v>
      </c>
      <c r="G12" s="119">
        <v>101.4748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8.62254</v>
      </c>
      <c r="D14" s="21">
        <f>SUM(E14:OFFSET(BE14:BE14,0,-1))</f>
        <v>0</v>
      </c>
      <c r="E14" s="119">
        <v>0</v>
      </c>
      <c r="F14" s="119">
        <v>0</v>
      </c>
      <c r="G14" s="119">
        <v>8.35769</v>
      </c>
      <c r="H14" s="119"/>
      <c r="I14" s="119">
        <v>0.00239</v>
      </c>
      <c r="J14" s="119"/>
      <c r="K14" s="119">
        <v>0.3214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34.49014</v>
      </c>
      <c r="D18" s="22">
        <f>SUM(E18:OFFSET(BE18:BE18,0,-1))</f>
        <v>0</v>
      </c>
      <c r="E18" s="126">
        <v>0</v>
      </c>
      <c r="F18" s="126">
        <v>0</v>
      </c>
      <c r="G18" s="126">
        <v>33.43077</v>
      </c>
      <c r="H18" s="126"/>
      <c r="I18" s="126">
        <v>0.00955</v>
      </c>
      <c r="J18" s="126"/>
      <c r="K18" s="126">
        <v>1.28559</v>
      </c>
      <c r="L18" s="126"/>
      <c r="M18" s="126"/>
      <c r="N18" s="126"/>
      <c r="O18" s="126">
        <v>0.03623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8.62254</v>
      </c>
      <c r="D19" s="21">
        <f>SUM(E19:OFFSET(BE19:BE19,0,-1))</f>
        <v>0</v>
      </c>
      <c r="E19" s="119">
        <v>0</v>
      </c>
      <c r="F19" s="119">
        <v>0</v>
      </c>
      <c r="G19" s="119">
        <v>8.35769</v>
      </c>
      <c r="H19" s="119"/>
      <c r="I19" s="119">
        <v>0.00239</v>
      </c>
      <c r="J19" s="119"/>
      <c r="K19" s="119">
        <v>0.3214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2474.32112</v>
      </c>
      <c r="D24" s="21">
        <f>SUM(E24:OFFSET(BE24:BE24,0,-1))</f>
        <v>0</v>
      </c>
      <c r="E24" s="119">
        <v>2474.81535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2474.32112</v>
      </c>
      <c r="D25" s="21">
        <f>SUM(E25:OFFSET(BE25:BE25,0,-1))</f>
        <v>0</v>
      </c>
      <c r="E25" s="119">
        <v>2474.81535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24982.49833</v>
      </c>
      <c r="D26" s="21">
        <f>SUM(E26:OFFSET(BE26:BE26,0,-1))</f>
        <v>0</v>
      </c>
      <c r="E26" s="119">
        <v>24987.92661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24982.49833</v>
      </c>
      <c r="D27" s="21">
        <f>SUM(E27:OFFSET(BE27:BE27,0,-1))</f>
        <v>0</v>
      </c>
      <c r="E27" s="119">
        <v>24987.92661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45900</v>
      </c>
      <c r="D41" s="20">
        <f>SUM(E41:OFFSET(BE41:BE41,0,-1))</f>
        <v>0</v>
      </c>
      <c r="E41" s="189">
        <v>45900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5379.799</v>
      </c>
      <c r="D42" s="20">
        <f>SUM(E42:OFFSET(BE42:BE42,0,-1))</f>
        <v>0</v>
      </c>
      <c r="E42" s="189">
        <v>5379.799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0</v>
      </c>
      <c r="D43" s="21">
        <f>SUM(E43:OFFSET(BE43:BE43,0,-1))</f>
        <v>0</v>
      </c>
      <c r="E43" s="119">
        <v>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289.85718</v>
      </c>
      <c r="D49" s="23">
        <f>SUM(E49:OFFSET(BE49:BE49,0,-1))</f>
        <v>0</v>
      </c>
      <c r="E49" s="120">
        <v>289.62681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2319.64654</v>
      </c>
      <c r="D50" s="23">
        <f>SUM(E50:OFFSET(BE50:BE50,0,-1))</f>
        <v>0</v>
      </c>
      <c r="E50" s="120">
        <v>2316.96616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57.22041</v>
      </c>
      <c r="D51" s="23">
        <f>SUM(E51:OFFSET(BE51:BE51,0,-1))</f>
        <v>0</v>
      </c>
      <c r="E51" s="120">
        <v>57.22041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1522.18593</v>
      </c>
      <c r="D52" s="23">
        <f>SUM(E52:OFFSET(BE52:BE52,0,-1))</f>
        <v>0</v>
      </c>
      <c r="E52" s="120">
        <v>1521.69568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705.2853</v>
      </c>
      <c r="D58" s="20">
        <f>SUM(E58:OFFSET(BE58:BE58,0,-1))</f>
        <v>0</v>
      </c>
      <c r="E58" s="189">
        <v>710.84263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242.07716</v>
      </c>
      <c r="D59" s="24">
        <f>SUM(E59:OFFSET(BE59:BE59,0,-1))</f>
        <v>0</v>
      </c>
      <c r="E59" s="121">
        <v>251.30977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191.24832</v>
      </c>
      <c r="D60" s="24">
        <f>SUM(E60:OFFSET(BE60:BE60,0,-1))</f>
        <v>0</v>
      </c>
      <c r="E60" s="121">
        <v>191.27525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7792.18821</v>
      </c>
      <c r="D61" s="25">
        <f>SUM(E61:OFFSET(BE61:BE61,0,-1))</f>
        <v>0</v>
      </c>
      <c r="E61" s="122">
        <v>7792.18756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34580.59489</v>
      </c>
      <c r="D65" s="21">
        <f>SUM(E65:OFFSET(BE65:BE65,0,-1))</f>
        <v>0</v>
      </c>
      <c r="E65" s="119">
        <v>34416.34085</v>
      </c>
      <c r="F65" s="119">
        <v>134.0257</v>
      </c>
      <c r="G65" s="119">
        <v>30.47626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682.92541</v>
      </c>
      <c r="D66" s="21">
        <f>SUM(E66:OFFSET(BE66:BE66,0,-1))</f>
        <v>0</v>
      </c>
      <c r="E66" s="119">
        <v>124.39174</v>
      </c>
      <c r="F66" s="119">
        <v>500.15132</v>
      </c>
      <c r="G66" s="119">
        <v>58.86118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1.84424</v>
      </c>
      <c r="D73" s="21">
        <f>SUM(E73:OFFSET(BE73:BE73,0,-1))</f>
        <v>0</v>
      </c>
      <c r="E73" s="119">
        <v>0</v>
      </c>
      <c r="F73" s="119">
        <v>1.64312</v>
      </c>
      <c r="G73" s="119">
        <v>0.20277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17158.83846</v>
      </c>
      <c r="D74" s="21">
        <f>SUM(E74:OFFSET(BE74:BE74,0,-1))</f>
        <v>0</v>
      </c>
      <c r="E74" s="119">
        <v>0</v>
      </c>
      <c r="F74" s="119">
        <v>2995.57621</v>
      </c>
      <c r="G74" s="119">
        <v>14279.42302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16789.5</v>
      </c>
      <c r="D76" s="21">
        <f>SUM(E76:OFFSET(BE76:BE76,0,-1))</f>
        <v>0</v>
      </c>
      <c r="E76" s="119">
        <v>0</v>
      </c>
      <c r="F76" s="119">
        <v>0</v>
      </c>
      <c r="G76" s="119">
        <v>16927.2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16789.5</v>
      </c>
      <c r="D77" s="27">
        <f>SUM(E77:OFFSET(BE77:BE77,0,-1))</f>
        <v>0</v>
      </c>
      <c r="E77" s="123">
        <v>0</v>
      </c>
      <c r="F77" s="123">
        <v>0</v>
      </c>
      <c r="G77" s="123">
        <v>16927.2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409.46911</v>
      </c>
      <c r="D89" s="20">
        <f>SUM(E89:OFFSET(BE89:BE89,0,-1))</f>
        <v>0</v>
      </c>
      <c r="E89" s="189">
        <v>357.37091</v>
      </c>
      <c r="F89" s="189">
        <v>3.23</v>
      </c>
      <c r="G89" s="189">
        <v>52.22919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50617.95963</v>
      </c>
      <c r="D93" s="30">
        <f>SUM(E93:OFFSET(BE93:BE93,0,-1))</f>
        <v>0</v>
      </c>
      <c r="E93" s="125">
        <v>50645.98686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1661.68592</v>
      </c>
      <c r="D95" s="21">
        <f>SUM(E95:OFFSET(BE95:BE95,0,-1))</f>
        <v>0</v>
      </c>
      <c r="E95" s="119">
        <v>1689.82499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16.25305</v>
      </c>
      <c r="D119" s="21">
        <f t="shared" si="52"/>
        <v>0</v>
      </c>
      <c r="E119" s="119">
        <v>26.24414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1536.20757</v>
      </c>
      <c r="D120" s="21">
        <f t="shared" si="52"/>
        <v>0</v>
      </c>
      <c r="E120" s="119">
        <v>1526.28656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1257.04941</v>
      </c>
      <c r="D124" s="21">
        <f t="shared" si="52"/>
        <v>0</v>
      </c>
      <c r="E124" s="119">
        <v>1256.78413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403.89756</v>
      </c>
      <c r="D128" s="21">
        <f t="shared" si="52"/>
        <v>0</v>
      </c>
      <c r="E128" s="119">
        <v>403.89756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10887.307128875</v>
      </c>
      <c r="D130" s="35">
        <f t="shared" si="52"/>
        <v>0</v>
      </c>
      <c r="E130" s="169">
        <v>10364.19428</v>
      </c>
      <c r="F130" s="169">
        <v>22.212574</v>
      </c>
      <c r="G130" s="169">
        <v>505.0084358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113533.056945</v>
      </c>
      <c r="D135" s="27">
        <f>SUM(E135:BD135)</f>
        <v>0</v>
      </c>
      <c r="E135" s="123">
        <v>74399.71176</v>
      </c>
      <c r="F135" s="123">
        <v>2823.054</v>
      </c>
      <c r="G135" s="123">
        <v>33019.0928575</v>
      </c>
      <c r="H135" s="123"/>
      <c r="I135" s="123">
        <v>0.0071625</v>
      </c>
      <c r="J135" s="123"/>
      <c r="K135" s="123">
        <v>0.9641925</v>
      </c>
      <c r="L135" s="123"/>
      <c r="M135" s="123"/>
      <c r="N135" s="123"/>
      <c r="O135" s="123">
        <v>0.0271725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52456.27698</v>
      </c>
      <c r="D136" s="27">
        <f>SUM(E136:BD136)</f>
        <v>0</v>
      </c>
      <c r="E136" s="123">
        <v>34572.20302</v>
      </c>
      <c r="F136" s="123">
        <v>3634.62635</v>
      </c>
      <c r="G136" s="123">
        <v>14369.27544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2.0974906578269783</v>
      </c>
      <c r="D137" s="123" t="e">
        <f>D138/D139</f>
        <v>#DIV/0!</v>
      </c>
      <c r="E137" s="123">
        <v>0.82504735639512761</v>
      </c>
      <c r="F137" s="123">
        <v>0.77775369869978739</v>
      </c>
      <c r="G137" s="123">
        <v>2.2962004461890464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64034.97446</v>
      </c>
      <c r="D138" s="123">
        <f>SUM(E138:O138)</f>
        <v>0</v>
      </c>
      <c r="E138" s="123">
        <v>28499.71176</v>
      </c>
      <c r="F138" s="123">
        <v>2823.054</v>
      </c>
      <c r="G138" s="123">
        <v>32994.01978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7778.83516915</v>
      </c>
      <c r="D139" s="123">
        <v>7811.4544952</v>
      </c>
      <c r="E139" s="123">
        <v>3017.09279675</v>
      </c>
      <c r="F139" s="123">
        <v>3134.7488374</v>
      </c>
      <c r="G139" s="123">
        <v>16042.6979564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5.645</v>
      </c>
      <c r="D145" s="256">
        <f>SUM(E145:BD145)</f>
        <v>0</v>
      </c>
      <c r="E145" s="170">
        <v>3.41028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5.645</v>
      </c>
      <c r="D147" s="256">
        <f t="shared" si="72"/>
        <v>0</v>
      </c>
      <c r="E147" s="170">
        <v>3.41028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0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0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1.5</v>
      </c>
      <c r="D153" s="257">
        <f t="shared" si="72"/>
        <v>0</v>
      </c>
      <c r="E153" s="245">
        <v>0.365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1.5</v>
      </c>
      <c r="D154" s="257">
        <f t="shared" si="72"/>
        <v>0</v>
      </c>
      <c r="E154" s="245">
        <v>0.365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1.48136</v>
      </c>
      <c r="D160" s="258">
        <f t="shared" si="72"/>
        <v>0</v>
      </c>
      <c r="E160" s="248">
        <v>0.23037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3.83625</v>
      </c>
      <c r="D161" s="258">
        <f t="shared" si="72"/>
        <v>0</v>
      </c>
      <c r="E161" s="248">
        <v>2.68038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5A5E5-F168-476C-BC50-ABB3D9892E34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3.41028</v>
      </c>
      <c r="D25" s="175">
        <v>13</v>
      </c>
      <c r="E25" s="176"/>
    </row>
    <row r="26" s="215" customFormat="1">
      <c r="A26" s="243" t="s">
        <v>33</v>
      </c>
      <c r="B26" s="231" t="s">
        <v>34</v>
      </c>
      <c r="C26" s="223">
        <v>3.41028</v>
      </c>
      <c r="D26" s="224">
        <v>13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0.365</v>
      </c>
      <c r="D35" s="224">
        <v>1</v>
      </c>
      <c r="E35" s="225"/>
    </row>
    <row r="36" ht="32.25">
      <c r="A36" s="200"/>
      <c r="B36" s="128" t="s">
        <v>21</v>
      </c>
      <c r="C36" s="129">
        <v>0.365</v>
      </c>
      <c r="D36" s="129">
        <v>1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