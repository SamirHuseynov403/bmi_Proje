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drawing+xml" PartName="/xl/drawings/drawing2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spreadsheetml.table+xml" PartName="/xl/tables/table7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10.xml"/>
  <Override ContentType="application/vnd.openxmlformats-officedocument.spreadsheetml.table+xml" PartName="/xl/tables/table11.xml"/>
  <Override ContentType="application/vnd.openxmlformats-officedocument.spreadsheetml.table+xml" PartName="/xl/tables/table12.xml"/>
  <Override ContentType="application/vnd.openxmlformats-officedocument.spreadsheetml.table+xml" PartName="/xl/tables/table13.xml"/>
  <Override ContentType="application/vnd.openxmlformats-officedocument.spreadsheetml.table+xml" PartName="/xl/tables/table14.xml"/>
  <Override ContentType="application/vnd.openxmlformats-officedocument.drawing+xml" PartName="/xl/drawings/drawing3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openxmlformats-officedocument.spreadsheetml.table+xml" PartName="/xl/tables/table15.xml"/>
  <Override ContentType="application/vnd.openxmlformats-officedocument.spreadsheetml.table+xml" PartName="/xl/tables/table16.xml"/>
  <Override ContentType="application/vnd.openxmlformats-officedocument.spreadsheetml.table+xml" PartName="/xl/tables/table17.xml"/>
  <Override ContentType="application/vnd.openxmlformats-officedocument.spreadsheetml.table+xml" PartName="/xl/tables/table18.xml"/>
  <Override ContentType="application/vnd.openxmlformats-officedocument.spreadsheetml.table+xml" PartName="/xl/tables/table1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workbookProtection workbookPassword="9D45" lockStructure="1"/>
  <bookViews>
    <workbookView xWindow="-120" yWindow="-120" windowWidth="29040" windowHeight="15840" tabRatio="542"/>
  </bookViews>
  <sheets>
    <sheet name="Forma-NXVS-1" sheetId="1" r:id="rId1"/>
    <sheet name="Forma-NXVS-1a" sheetId="6" r:id="rId2"/>
    <sheet name="Forma-NXVS-2" sheetId="2" r:id="rId3"/>
    <sheet name="Forma-NXVS-3" sheetId="4" r:id="rId4"/>
    <sheet name="Sources" sheetId="5" state="veryHidden" r:id="rId5"/>
  </sheets>
  <functionGroups builtInGroupCount="18"/>
  <externalReferences>
    <externalReference r:id="rId6"/>
    <externalReference r:id="rId7"/>
  </externalReferences>
  <definedNames>
    <definedName name="BankList">Sources!$B$1:$B$32</definedName>
    <definedName name="BANKS">'[1]QNVM-1'!$E$51:$E$97</definedName>
    <definedName name="Countries">Sources!$A$1:$A$246</definedName>
    <definedName name="CurrencyList">Sources!$E$1:$E$45</definedName>
    <definedName name="CurrencyTableHeader_EUR">'Forma-NXVS-1a'!$O$18:$X$21</definedName>
    <definedName name="CurrencyTableHeader_USD">'Forma-NXVS-1a'!$E$18:$N$21</definedName>
    <definedName name="DynPrint">OFFSET('Forma-NXVS-1'!$A$1,0,0,COUNTA('Forma-NXVS-1'!$M:$M))</definedName>
    <definedName name="EndDate">Sources!$C$2</definedName>
    <definedName name="meqsed">#REF!</definedName>
    <definedName name="meqsed_names">[2]Sheet1!$E$2:$E$5</definedName>
    <definedName name="selectDate">Sources!$C$1</definedName>
    <definedName name="SikkeList">Sources!$G$1:$G$2</definedName>
    <definedName name="SumNxv1TableHeader1">'Forma-NXVS-1'!$B$66:$G$66</definedName>
    <definedName name="SumNxv1TableHeader2">'Forma-NXVS-1'!$H$66:$M$66</definedName>
    <definedName name="SystemDateFormat">Sources!$C$3</definedName>
    <definedName name="version">Sources!$K$2</definedName>
    <definedName name="_xlnm.Print_Area" localSheetId="0">'Forma-NXVS-1'!$A:$M</definedName>
    <definedName name="_xlnm.Print_Area" localSheetId="1">'Forma-NXVS-1a'!$B:$N</definedName>
    <definedName name="_xlnm.Print_Area" localSheetId="2">'Forma-NXVS-2'!$A:$F</definedName>
    <definedName name="_xlnm.Print_Area" localSheetId="3">'Forma-NXVS-3'!$A:$P</definedName>
  </definedNames>
  <calcPr calcId="162913" fullCalcOnLoad="1"/>
</workbook>
</file>

<file path=xl/sharedStrings.xml><?xml version="1.0" encoding="utf-8"?>
<sst xmlns="http://schemas.openxmlformats.org/spreadsheetml/2006/main" count="525" uniqueCount="525">
  <si>
    <t xml:space="preserve">                                                                                                                                                                          "Nağd xarici valyuta əməliyyatları statistik </t>
  </si>
  <si>
    <t xml:space="preserve">                                                                                                                                                             hesabatının tərtibi və təqdim edilməsi haqqındaTəlimat"a </t>
  </si>
  <si>
    <t xml:space="preserve">                                                                                                                           </t>
  </si>
  <si>
    <t xml:space="preserve">           Əlavə №4</t>
  </si>
  <si>
    <t xml:space="preserve">Forma NXVS-3 </t>
  </si>
  <si>
    <t>Aylıq</t>
  </si>
  <si>
    <t xml:space="preserve">  Hesabat statistik vahid tərəfindən hesabat dövründən</t>
  </si>
  <si>
    <t xml:space="preserve"> sonrakı ayın 2 iş günü müddətində Mərkəzi Banka təqdim olunur</t>
  </si>
  <si>
    <t xml:space="preserve"> </t>
  </si>
  <si>
    <t>Statistik vahidin adı:</t>
  </si>
  <si>
    <t>Melli İran Bankı Bakı filialı</t>
  </si>
  <si>
    <t>Hesabat dövrü:</t>
  </si>
  <si>
    <t>Fevral 2024</t>
  </si>
  <si>
    <t>Nağd xarici valyuta əməliyyatları statistik hesabatı</t>
  </si>
  <si>
    <t>Nağd xarici valyutanın Azərbaycan Respublikasına gətirilməsi və Azərbaycan Respublikasından çıxarılması statistikası</t>
  </si>
  <si>
    <t xml:space="preserve">Nağd xarici valyutanın Azərbaycan Respublikasına gətirilməsi statistikası </t>
  </si>
  <si>
    <t xml:space="preserve">Nağd xarici valyutanın Azərbaycan Respublikasından çıxarılması statistikası </t>
  </si>
  <si>
    <t xml:space="preserve">Gömrükdə
 rəsmiləşdirmə tarixi</t>
  </si>
  <si>
    <t xml:space="preserve">Gömrük 
bəyannaməsinin 
nömrəsi</t>
  </si>
  <si>
    <r xmlns="http://schemas.openxmlformats.org/spreadsheetml/2006/main">
      <t>Nağd xarici valyuta
 nişanlarının</t>
    </r>
    <r xmlns="http://schemas.openxmlformats.org/spreadsheetml/2006/main">
      <rPr>
        <b/>
        <sz val="10"/>
        <color indexed="10"/>
        <rFont val="Times New Roman"/>
        <family val="1"/>
      </rPr>
      <t xml:space="preserve"> </t>
    </r>
    <r xmlns="http://schemas.openxmlformats.org/spreadsheetml/2006/main">
      <rPr>
        <b/>
        <sz val="10"/>
        <rFont val="Times New Roman"/>
        <family val="1"/>
      </rPr>
      <t>növü</t>
    </r>
  </si>
  <si>
    <t>Miqdar</t>
  </si>
  <si>
    <t>Nominal</t>
  </si>
  <si>
    <t xml:space="preserve">Xarici 
valyutanın 
adı</t>
  </si>
  <si>
    <t xml:space="preserve">Nominal üzrə
 ümumi məbləğ
(valyuta vahidi ilə)</t>
  </si>
  <si>
    <t xml:space="preserve">Nağd xarici valyuta
 nişanlarının növü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</si>
  <si>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</si>
  <si>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</si>
  <si>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</si>
  <si>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</si>
  <si>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</si>
  <si>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</si>
  <si>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</si>
  <si>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</si>
  <si>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</si>
  <si>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</si>
  <si>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</si>
  <si>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</si>
  <si>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</si>
  <si>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</si>
  <si>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 xml:space="preserve">valyutalar </t>
  </si>
  <si>
    <t>üzrə cəmi</t>
  </si>
  <si>
    <t xml:space="preserve">                                                                                                                                                                                     </t>
  </si>
  <si>
    <t xml:space="preserve"> "Nağd xarici valyuta əməliyyatları statistik </t>
  </si>
  <si>
    <t xml:space="preserve">hesabatının tərtibi və təqdim edilməsi haqqında Təlimat"a </t>
  </si>
  <si>
    <t xml:space="preserve"> Əlavə №3</t>
  </si>
  <si>
    <t xml:space="preserve"> Forma NXVS-2 </t>
  </si>
  <si>
    <t>Hesabat statistik vahid tərəfindən hesabat dövründən</t>
  </si>
  <si>
    <t xml:space="preserve">Nağd xarici valyutanın kassa dövriyyəsi statistikası </t>
  </si>
  <si>
    <t>Göstəricilərin adı</t>
  </si>
  <si>
    <t>sətirlərin şifrələri</t>
  </si>
  <si>
    <t>məbləğ min AZN</t>
  </si>
  <si>
    <t>1. Kassada nağd xarici valyutanın qalığı, dövrün əvvəlinə</t>
  </si>
  <si>
    <t xml:space="preserve">2. Dövr ərzində nağd xarici valyutanın mədaxili - cəmi </t>
  </si>
  <si>
    <t>Fevral</t>
  </si>
  <si>
    <t>2.1. Statistik vahid tərəfindən Azərbaycan Respublikasına gətirilmiş nağd xarici valyutanın mədaxili</t>
  </si>
  <si>
    <t>2.2. Statistik vahidlərdən alınmış nağd xarici valyutanın mədaxili</t>
  </si>
  <si>
    <t>2.3. Nağd xarici valyuta mübadiləsi əməliyyatı vasitəsilə alınmış xarici valyutanın mədaxili</t>
  </si>
  <si>
    <t>2.4. Fiziki şəxslərin (sahibkarlıq fəaliyyətini hüquqi şəxs yaratmadan həyata keçirən fiziki şəxslər daxil olmaqla) hesabına yerləşdirilməsi üçün mədaxil, o cümlədən:</t>
  </si>
  <si>
    <t xml:space="preserve">      - qeyri-rezident fiziki şəxslərin (sahibkarlıq fəaliyyətini hüquqi şəxs yaratmadan həyata keçirən fiziki şəxslər daxil olmaqla) hesabına yerləşdirilməsi üçün mədaxil</t>
  </si>
  <si>
    <t xml:space="preserve">      - sahibkarlıq fəaliyyətini hüquqi şəxs yaratmadan həyata keçirən fiziki şəxslərin hesabına yerləşdirilməsi üçün mədaxil</t>
  </si>
  <si>
    <t>2.5. Fiziki şəxslərdən pul köçürmələri üçün (hesab açılmadan) alınmış vəsaitin mədaxili</t>
  </si>
  <si>
    <t>2.6. Hüquqi şəxslərin hesabına yerləşdirilməsi üçün mədaxil (statistik vahidlərin hesabına yerləşdirilməsi üçün mədaxil istisna olmaqla)</t>
  </si>
  <si>
    <t>2.7. Digər statistik vahidlə aparılan maliyyə əməliyyatları nəticəsində nağd xarici valyutanın mədaxili</t>
  </si>
  <si>
    <t>2.8. Statistik vahidin Azərbaycan Respublikası Mərkəzi Bankındakı müxbir hesabından kassaya mədaxil</t>
  </si>
  <si>
    <t>Sentyabr</t>
  </si>
  <si>
    <t>2.9. Digər mədaxil</t>
  </si>
  <si>
    <t>Oktyabr</t>
  </si>
  <si>
    <t>3. Dövr ərzində nağd xarici valyutanın məxarici -cəmi</t>
  </si>
  <si>
    <t>3.1. Statistik vahid tərəfindən Azərbaycan Respublikasından çıxarılması üçün nağd xarici valyutanın məxarici</t>
  </si>
  <si>
    <t>3.2. Statistik vahidlərə satılmış nağd xarici valyutanın məxarici</t>
  </si>
  <si>
    <t>3.3. Nağd xarici valyuta mübadiləsi əməliyyatı vasitəsilə satılmış xarici valyutanın məxarici</t>
  </si>
  <si>
    <t>3.4. Fiziki şəxslərin (sahibkarlıq fəaliyyətini hüquqi şəxs yaratmadan həyata keçirən fiziki şəxslər daxil olmaqla) hesabından çıxarılan vəsaitin məxarici, o cümlədən:</t>
  </si>
  <si>
    <t xml:space="preserve">      - qeyri-rezident fiziki şəxslərin (sahibkarlıq fəaliyyətini hüquqi şəxs yaratmadan həyata keçirən fiziki şəxslər daxil olmaqla) hesabından çıxarılan vəsaitin məxarici</t>
  </si>
  <si>
    <t xml:space="preserve">      - sahibkarlıq fəaliyyətini hüquqi şəxs yaratmadan həyata keçirən fiziki şəxslərin hesabından çıxarılan vəsaitin məxarici</t>
  </si>
  <si>
    <t>3.5. Fiziki şəxslərə pul köçürmələrindən (hesab açılmadan) daxil olan vəsaitin verilməsi üçün məxaric</t>
  </si>
  <si>
    <t>3.6. Hüquqi şəxslərin hesabından çıxarılması üçün məxaric (statistik vahidlərin hesabından məxaric istisna olmaqla)</t>
  </si>
  <si>
    <t>3.7. Digər statistik vahidlə aparılan maliyyə əməliyyatları nəticəsində nağd xarici valyutanın məxarici</t>
  </si>
  <si>
    <t>3.8. Statistik vahidin Mərkəzi Bankdakı müxbir hesabına yerləşdirilməsi üçün məxaric</t>
  </si>
  <si>
    <t>3.9. Digər məxaric</t>
  </si>
  <si>
    <t>4. Kassada nağd xarici valyutanın qalığı, dövrün sonuna (sətr1+sətr2-sətr14)</t>
  </si>
  <si>
    <t xml:space="preserve">                                                                                                                                                                                                                                "Nağd xarici valyuta əməliyyatları statistik </t>
  </si>
  <si>
    <t xml:space="preserve">                                                                                                                                                                                                                  hesabatının tərtibi və təqdim edilməsi haqqında Təlimat"a </t>
  </si>
  <si>
    <t xml:space="preserve">       </t>
  </si>
  <si>
    <t xml:space="preserve">                                      Əlavə №2</t>
  </si>
  <si>
    <t xml:space="preserve">Forma NXVS-1a </t>
  </si>
  <si>
    <t xml:space="preserve">  sonrakı ayın 2 iş günü müddətində Mərkəzi Banka təqdim olunur</t>
  </si>
  <si>
    <t>Nağd xarici valyuta mübadiləsi (alqı-satqı) əməliyyatlarının regionlar üzrə statistikası (Forma NXVS-1a)</t>
  </si>
  <si>
    <t>(valyuta vahidi ilə)</t>
  </si>
  <si>
    <t xml:space="preserve">Bölmələrin 
 N-si</t>
  </si>
  <si>
    <t>Regionun adı</t>
  </si>
  <si>
    <t xml:space="preserve">sətirlərin
 şifrləri</t>
  </si>
  <si>
    <t>Valyutanın adı</t>
  </si>
  <si>
    <t>USD</t>
  </si>
  <si>
    <t>EUR</t>
  </si>
  <si>
    <t>RegionId</t>
  </si>
  <si>
    <t>xarici valyuta alınmışdır</t>
  </si>
  <si>
    <t xml:space="preserve">alış məzənnəsi
0.0000</t>
  </si>
  <si>
    <t>manat ilə məbləğ</t>
  </si>
  <si>
    <t>əməliyyatların sayı</t>
  </si>
  <si>
    <t>xarici valyuta satılmışdır</t>
  </si>
  <si>
    <t xml:space="preserve">satış məzənnəsi
0.0000</t>
  </si>
  <si>
    <t xml:space="preserve">manat ilə məbləğ </t>
  </si>
  <si>
    <t xml:space="preserve">əməliyyatların sayı </t>
  </si>
  <si>
    <t>Bakı iqtisadi rayonu</t>
  </si>
  <si>
    <t xml:space="preserve">Bakı şəhəri </t>
  </si>
  <si>
    <t>Naxçıvan iqtisadi rayonu</t>
  </si>
  <si>
    <t>Naxçıvan şəhəri</t>
  </si>
  <si>
    <t>Babək rayonu</t>
  </si>
  <si>
    <t>Culfa rayonu</t>
  </si>
  <si>
    <t>Kəngərli rayonu</t>
  </si>
  <si>
    <t>Ordubad rayonu</t>
  </si>
  <si>
    <t>Sədərək rayonu</t>
  </si>
  <si>
    <t>Şahbuz rayonu</t>
  </si>
  <si>
    <t>Şərur rayonu</t>
  </si>
  <si>
    <t>Abşeron-Xızı iqtisadi rayonu</t>
  </si>
  <si>
    <t>Sumqayıt şəhəri</t>
  </si>
  <si>
    <t>Abşeron rayonu</t>
  </si>
  <si>
    <t>Xızı rayonu</t>
  </si>
  <si>
    <t>Dağlıq Şirvan iqtisadi rayonu</t>
  </si>
  <si>
    <t>Ağsu rayonu</t>
  </si>
  <si>
    <t>İsmayıllı rayonu</t>
  </si>
  <si>
    <t>Qobustan rayonu</t>
  </si>
  <si>
    <t>Şamaxı rayonu</t>
  </si>
  <si>
    <t>Gəncə-Daşkəsən iqtisadi rayonu</t>
  </si>
  <si>
    <t>Gəncə şəhəri</t>
  </si>
  <si>
    <t>Naftalan şəhəri</t>
  </si>
  <si>
    <t>Daşkəsən rayonu</t>
  </si>
  <si>
    <t>Goranboy rayonu</t>
  </si>
  <si>
    <t>Göygöl rayonu</t>
  </si>
  <si>
    <t>Samux rayonu</t>
  </si>
  <si>
    <t>Qarabağ iqtisadi rayonu</t>
  </si>
  <si>
    <t>Xankəndi şəhəri</t>
  </si>
  <si>
    <t>Ağcabədi rayonu</t>
  </si>
  <si>
    <t>Ağdam rayonu</t>
  </si>
  <si>
    <t>Bərdə rayonu</t>
  </si>
  <si>
    <t>Füzuli rayonu</t>
  </si>
  <si>
    <t>Xocalı rayonu</t>
  </si>
  <si>
    <t>Xocavənd rayonu</t>
  </si>
  <si>
    <t>Şuşa rayonu</t>
  </si>
  <si>
    <t>Tərtər rayonu</t>
  </si>
  <si>
    <t>Qazax-Tovuz iqtisadi rayonu</t>
  </si>
  <si>
    <t>Ağstafa rayonu</t>
  </si>
  <si>
    <t>Gədəbəy rayonu</t>
  </si>
  <si>
    <t>Qazax rayonu</t>
  </si>
  <si>
    <t>Şəmkir rayonu</t>
  </si>
  <si>
    <t>Tovuz rayonu</t>
  </si>
  <si>
    <t>Quba-Xaçmaz iqtisadi rayonu</t>
  </si>
  <si>
    <t>Xaçmaz rayonu</t>
  </si>
  <si>
    <t>Quba rayonu</t>
  </si>
  <si>
    <t>Qusar rayonu</t>
  </si>
  <si>
    <t>Siyəzən rayonu</t>
  </si>
  <si>
    <t>Şabran rayonu</t>
  </si>
  <si>
    <t>Lənkəran-Astara iqtisadi rayonu</t>
  </si>
  <si>
    <t>Astara rayonu</t>
  </si>
  <si>
    <t>Cəlilabad rayonu</t>
  </si>
  <si>
    <t>Lerik rayonu</t>
  </si>
  <si>
    <t>Lənkəran rayonu</t>
  </si>
  <si>
    <t>Masallı rayonu</t>
  </si>
  <si>
    <t>Yardımlı rayonu</t>
  </si>
  <si>
    <t>Mərkəzi Aran iqtisadi rayonu</t>
  </si>
  <si>
    <t>Mingəçevir şəhəri</t>
  </si>
  <si>
    <t>Ağdaş rayonu</t>
  </si>
  <si>
    <t>Göyçay rayonu</t>
  </si>
  <si>
    <t>Kürdəmir rayonu</t>
  </si>
  <si>
    <t>Ucar rayonu</t>
  </si>
  <si>
    <t>Yevlax rayonu</t>
  </si>
  <si>
    <t>Zərdab rayonu</t>
  </si>
  <si>
    <t>Mil-Muğan iqtisadi rayonu</t>
  </si>
  <si>
    <t>Beyləqan rayonu</t>
  </si>
  <si>
    <t>İmişli rayonu</t>
  </si>
  <si>
    <t>Saatlı rayonu</t>
  </si>
  <si>
    <t>Sabirabad rayonu</t>
  </si>
  <si>
    <t>Şəki-Zaqatala iqtisadi rayonu</t>
  </si>
  <si>
    <t>Balakən rayonu</t>
  </si>
  <si>
    <t>Qax rayonu</t>
  </si>
  <si>
    <t>Qəbələ rayonu</t>
  </si>
  <si>
    <t>Oğuz rayonu</t>
  </si>
  <si>
    <t>Şəki rayonu</t>
  </si>
  <si>
    <t>Zaqatala rayonu</t>
  </si>
  <si>
    <t xml:space="preserve">Şərqi Zəngəzur  iqtisadi rayonu</t>
  </si>
  <si>
    <t>Cəbrayıl rayonu</t>
  </si>
  <si>
    <t>Kəlbəcər rayonu</t>
  </si>
  <si>
    <t>Qubadlı rayonu</t>
  </si>
  <si>
    <t>Laçın rayonu</t>
  </si>
  <si>
    <t>Zəngilan rayonu</t>
  </si>
  <si>
    <t>Şirvan-Salyan iqtisadi rayonu</t>
  </si>
  <si>
    <t>Şirvan şəhəri</t>
  </si>
  <si>
    <t>Biləsuvar rayonu</t>
  </si>
  <si>
    <t>Hacıqabul rayonu</t>
  </si>
  <si>
    <t>Neftçala rayonu</t>
  </si>
  <si>
    <t>Salyan rayonu</t>
  </si>
  <si>
    <t>CƏMİ</t>
  </si>
  <si>
    <t xml:space="preserve">                                                                                                                                                                                                                      hesabatının tərtibi və təqdim edilməsi haqqında Təlimat"a </t>
  </si>
  <si>
    <t xml:space="preserve">                   Əlavə №1</t>
  </si>
  <si>
    <t xml:space="preserve">Forma NXVS-1 </t>
  </si>
  <si>
    <t xml:space="preserve">Nağd xarici valyuta mübadiləsi (alqı-satqı) əməliyyatları statistikası </t>
  </si>
  <si>
    <t>Statistik vahidin xarici valyuta alışı əməliyyatları</t>
  </si>
  <si>
    <t>Statistik vahidin xarici valyuta satışı əməliyyatları</t>
  </si>
  <si>
    <t>Tarix</t>
  </si>
  <si>
    <t>valyutalar</t>
  </si>
  <si>
    <t>üzrə cəmi:</t>
  </si>
  <si>
    <t>Aland adaları (Finlandiya)</t>
  </si>
  <si>
    <t>ACCESSBANK QSC</t>
  </si>
  <si>
    <t>Kağız pul nişanı</t>
  </si>
  <si>
    <t>usedCurrencyTabels</t>
  </si>
  <si>
    <t>newvalue</t>
  </si>
  <si>
    <t>AFB BANK ASC</t>
  </si>
  <si>
    <t>Metal pul nişanı</t>
  </si>
  <si>
    <t>2.2</t>
  </si>
  <si>
    <t>Almaniya</t>
  </si>
  <si>
    <t>AGBank ASC</t>
  </si>
  <si>
    <t>mm/dd/yyyy</t>
  </si>
  <si>
    <t>RUB</t>
  </si>
  <si>
    <t>Amerika Birləşmiş Ştatları</t>
  </si>
  <si>
    <t xml:space="preserve">Amrahbank  ASC</t>
  </si>
  <si>
    <t>GBP</t>
  </si>
  <si>
    <t xml:space="preserve">ASC  XALQ  Bankı</t>
  </si>
  <si>
    <t>TRY</t>
  </si>
  <si>
    <t>Andorra</t>
  </si>
  <si>
    <t>AtaBank ASC</t>
  </si>
  <si>
    <t>AED</t>
  </si>
  <si>
    <t>Angiliya (Britaniya)</t>
  </si>
  <si>
    <t>Azərbaycan Beynəlxalq Bankı ASC</t>
  </si>
  <si>
    <t>ARS</t>
  </si>
  <si>
    <t>Anqola</t>
  </si>
  <si>
    <t>Azərbaycan Sənaye Bankı ASC</t>
  </si>
  <si>
    <t>AUD</t>
  </si>
  <si>
    <t>Antiqua Və Barbuda</t>
  </si>
  <si>
    <t>Azərpoçt MMC</t>
  </si>
  <si>
    <t>BRL</t>
  </si>
  <si>
    <t>Argentina</t>
  </si>
  <si>
    <t>Azər-Türk Bank ASC</t>
  </si>
  <si>
    <t>BYN</t>
  </si>
  <si>
    <t>Aruba</t>
  </si>
  <si>
    <t>Bank Avrasiya ASC</t>
  </si>
  <si>
    <t>CAD</t>
  </si>
  <si>
    <t>Avstraliya</t>
  </si>
  <si>
    <t>Bank BTB ASC</t>
  </si>
  <si>
    <t>CHF</t>
  </si>
  <si>
    <t>Avstriya</t>
  </si>
  <si>
    <t>Bank Of Baku ASC</t>
  </si>
  <si>
    <t xml:space="preserve">100_CLP </t>
  </si>
  <si>
    <t>Baham Adaları</t>
  </si>
  <si>
    <t>Bank Respublika ASC</t>
  </si>
  <si>
    <t>CNY</t>
  </si>
  <si>
    <t>Banqladeş</t>
  </si>
  <si>
    <t>BANK VTB (AZƏRBAYCAN) ASC</t>
  </si>
  <si>
    <t>CZK</t>
  </si>
  <si>
    <t>Barbados</t>
  </si>
  <si>
    <t>Expressbank ASC</t>
  </si>
  <si>
    <t>DKK</t>
  </si>
  <si>
    <t>Bəhreyn</t>
  </si>
  <si>
    <t>GünayBank ASC</t>
  </si>
  <si>
    <t>EGP</t>
  </si>
  <si>
    <t xml:space="preserve">Belarus </t>
  </si>
  <si>
    <t>Kapital Bank ASC</t>
  </si>
  <si>
    <t>GEL</t>
  </si>
  <si>
    <t>Belçika</t>
  </si>
  <si>
    <t>HKD</t>
  </si>
  <si>
    <t>Beliz</t>
  </si>
  <si>
    <t>Muğanbank ASC</t>
  </si>
  <si>
    <t xml:space="preserve">100_İDR </t>
  </si>
  <si>
    <t>Benin</t>
  </si>
  <si>
    <t>Naxçıvanbank ASC</t>
  </si>
  <si>
    <t>İLS</t>
  </si>
  <si>
    <t>Bermud Adası</t>
  </si>
  <si>
    <t>NBCBank ASC</t>
  </si>
  <si>
    <t>İNR</t>
  </si>
  <si>
    <t>Birləşmiş Ərəb Əmirlikləri</t>
  </si>
  <si>
    <t>Pakistan Milli Bankının Bakı filialı</t>
  </si>
  <si>
    <t>100_İRR</t>
  </si>
  <si>
    <t>Birləşmiş Krallıq</t>
  </si>
  <si>
    <t>Paşa Bank ASC</t>
  </si>
  <si>
    <t>100_JPY</t>
  </si>
  <si>
    <t>Birləşmiş Krallıq-Hindistan Okeanı</t>
  </si>
  <si>
    <t>Premium Bank ASC</t>
  </si>
  <si>
    <t>KGS</t>
  </si>
  <si>
    <t>Birləşmiş Tanzaniya Respublikası</t>
  </si>
  <si>
    <t>Rabitəbank ASC</t>
  </si>
  <si>
    <t xml:space="preserve">100_KRW </t>
  </si>
  <si>
    <t>Boliviya</t>
  </si>
  <si>
    <t>TURANBANK ASC</t>
  </si>
  <si>
    <t>KWD</t>
  </si>
  <si>
    <t>Bolqarıstan</t>
  </si>
  <si>
    <t>UNİBANK KB ASC</t>
  </si>
  <si>
    <t>KZT</t>
  </si>
  <si>
    <t>Bonair, Sint Austatius Və Saba (Niderland)</t>
  </si>
  <si>
    <t>Yapı Kredi Bank Azərbaycan QSC</t>
  </si>
  <si>
    <t>100_LBP</t>
  </si>
  <si>
    <t>Bosniya Və Herseqovina</t>
  </si>
  <si>
    <t>Yelo Bank ASC</t>
  </si>
  <si>
    <t>MDL</t>
  </si>
  <si>
    <t>Botsvana</t>
  </si>
  <si>
    <t>Ziraat Bank Azərbaycan</t>
  </si>
  <si>
    <t>MXN</t>
  </si>
  <si>
    <t>Bouvet Adaları (Norveç)</t>
  </si>
  <si>
    <t>TestBank</t>
  </si>
  <si>
    <t>MYR</t>
  </si>
  <si>
    <t>Braziliya</t>
  </si>
  <si>
    <t>NOK</t>
  </si>
  <si>
    <t>Bruney-Darüssalam</t>
  </si>
  <si>
    <t>NZD</t>
  </si>
  <si>
    <t>Burkina-Faso</t>
  </si>
  <si>
    <t>PLN</t>
  </si>
  <si>
    <t>Burundi</t>
  </si>
  <si>
    <t>SAR</t>
  </si>
  <si>
    <t>Butan</t>
  </si>
  <si>
    <t>SEK</t>
  </si>
  <si>
    <t>Çad</t>
  </si>
  <si>
    <t>SGD</t>
  </si>
  <si>
    <t>Cəbəllütariq</t>
  </si>
  <si>
    <t>TJS</t>
  </si>
  <si>
    <t>Cənubi Afrika Respublikası</t>
  </si>
  <si>
    <t>TMT</t>
  </si>
  <si>
    <t>Cənubi Corciya Və Cənubi Sandvic Adaları (Birləşmiş Krallıq)</t>
  </si>
  <si>
    <t>TWD</t>
  </si>
  <si>
    <t>Cənubi Sudan</t>
  </si>
  <si>
    <t>UAH</t>
  </si>
  <si>
    <t>Cersi Adası (Birləşmiş Krallıq)</t>
  </si>
  <si>
    <t>100_UZS</t>
  </si>
  <si>
    <t>Çexiya Respublikası</t>
  </si>
  <si>
    <t>XDR</t>
  </si>
  <si>
    <t>Cibuti</t>
  </si>
  <si>
    <t>ZAR</t>
  </si>
  <si>
    <t>Çili</t>
  </si>
  <si>
    <t>Çin</t>
  </si>
  <si>
    <t>Çinin Xüsusi İnzibati Rayonu Honkonq</t>
  </si>
  <si>
    <t>Çinin Xüsusi İnzibati Rayonu Makao</t>
  </si>
  <si>
    <t>Danimarka</t>
  </si>
  <si>
    <t>Dominika</t>
  </si>
  <si>
    <t>Dominikan Respublikası</t>
  </si>
  <si>
    <t>Əfqanıstan</t>
  </si>
  <si>
    <t>Ekvador</t>
  </si>
  <si>
    <t>Ekvatorial Qvineya</t>
  </si>
  <si>
    <t>Əlcəzair</t>
  </si>
  <si>
    <t>Eritreya</t>
  </si>
  <si>
    <t>Ermənistan</t>
  </si>
  <si>
    <t>Estoniya</t>
  </si>
  <si>
    <t>Farer Adaları (Danimarka)</t>
  </si>
  <si>
    <t>Fici</t>
  </si>
  <si>
    <t>Filippin</t>
  </si>
  <si>
    <t>Finlandiya</t>
  </si>
  <si>
    <t>Folklend (Malvin) Adaları (Birləşmiş Krallıq)</t>
  </si>
  <si>
    <t>Fransa</t>
  </si>
  <si>
    <t>Fransa Polineziyası</t>
  </si>
  <si>
    <t>Fransa Qvianası (Fransa)</t>
  </si>
  <si>
    <t>Gürcüstan</t>
  </si>
  <si>
    <t>Haiti</t>
  </si>
  <si>
    <t>Həbəşistan</t>
  </si>
  <si>
    <t>Herd Adası Və Makdonald Adaları (Avstraliya)</t>
  </si>
  <si>
    <t>Hernsi Adası (Birləşmiş Krallıq)</t>
  </si>
  <si>
    <t>Hindistan</t>
  </si>
  <si>
    <t>Honduras</t>
  </si>
  <si>
    <t>İndoneziya</t>
  </si>
  <si>
    <t>İordaniya</t>
  </si>
  <si>
    <t>İran İslam Respublikası</t>
  </si>
  <si>
    <t>İraq</t>
  </si>
  <si>
    <t>İrlandiya</t>
  </si>
  <si>
    <t>İslandiya</t>
  </si>
  <si>
    <t>İspaniya</t>
  </si>
  <si>
    <t>İsrail</t>
  </si>
  <si>
    <t>İsveç</t>
  </si>
  <si>
    <t>İsveçrə</t>
  </si>
  <si>
    <t>İtaliya</t>
  </si>
  <si>
    <t>Kabo-Verde</t>
  </si>
  <si>
    <t>Kamboca</t>
  </si>
  <si>
    <t>Kamerun</t>
  </si>
  <si>
    <t>Kanada</t>
  </si>
  <si>
    <t>Kayman Adaları</t>
  </si>
  <si>
    <t>Keçmiş Yuqoslaviya Respublikası Makedoniya</t>
  </si>
  <si>
    <t>Keniya</t>
  </si>
  <si>
    <t>Kipr</t>
  </si>
  <si>
    <t>Kiribati</t>
  </si>
  <si>
    <t>Kokos (Kiling) Adaları (Avstraliya)</t>
  </si>
  <si>
    <t>Kolumbiya</t>
  </si>
  <si>
    <t>Konqo</t>
  </si>
  <si>
    <t>Konqo Demokratik Respublikası</t>
  </si>
  <si>
    <t>Koreya Respublikası</t>
  </si>
  <si>
    <t>Koreya Xalq Demokratik Respublikası</t>
  </si>
  <si>
    <t>Kosta-Rika</t>
  </si>
  <si>
    <t>Kot-Divuar</t>
  </si>
  <si>
    <t>Krismas Adaları (Avstraliya)</t>
  </si>
  <si>
    <t>Kuba</t>
  </si>
  <si>
    <t>Kuk Adası</t>
  </si>
  <si>
    <t>Kurasao</t>
  </si>
  <si>
    <t>Küveyt</t>
  </si>
  <si>
    <t>Laos Xalq Demokratik Respublikası</t>
  </si>
  <si>
    <t>Latviya</t>
  </si>
  <si>
    <t>Lesoto</t>
  </si>
  <si>
    <t>Liberiya</t>
  </si>
  <si>
    <t>Litva</t>
  </si>
  <si>
    <t>Livan</t>
  </si>
  <si>
    <t>Liviya</t>
  </si>
  <si>
    <t>Lixtenşteyn</t>
  </si>
  <si>
    <t>Lüksemburq</t>
  </si>
  <si>
    <t>Macarıstan</t>
  </si>
  <si>
    <t>Madaqaskar</t>
  </si>
  <si>
    <t>Malavi</t>
  </si>
  <si>
    <t>Malayziya</t>
  </si>
  <si>
    <t>Maldiv Adaları</t>
  </si>
  <si>
    <t>Mali</t>
  </si>
  <si>
    <t>Malta</t>
  </si>
  <si>
    <t>Marşal Adası</t>
  </si>
  <si>
    <t>Martinika (Fransa)</t>
  </si>
  <si>
    <t>Mavrikiya</t>
  </si>
  <si>
    <t>Mavritaniya</t>
  </si>
  <si>
    <t>Meksika</t>
  </si>
  <si>
    <t>Mərakeş</t>
  </si>
  <si>
    <t>Mərkəzi Afrika Respublikası</t>
  </si>
  <si>
    <t>Meyot (Fransa)</t>
  </si>
  <si>
    <t>Mikroneziya Federativ Ştatları</t>
  </si>
  <si>
    <t>Misir</t>
  </si>
  <si>
    <t xml:space="preserve">Moldova Respublikası </t>
  </si>
  <si>
    <t>Monako</t>
  </si>
  <si>
    <t>Monqolustan</t>
  </si>
  <si>
    <t>Monserrat</t>
  </si>
  <si>
    <t>Monteneqro</t>
  </si>
  <si>
    <t>Mozambik</t>
  </si>
  <si>
    <t>Müqəddəs Prestol (Vatikan)</t>
  </si>
  <si>
    <t>Müqəddəs Yelena Adası (Birləşmiş Krallıq)</t>
  </si>
  <si>
    <t>Myanma</t>
  </si>
  <si>
    <t>Namibiya</t>
  </si>
  <si>
    <t>Nauru</t>
  </si>
  <si>
    <t>Nepal</t>
  </si>
  <si>
    <t>Niderland</t>
  </si>
  <si>
    <t>Niderland Antil Adaları</t>
  </si>
  <si>
    <t>Niger</t>
  </si>
  <si>
    <t>Nigeriya</t>
  </si>
  <si>
    <t>Nikaraqua</t>
  </si>
  <si>
    <t>Niue</t>
  </si>
  <si>
    <t>Norfolk Adası (Avstraliya)</t>
  </si>
  <si>
    <t>Norveç</t>
  </si>
  <si>
    <t>Oman</t>
  </si>
  <si>
    <t xml:space="preserve">Özbəkistan </t>
  </si>
  <si>
    <t>Pakistan</t>
  </si>
  <si>
    <t>Palau</t>
  </si>
  <si>
    <t>Panama</t>
  </si>
  <si>
    <t>Papua-Yeni Qvineya</t>
  </si>
  <si>
    <t>Paraqvay</t>
  </si>
  <si>
    <t>Peru</t>
  </si>
  <si>
    <t>Pitkern (Birləşmiş Krallıq)</t>
  </si>
  <si>
    <t>Polşa</t>
  </si>
  <si>
    <t>Portuqaliya</t>
  </si>
  <si>
    <t>Puerto-Riko (ABŞ)</t>
  </si>
  <si>
    <t>Qabon</t>
  </si>
  <si>
    <t>Qambiya</t>
  </si>
  <si>
    <t>Qana</t>
  </si>
  <si>
    <t>Qayana</t>
  </si>
  <si>
    <t xml:space="preserve">Qazaxıstan </t>
  </si>
  <si>
    <t>Qəmər Adaları</t>
  </si>
  <si>
    <t>Qərb Sahili Və Qəzza Sektoru</t>
  </si>
  <si>
    <t>Qərbi Sahara</t>
  </si>
  <si>
    <t>Qətər</t>
  </si>
  <si>
    <t xml:space="preserve">Qırğızıstan </t>
  </si>
  <si>
    <t>Qrenada</t>
  </si>
  <si>
    <t>Qrenlandiya</t>
  </si>
  <si>
    <t>Quam (ABŞ)</t>
  </si>
  <si>
    <t>Qvadelupa (Fransa)</t>
  </si>
  <si>
    <t>Qvatemala</t>
  </si>
  <si>
    <t>Qvineya</t>
  </si>
  <si>
    <t>Qvineya-Bissau</t>
  </si>
  <si>
    <t>Reyunyon (Fransa)</t>
  </si>
  <si>
    <t>Ruanda</t>
  </si>
  <si>
    <t>Rumıniya</t>
  </si>
  <si>
    <t xml:space="preserve">Rusiya Federasiyası </t>
  </si>
  <si>
    <t>Salvador</t>
  </si>
  <si>
    <t>Samoa</t>
  </si>
  <si>
    <t>San-Marino</t>
  </si>
  <si>
    <t>San-Tome Və Prinsipi</t>
  </si>
  <si>
    <t>Seneqal</t>
  </si>
  <si>
    <t>Sen-Pyer Və Mikelon (Fransa)</t>
  </si>
  <si>
    <t>Sent-Bartelemi (Fransa)</t>
  </si>
  <si>
    <t>Sent-Kits Və Nevis</t>
  </si>
  <si>
    <t>Sent-Lusiya</t>
  </si>
  <si>
    <t>Sent-Vinsent Və Qrenadin</t>
  </si>
  <si>
    <t>Serbiya</t>
  </si>
  <si>
    <t>Sərqi Timor</t>
  </si>
  <si>
    <t>Səudiyyə Ərəbistanı</t>
  </si>
  <si>
    <t>Seyşel Adaları</t>
  </si>
  <si>
    <t>Şimali Maryana Adası</t>
  </si>
  <si>
    <t>Sinqapur</t>
  </si>
  <si>
    <t>Sint-Marten (Fransa)</t>
  </si>
  <si>
    <t>Sint-Marten (Niderland)</t>
  </si>
  <si>
    <t>Slovakiya</t>
  </si>
  <si>
    <t>Sloveniya</t>
  </si>
  <si>
    <t>Solomon Adası</t>
  </si>
  <si>
    <t>Somali</t>
  </si>
  <si>
    <t>Şri-Lanka</t>
  </si>
  <si>
    <t>Sudan</t>
  </si>
  <si>
    <t>Surinam</t>
  </si>
  <si>
    <t>Suriya Ərəb Respublikası</t>
  </si>
  <si>
    <t>Svazilend</t>
  </si>
  <si>
    <t>Syerra- Leone</t>
  </si>
  <si>
    <t xml:space="preserve">Tacikistan </t>
  </si>
  <si>
    <t>Tailand</t>
  </si>
  <si>
    <t>Tayvan</t>
  </si>
  <si>
    <t>Tokelau (Yeni Zelandiya)</t>
  </si>
  <si>
    <t>Tonqa</t>
  </si>
  <si>
    <t>Toqo</t>
  </si>
  <si>
    <t>Trinidad Və Tobaqo</t>
  </si>
  <si>
    <t>Tunis</t>
  </si>
  <si>
    <t>Türk Və Kaykos Adaları</t>
  </si>
  <si>
    <t>Türkiyə</t>
  </si>
  <si>
    <t xml:space="preserve">Türkmənistan </t>
  </si>
  <si>
    <t>Tuvalu</t>
  </si>
  <si>
    <t xml:space="preserve">Ukrayna </t>
  </si>
  <si>
    <t>Uqanda</t>
  </si>
  <si>
    <t>Uruqvay</t>
  </si>
  <si>
    <t>Vanuatu</t>
  </si>
  <si>
    <t>Venesuela</t>
  </si>
  <si>
    <t>Virgin Adaları (ABŞ)</t>
  </si>
  <si>
    <t>Virgin Adaları (Britaniya)</t>
  </si>
  <si>
    <t>Vollis Və Futuna Adaları (Fransa)</t>
  </si>
  <si>
    <t>Vyetnam</t>
  </si>
  <si>
    <t>Xarici Kiçik Adalar (ABŞ)</t>
  </si>
  <si>
    <t>Xorvatiya</t>
  </si>
  <si>
    <t>Yamayka</t>
  </si>
  <si>
    <t>Yaponiya</t>
  </si>
  <si>
    <t>Yəmən</t>
  </si>
  <si>
    <t>Yeni Kaledoniya</t>
  </si>
  <si>
    <t>Yeni Zelandiya</t>
  </si>
  <si>
    <t>Yunanıstan</t>
  </si>
  <si>
    <t>Zambiya</t>
  </si>
  <si>
    <t>Zanzibar (Birləşmiş Tanzaniya Respublikası)</t>
  </si>
  <si>
    <t>Zimbabve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</si>
</sst>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\ _₼_-;\-* #,##0.00\ _₼_-;_-* &quot;-&quot;??\ _₼_-;_-@_-"/>
    <numFmt numFmtId="165" formatCode="0.0000"/>
    <numFmt numFmtId="166" formatCode="_-* #,##0\ _₼_-;\-* #,##0\ _₼_-;_-* &quot;-&quot;??\ _₼_-;_-@_-"/>
    <numFmt numFmtId="167" formatCode="_(* #,##0_);_(* \(#,##0\);_(* &quot;-&quot;??_);_(@_)"/>
    <numFmt numFmtId="168" formatCode="#,##0.00;[Red]#,##0.00"/>
    <numFmt numFmtId="169" formatCode="dd\.mm\.yyyy"/>
    <numFmt numFmtId="170" formatCode="#,##0;[Red]#,##0"/>
    <numFmt numFmtId="171" formatCode=";;;"/>
    <numFmt numFmtId="172" formatCode="mm/dd/yy"/>
  </numFmts>
  <fonts count="33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1"/>
      <name val="Times New Roman"/>
      <family val="1"/>
      <charset val="162"/>
    </font>
    <font>
      <sz val="11"/>
      <name val="Calibri"/>
      <family val="2"/>
      <charset val="204"/>
    </font>
    <font>
      <sz val="11"/>
      <name val="Times New Roman"/>
      <family val="1"/>
    </font>
    <font>
      <b/>
      <sz val="1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b/>
      <sz val="9"/>
      <name val="Times New Roman"/>
      <family val="1"/>
    </font>
    <font>
      <b/>
      <sz val="10"/>
      <color indexed="8"/>
      <name val="Times New Roman"/>
      <family val="1"/>
    </font>
    <font>
      <b/>
      <sz val="12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  <charset val="204"/>
    </font>
    <font>
      <sz val="8"/>
      <name val="Arial"/>
      <family val="2"/>
      <charset val="204"/>
    </font>
    <font>
      <b/>
      <sz val="8"/>
      <name val="Times New Roman"/>
      <family val="1"/>
    </font>
    <font>
      <b/>
      <sz val="1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186"/>
      <scheme val="minor"/>
    </font>
    <font>
      <b/>
      <sz val="11"/>
      <color rgb="FF3F3F3F"/>
      <name val="Arial"/>
      <family val="2"/>
    </font>
    <font>
      <sz val="11"/>
      <name val="Calibri"/>
      <family val="2"/>
      <charset val="204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3F3F3F"/>
      <name val="Times New Roman"/>
      <family val="1"/>
    </font>
    <font>
      <b/>
      <sz val="11"/>
      <color rgb="FF3F3F3F"/>
      <name val="Times New Roman"/>
      <family val="1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1"/>
      <color rgb="FF3F3F3F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applyNumberFormat="0" fontId="18" applyFont="1" fillId="4" applyFill="1" borderId="0" applyBorder="0" applyProtection="0" applyAlignment="0"/>
    <xf numFmtId="164" applyNumberFormat="1" fontId="17" applyFont="0" fillId="0" applyFill="0" borderId="0" applyBorder="0" applyProtection="0" applyAlignment="0"/>
    <xf numFmtId="0" fontId="19" applyFont="1" fillId="0" borderId="0"/>
    <xf numFmtId="0" applyNumberFormat="0" fontId="17" applyFont="0" fillId="6" applyFill="1" borderId="16" applyBorder="1" applyProtection="0" applyAlignment="0"/>
    <xf numFmtId="0" applyNumberFormat="0" fontId="20" applyFont="1" fillId="5" applyFill="1" borderId="17" applyBorder="1" applyProtection="0" applyAlignment="0"/>
  </cellStyleXfs>
  <cellXfs count="196">
    <xf numFmtId="0" fontId="0" fillId="0" borderId="0" xfId="0"/>
    <xf numFmtId="0" fontId="2" applyFont="1" fillId="0" borderId="0" xfId="0"/>
    <xf numFmtId="0" fontId="1" applyFont="1" fillId="0" borderId="0" xfId="0"/>
    <xf numFmtId="49" applyNumberFormat="1" fontId="21" applyFont="1" fillId="0" borderId="0" xfId="0"/>
    <xf numFmtId="49" applyNumberFormat="1" fontId="3" applyFont="1" fillId="0" borderId="0" xfId="0"/>
    <xf numFmtId="14" applyNumberFormat="1" fontId="0" fillId="0" borderId="0" xfId="0"/>
    <xf numFmtId="0" fontId="19" applyFont="1" fillId="0" borderId="0" xfId="3"/>
    <xf numFmtId="0" fontId="1" applyFont="1" fillId="0" borderId="0" xfId="0" applyAlignment="1">
      <alignment horizontal="left"/>
    </xf>
    <xf numFmtId="0" fontId="4" applyFont="1" fillId="0" borderId="0" xfId="0"/>
    <xf numFmtId="0" fontId="1" applyFont="1" fillId="0" borderId="1" applyBorder="1" xfId="0"/>
    <xf numFmtId="1" applyNumberFormat="1" fontId="4" applyFont="1" fillId="0" applyFill="1" borderId="0" applyBorder="1" xfId="2" applyAlignment="1">
      <alignment horizontal="center"/>
    </xf>
    <xf numFmtId="0" fontId="5" applyFont="1" fillId="7" applyFill="1" borderId="0" xfId="0"/>
    <xf numFmtId="0" fontId="1" applyFont="1" fillId="7" applyFill="1" borderId="0" xfId="0"/>
    <xf numFmtId="0" fontId="5" applyFont="1" fillId="0" borderId="0" xfId="0" applyProtection="1" applyAlignment="1">
      <alignment horizontal="right"/>
      <protection locked="0"/>
    </xf>
    <xf numFmtId="0" fontId="5" applyFont="1" fillId="0" borderId="0" xfId="0" applyAlignment="1">
      <alignment horizontal="right" vertical="center"/>
    </xf>
    <xf numFmtId="0" fontId="22" applyFont="1" fillId="0" borderId="0" xfId="0"/>
    <xf numFmtId="0" fontId="5" applyFont="1" fillId="2" applyFill="1" borderId="2" applyBorder="1" xfId="0" applyAlignment="1">
      <alignment horizontal="center" vertical="center" wrapText="1"/>
    </xf>
    <xf numFmtId="0" fontId="8" applyFont="1" fillId="8" applyFill="1" borderId="2" applyBorder="1" xfId="0" applyAlignment="1">
      <alignment horizontal="center" vertical="center" wrapText="1"/>
    </xf>
    <xf numFmtId="0" fontId="5" applyFont="1" fillId="2" applyFill="1" borderId="3" applyBorder="1" xfId="0" applyAlignment="1">
      <alignment horizontal="center" vertical="center" wrapText="1"/>
    </xf>
    <xf numFmtId="0" fontId="5" applyFont="1" fillId="2" applyFill="1" borderId="4" applyBorder="1" xfId="0" applyAlignment="1">
      <alignment horizontal="center" vertical="center" wrapText="1"/>
    </xf>
    <xf numFmtId="0" fontId="5" applyFont="1" fillId="2" applyFill="1" borderId="5" applyBorder="1" xfId="0" applyAlignment="1">
      <alignment horizontal="center" vertical="center" wrapText="1"/>
    </xf>
    <xf numFmtId="0" fontId="8" applyFont="1" fillId="8" applyFill="1" borderId="5" applyBorder="1" xfId="0" applyAlignment="1">
      <alignment horizontal="center" vertical="center" wrapText="1"/>
    </xf>
    <xf numFmtId="0" fontId="5" applyFont="1" fillId="2" applyFill="1" borderId="6" applyBorder="1" xfId="0" applyAlignment="1">
      <alignment horizontal="center" vertical="center" wrapText="1"/>
    </xf>
    <xf numFmtId="0" fontId="8" applyFont="1" fillId="6" applyFill="1" borderId="3" applyBorder="1" xfId="4" applyAlignment="1">
      <alignment horizontal="center" vertical="center"/>
    </xf>
    <xf numFmtId="0" fontId="22" applyFont="1" fillId="6" applyFill="1" borderId="7" applyBorder="1" xfId="4" applyAlignment="1">
      <alignment horizontal="center" vertical="center"/>
    </xf>
    <xf numFmtId="0" fontId="23" applyFont="1" fillId="6" applyFill="1" borderId="7" applyBorder="1" xfId="4" applyAlignment="1">
      <alignment horizontal="right" vertical="center"/>
    </xf>
    <xf numFmtId="0" fontId="8" applyFont="1" fillId="6" applyFill="1" borderId="7" applyBorder="1" xfId="4" applyAlignment="1">
      <alignment horizontal="left" vertical="center"/>
    </xf>
    <xf numFmtId="0" fontId="22" applyFont="1" fillId="6" applyFill="1" borderId="8" applyBorder="1" xfId="4" applyAlignment="1">
      <alignment horizontal="center" vertical="center"/>
    </xf>
    <xf numFmtId="0" fontId="5" applyFont="1" fillId="2" applyFill="1" borderId="2" applyBorder="1" xfId="0" applyAlignment="1">
      <alignment horizontal="center"/>
    </xf>
    <xf numFmtId="0" fontId="1" applyFont="1" fillId="0" borderId="9" applyBorder="1" xfId="0"/>
    <xf numFmtId="0" fontId="5" applyFont="1" fillId="2" applyFill="1" borderId="2" applyBorder="1" xfId="0" applyAlignment="1">
      <alignment horizontal="center" vertical="center"/>
    </xf>
    <xf numFmtId="0" fontId="5" applyFont="1" fillId="2" applyFill="1" borderId="4" applyBorder="1" xfId="0" applyAlignment="1">
      <alignment horizontal="center" vertical="center"/>
    </xf>
    <xf numFmtId="0" fontId="5" applyFont="1" fillId="2" applyFill="1" borderId="5" applyBorder="1" xfId="0" applyAlignment="1">
      <alignment horizontal="center" vertical="center"/>
    </xf>
    <xf numFmtId="0" fontId="5" applyFont="1" fillId="2" applyFill="1" borderId="6" applyBorder="1" xfId="0" applyAlignment="1">
      <alignment horizontal="center" vertical="center"/>
    </xf>
    <xf numFmtId="0" fontId="8" applyFont="1" fillId="8" applyFill="1" borderId="10" applyBorder="1" xfId="0" applyAlignment="1">
      <alignment horizontal="left" vertical="center" wrapText="1"/>
    </xf>
    <xf numFmtId="0" fontId="8" applyFont="1" fillId="8" applyFill="1" borderId="10" applyBorder="1" xfId="0" applyAlignment="1">
      <alignment vertical="center" wrapText="1"/>
    </xf>
    <xf numFmtId="0" fontId="8" applyFont="1" fillId="8" applyFill="1" borderId="11" applyBorder="1" xfId="0" applyAlignment="1">
      <alignment vertical="center" wrapText="1"/>
    </xf>
    <xf numFmtId="0" fontId="8" applyFont="1" fillId="8" applyFill="1" borderId="12" applyBorder="1" xfId="0" applyAlignment="1">
      <alignment vertical="center" wrapText="1"/>
    </xf>
    <xf numFmtId="0" fontId="8" applyFont="1" fillId="8" applyFill="1" borderId="10" applyBorder="1" xfId="0" applyAlignment="1">
      <alignment horizontal="right" vertical="center" wrapText="1"/>
    </xf>
    <xf numFmtId="14" applyNumberFormat="1" fontId="1" applyFont="1" fillId="0" borderId="0" xfId="0"/>
    <xf numFmtId="168" applyNumberFormat="1" fontId="22" applyFont="1" fillId="0" borderId="0" xfId="0"/>
    <xf numFmtId="0" fontId="12" applyFont="1" fillId="2" applyFill="1" borderId="2" applyBorder="1" xfId="0" applyAlignment="1">
      <alignment horizontal="left" vertical="center"/>
    </xf>
    <xf numFmtId="0" fontId="11" applyFont="1" fillId="2" applyFill="1" borderId="2" applyBorder="1" xfId="0" applyAlignment="1">
      <alignment horizontal="center" vertical="center"/>
    </xf>
    <xf numFmtId="0" fontId="13" applyFont="1" fillId="2" applyFill="1" borderId="2" applyBorder="1" xfId="0"/>
    <xf numFmtId="0" fontId="12" applyFont="1" fillId="2" applyFill="1" borderId="7" applyBorder="1" xfId="0" applyAlignment="1">
      <alignment horizontal="center" vertical="center"/>
    </xf>
    <xf numFmtId="1" applyNumberFormat="1" fontId="4" applyFont="1" fillId="0" applyFill="1" borderId="0" applyBorder="1" xfId="2" applyProtection="1" applyAlignment="1">
      <alignment horizontal="center"/>
    </xf>
    <xf numFmtId="0" fontId="5" applyFont="1" fillId="0" borderId="0" xfId="0" applyAlignment="1">
      <alignment horizontal="right"/>
    </xf>
    <xf numFmtId="0" fontId="7" applyFont="1" fillId="7" applyFill="1" borderId="0" xfId="0">
      <alignment wrapText="1"/>
    </xf>
    <xf numFmtId="0" fontId="22" applyFont="1" fillId="0" borderId="0" xfId="0" applyAlignment="1">
      <alignment horizontal="right"/>
    </xf>
    <xf numFmtId="17" applyNumberFormat="1" fontId="5" applyFont="1" fillId="0" borderId="0" xfId="0" applyAlignment="1">
      <alignment horizontal="right" vertical="center"/>
    </xf>
    <xf numFmtId="0" fontId="22" applyFont="1" fillId="0" borderId="0" xfId="0" applyAlignment="1">
      <alignment horizontal="left"/>
    </xf>
    <xf numFmtId="49" applyNumberFormat="1" fontId="0" fillId="0" borderId="0" xfId="0"/>
    <xf numFmtId="49" applyNumberFormat="1" fontId="0" fillId="0" borderId="0" xfId="0" applyProtection="1" applyAlignment="1">
      <protection locked="0"/>
    </xf>
    <xf numFmtId="0" fontId="9" applyFont="1" fillId="2" applyFill="1" borderId="11" applyBorder="1" xfId="0" applyAlignment="1">
      <alignment horizontal="left"/>
    </xf>
    <xf numFmtId="0" fontId="5" applyFont="1" fillId="2" applyFill="1" borderId="13" applyBorder="1" xfId="0" applyAlignment="1">
      <alignment horizontal="center"/>
    </xf>
    <xf numFmtId="0" fontId="9" applyFont="1" fillId="2" applyFill="1" borderId="10" applyBorder="1" xfId="0" applyAlignment="1">
      <alignment horizontal="left"/>
    </xf>
    <xf numFmtId="0" fontId="1" applyFont="1" fillId="0" borderId="0" xfId="0" applyAlignment="1">
      <alignment vertical="top"/>
    </xf>
    <xf numFmtId="0" fontId="1" applyFont="1" fillId="0" borderId="0" xfId="0" applyAlignment="1">
      <alignment horizontal="right" vertical="justify" indent="17"/>
    </xf>
    <xf numFmtId="0" fontId="15" applyFont="1" fillId="0" borderId="0" xfId="0" applyAlignment="1">
      <alignment horizontal="right" indent="14"/>
    </xf>
    <xf numFmtId="0" fontId="15" applyFont="1" fillId="0" borderId="0" xfId="0" applyAlignment="1">
      <alignment horizontal="right" indent="17"/>
    </xf>
    <xf numFmtId="0" fontId="4" applyFont="1" fillId="0" borderId="0" xfId="0" applyAlignment="1">
      <alignment horizontal="right"/>
    </xf>
    <xf numFmtId="0" fontId="24" applyFont="1" fillId="0" borderId="0" xfId="0" applyAlignment="1">
      <alignment horizontal="center" vertical="center"/>
    </xf>
    <xf numFmtId="0" fontId="25" applyFont="1" fillId="0" borderId="0" xfId="0" applyAlignment="1">
      <alignment horizontal="center" vertical="center"/>
    </xf>
    <xf numFmtId="0" fontId="1" applyFont="1" fillId="2" applyFill="1" borderId="7" applyBorder="1" xfId="0" applyAlignment="1">
      <alignment horizontal="left"/>
    </xf>
    <xf numFmtId="0" fontId="1" applyFont="1" fillId="2" applyFill="1" borderId="10" applyBorder="1" xfId="0" applyAlignment="1">
      <alignment horizontal="left"/>
    </xf>
    <xf numFmtId="0" fontId="1" applyFont="1" fillId="2" applyFill="1" borderId="9" applyBorder="1" xfId="0" applyAlignment="1">
      <alignment horizontal="left"/>
    </xf>
    <xf numFmtId="0" fontId="1" applyFont="1" fillId="0" borderId="0" xfId="0" applyAlignment="1">
      <alignment horizontal="right" indent="4"/>
    </xf>
    <xf numFmtId="0" fontId="1" applyFont="1" fillId="0" borderId="0" xfId="0" applyAlignment="1">
      <alignment horizontal="right" indent="8"/>
    </xf>
    <xf numFmtId="0" fontId="0" fillId="0" borderId="9" applyBorder="1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applyFont="1" fillId="2" applyFill="1" borderId="3" applyBorder="1" xfId="0" applyProtection="1" applyAlignment="1">
      <alignment horizontal="center" vertical="center" wrapText="1"/>
      <protection hidden="1"/>
    </xf>
    <xf numFmtId="0" fontId="5" applyFont="1" fillId="6" applyFill="1" borderId="2" applyBorder="1" xfId="4" applyAlignment="1">
      <alignment horizontal="center" vertical="center" wrapText="1"/>
    </xf>
    <xf numFmtId="171" applyNumberFormat="1" fontId="1" applyFont="1" fillId="2" applyFill="1" borderId="9" applyBorder="1" xfId="0" applyAlignment="1">
      <alignment horizontal="center"/>
    </xf>
    <xf numFmtId="171" applyNumberFormat="1" fontId="1" applyFont="1" fillId="2" applyFill="1" borderId="7" applyBorder="1" xfId="0" applyAlignment="1">
      <alignment horizontal="center"/>
    </xf>
    <xf numFmtId="171" applyNumberFormat="1" fontId="1" applyFont="1" fillId="2" applyFill="1" borderId="10" applyBorder="1" xfId="0" applyAlignment="1">
      <alignment horizontal="center"/>
    </xf>
    <xf numFmtId="0" fontId="1" applyFont="1" fillId="2" applyFill="1" borderId="9" applyBorder="1" xfId="0" applyAlignment="1">
      <alignment horizontal="left" vertical="center"/>
    </xf>
    <xf numFmtId="0" fontId="1" applyFont="1" fillId="2" applyFill="1" borderId="7" applyBorder="1" xfId="0" applyAlignment="1">
      <alignment horizontal="left" vertical="center"/>
    </xf>
    <xf numFmtId="0" fontId="1" applyFont="1" fillId="2" applyFill="1" borderId="10" applyBorder="1" xfId="0" applyAlignment="1">
      <alignment horizontal="left" vertical="center"/>
    </xf>
    <xf numFmtId="171" applyNumberFormat="1" fontId="1" applyFont="1" fillId="2" applyFill="1" borderId="9" applyBorder="1" xfId="0" applyAlignment="1">
      <alignment horizontal="center" vertical="center"/>
    </xf>
    <xf numFmtId="171" applyNumberFormat="1" fontId="1" applyFont="1" fillId="2" applyFill="1" borderId="7" applyBorder="1" xfId="0" applyAlignment="1">
      <alignment horizontal="center" vertical="center"/>
    </xf>
    <xf numFmtId="171" applyNumberFormat="1" fontId="1" applyFont="1" fillId="2" applyFill="1" borderId="10" applyBorder="1" xfId="0" applyAlignment="1">
      <alignment horizontal="center" vertical="center"/>
    </xf>
    <xf numFmtId="0" fontId="5" applyFont="1" fillId="2" applyFill="1" borderId="14" applyBorder="1" xfId="0" applyAlignment="1">
      <alignment horizontal="center"/>
    </xf>
    <xf numFmtId="0" fontId="5" applyFont="1" fillId="2" applyFill="1" borderId="18" applyBorder="1" xfId="0" applyAlignment="1">
      <alignment horizontal="center"/>
    </xf>
    <xf numFmtId="171" applyNumberFormat="1" fontId="5" applyFont="1" fillId="2" applyFill="1" borderId="5" applyBorder="1" xfId="0" applyAlignment="1">
      <alignment horizontal="center" vertical="center" wrapText="1"/>
    </xf>
    <xf numFmtId="0" fontId="26" applyFont="1" fillId="5" applyFill="1" borderId="8" applyBorder="1" xfId="5" applyProtection="1" applyAlignment="1">
      <alignment horizontal="center" vertical="center"/>
    </xf>
    <xf numFmtId="0" fontId="26" applyFont="1" fillId="5" applyFill="1" borderId="2" applyBorder="1" xfId="5" applyProtection="1" applyAlignment="1">
      <alignment horizontal="center" vertical="center"/>
    </xf>
    <xf numFmtId="3" applyNumberFormat="1" fontId="26" applyFont="1" fillId="5" applyFill="1" borderId="2" applyBorder="1" xfId="5" applyProtection="1" applyAlignment="1">
      <alignment horizontal="center" vertical="center"/>
    </xf>
    <xf numFmtId="0" fontId="5" applyFont="1" fillId="2" applyFill="1" borderId="5" applyBorder="1" xfId="0" applyAlignment="1">
      <alignment horizontal="center"/>
    </xf>
    <xf numFmtId="0" fontId="9" applyFont="1" fillId="2" applyFill="1" borderId="13" applyBorder="1" xfId="0" applyAlignment="1">
      <alignment horizontal="left"/>
    </xf>
    <xf numFmtId="0" fontId="5" applyFont="1" fillId="2" applyFill="1" borderId="14" applyBorder="1" xfId="0" applyAlignment="1">
      <alignment horizontal="left"/>
    </xf>
    <xf numFmtId="171" applyNumberFormat="1" fontId="1" applyFont="1" fillId="0" borderId="0" xfId="0"/>
    <xf numFmtId="168" applyNumberFormat="1" fontId="5" applyFont="1" fillId="9" applyFill="1" borderId="12" applyBorder="1" xfId="0" applyAlignment="1">
      <alignment horizontal="right"/>
    </xf>
    <xf numFmtId="0" fontId="5" applyFont="1" fillId="2" applyFill="1" borderId="15" applyBorder="1" xfId="0" applyAlignment="1">
      <alignment horizontal="left"/>
    </xf>
    <xf numFmtId="168" applyNumberFormat="1" fontId="5" applyFont="1" fillId="9" applyFill="1" borderId="6" applyBorder="1" xfId="0" applyAlignment="1">
      <alignment horizontal="right"/>
    </xf>
    <xf numFmtId="4" applyNumberFormat="1" fontId="5" applyFont="1" fillId="9" applyFill="1" borderId="12" applyBorder="1" xfId="0" applyAlignment="1">
      <alignment horizontal="right"/>
    </xf>
    <xf numFmtId="169" applyNumberFormat="1" fontId="4" applyFont="1" fillId="0" borderId="8" applyBorder="1" xfId="0" applyProtection="1" applyAlignment="1">
      <alignment horizontal="center"/>
      <protection locked="0"/>
    </xf>
    <xf numFmtId="0" fontId="4" applyFont="1" fillId="0" borderId="2" applyBorder="1" xfId="0" applyProtection="1" applyAlignment="1">
      <alignment horizontal="center"/>
      <protection locked="0"/>
    </xf>
    <xf numFmtId="167" applyNumberFormat="1" fontId="4" applyFont="1" fillId="0" borderId="2" applyBorder="1" xfId="2" applyProtection="1" applyAlignment="1">
      <alignment horizontal="centerContinuous"/>
      <protection locked="0"/>
    </xf>
    <xf numFmtId="17" applyNumberFormat="1" fontId="0" fillId="0" borderId="7" applyBorder="1" xfId="0" applyAlignment="1">
      <alignment horizontal="center" vertical="center"/>
    </xf>
    <xf numFmtId="0" fontId="27" applyFont="1" fillId="5" applyFill="1" borderId="15" applyBorder="1" xfId="5" applyProtection="1" applyAlignment="1">
      <alignment horizontal="center" vertical="center"/>
    </xf>
    <xf numFmtId="0" fontId="27" applyFont="1" fillId="5" applyFill="1" borderId="14" applyBorder="1" xfId="5" applyProtection="1" applyAlignment="1">
      <alignment horizontal="center" vertical="center"/>
    </xf>
    <xf numFmtId="3" applyNumberFormat="1" fontId="27" applyFont="1" fillId="5" applyFill="1" borderId="14" applyBorder="1" xfId="5" applyProtection="1" applyAlignment="1">
      <alignment horizontal="center" vertical="center" wrapText="1"/>
    </xf>
    <xf numFmtId="3" applyNumberFormat="1" fontId="27" applyFont="1" fillId="5" applyFill="1" borderId="14" applyBorder="1" xfId="5" applyProtection="1" applyAlignment="1">
      <alignment horizontal="center" vertical="center"/>
    </xf>
    <xf numFmtId="168" applyNumberFormat="1" fontId="1" applyFont="1" fillId="0" borderId="7" applyBorder="1" xfId="0" applyProtection="1" applyAlignment="1">
      <alignment horizontal="right"/>
      <protection locked="0"/>
    </xf>
    <xf numFmtId="168" applyNumberFormat="1" fontId="1" applyFont="1" fillId="0" borderId="10" applyBorder="1" xfId="0" applyProtection="1" applyAlignment="1">
      <alignment horizontal="right"/>
      <protection locked="0"/>
    </xf>
    <xf numFmtId="168" applyNumberFormat="1" fontId="5" applyFont="1" fillId="0" borderId="1" applyBorder="1" xfId="0" applyProtection="1" applyAlignment="1">
      <alignment horizontal="right"/>
      <protection locked="0"/>
    </xf>
    <xf numFmtId="3" applyNumberFormat="1" fontId="17" applyFont="1" fillId="5" applyFill="1" borderId="1" applyBorder="1" xfId="5" applyProtection="1" applyAlignment="1">
      <alignment horizontal="center" vertical="center"/>
    </xf>
    <xf numFmtId="169" applyNumberFormat="1" fontId="16" applyFont="1" fillId="7" applyFill="1" borderId="8" applyBorder="1" xfId="0" applyProtection="1" applyAlignment="1">
      <alignment horizontal="center" vertical="center" wrapText="1"/>
      <protection locked="0"/>
    </xf>
    <xf numFmtId="49" applyNumberFormat="1" fontId="16" applyFont="1" fillId="0" borderId="2" applyBorder="1" xfId="0" applyProtection="1" applyAlignment="1">
      <alignment horizontal="center" vertical="center" wrapText="1"/>
      <protection locked="0"/>
    </xf>
    <xf numFmtId="0" fontId="16" applyFont="1" fillId="0" borderId="2" applyBorder="1" xfId="0" applyProtection="1" applyAlignment="1">
      <alignment horizontal="center" vertical="center" wrapText="1"/>
      <protection locked="0"/>
    </xf>
    <xf numFmtId="0" fontId="16" applyFont="1" fillId="9" applyFill="1" borderId="3" applyBorder="1" xfId="0" applyAlignment="1">
      <alignment horizontal="center" vertical="center" wrapText="1"/>
    </xf>
    <xf numFmtId="3" applyNumberFormat="1" fontId="17" applyFont="1" fillId="5" applyFill="1" borderId="3" applyBorder="1" xfId="5" applyProtection="1" applyAlignment="1">
      <alignment horizontal="center" vertical="center"/>
    </xf>
    <xf numFmtId="0" fontId="11" applyFont="1" fillId="2" applyFill="1" borderId="5" applyBorder="1" xfId="0" applyAlignment="1">
      <alignment horizontal="center" vertical="center"/>
    </xf>
    <xf numFmtId="166" applyNumberFormat="1" fontId="28" applyFont="1" fillId="10" applyFill="1" borderId="2" applyBorder="1" xfId="2" applyProtection="1" applyAlignment="1">
      <alignment wrapText="1"/>
    </xf>
    <xf numFmtId="166" applyNumberFormat="1" fontId="29" applyFont="1" fillId="0" borderId="2" applyBorder="1" xfId="2" applyProtection="1" applyAlignment="1">
      <alignment wrapText="1"/>
      <protection locked="0"/>
    </xf>
    <xf numFmtId="166" applyNumberFormat="1" fontId="29" applyFont="1" fillId="10" applyFill="1" borderId="2" applyBorder="1" xfId="2" applyProtection="1" applyAlignment="1">
      <alignment wrapText="1"/>
      <protection locked="0"/>
    </xf>
    <xf numFmtId="166" applyNumberFormat="1" fontId="29" applyFont="1" fillId="10" applyFill="1" borderId="2" applyBorder="1" xfId="1" applyProtection="1" applyAlignment="1">
      <alignment wrapText="1"/>
    </xf>
    <xf numFmtId="166" applyNumberFormat="1" fontId="29" applyFont="1" fillId="10" applyFill="1" borderId="2" applyBorder="1" xfId="2" applyProtection="1" applyAlignment="1">
      <alignment wrapText="1"/>
    </xf>
    <xf numFmtId="171" applyNumberFormat="1" fontId="29" applyFont="1" fillId="0" borderId="2" applyBorder="1" xfId="2" applyProtection="1" applyAlignment="1">
      <protection locked="0"/>
    </xf>
    <xf numFmtId="171" applyNumberFormat="1" fontId="29" applyFont="1" fillId="7" applyFill="1" borderId="2" applyBorder="1" xfId="2" applyProtection="1" applyAlignment="1">
      <protection locked="0"/>
    </xf>
    <xf numFmtId="171" applyNumberFormat="1" fontId="29" applyFont="1" fillId="7" applyFill="1" borderId="2" applyBorder="1" xfId="1" applyProtection="1" applyAlignment="1"/>
    <xf numFmtId="0" fontId="30" applyFont="1" fillId="2" applyFill="1" borderId="2" applyBorder="1" xfId="0" applyAlignment="1">
      <alignment horizontal="left" vertical="center"/>
    </xf>
    <xf numFmtId="0" fontId="30" applyFont="1" fillId="2" applyFill="1" borderId="3" applyBorder="1" xfId="0" applyAlignment="1">
      <alignment vertical="center" wrapText="1"/>
    </xf>
    <xf numFmtId="0" fontId="30" applyFont="1" fillId="2" applyFill="1" borderId="7" applyBorder="1" xfId="0"/>
    <xf numFmtId="0" fontId="30" applyFont="1" fillId="2" applyFill="1" borderId="7" applyBorder="1" xfId="0" applyAlignment="1">
      <alignment vertical="center" wrapText="1"/>
    </xf>
    <xf numFmtId="0" fontId="31" applyFont="1" fillId="2" applyFill="1" borderId="7" applyBorder="1" xfId="0" applyAlignment="1">
      <alignment vertical="center" wrapText="1"/>
    </xf>
    <xf numFmtId="0" fontId="31" applyFont="1" fillId="2" applyFill="1" borderId="7" applyBorder="1" xfId="0"/>
    <xf numFmtId="0" fontId="30" applyFont="1" fillId="2" applyFill="1" borderId="8" applyBorder="1" xfId="0"/>
    <xf numFmtId="0" fontId="31" applyFont="1" fillId="2" applyFill="1" borderId="8" applyBorder="1" xfId="0"/>
    <xf numFmtId="0" fontId="31" applyFont="1" fillId="2" applyFill="1" borderId="2" applyBorder="1" xfId="0" applyAlignment="1">
      <alignment horizontal="left" vertical="center" wrapText="1"/>
    </xf>
    <xf numFmtId="0" fontId="30" applyFont="1" fillId="2" applyFill="1" borderId="7" applyBorder="1" xfId="0" applyAlignment="1">
      <alignment vertical="center"/>
    </xf>
    <xf numFmtId="0" fontId="31" applyFont="1" fillId="2" applyFill="1" borderId="3" applyBorder="1" xfId="0" applyAlignment="1">
      <alignment vertical="center" wrapText="1"/>
    </xf>
    <xf numFmtId="0" fontId="30" applyFont="1" fillId="2" applyFill="1" borderId="8" applyBorder="1" xfId="0" applyAlignment="1">
      <alignment vertical="center"/>
    </xf>
    <xf numFmtId="4" applyNumberFormat="1" fontId="1" applyFont="1" fillId="0" borderId="7" applyBorder="1" xfId="0" applyProtection="1" applyAlignment="1">
      <alignment horizontal="right"/>
      <protection locked="0"/>
    </xf>
    <xf numFmtId="4" applyNumberFormat="1" fontId="1" applyFont="1" fillId="0" borderId="9" applyBorder="1" xfId="0" applyProtection="1" applyAlignment="1">
      <alignment horizontal="right"/>
      <protection locked="0"/>
    </xf>
    <xf numFmtId="4" applyNumberFormat="1" fontId="1" applyFont="1" fillId="0" borderId="10" applyBorder="1" xfId="0" applyProtection="1" applyAlignment="1">
      <alignment horizontal="right"/>
      <protection locked="0"/>
    </xf>
    <xf numFmtId="172" applyNumberFormat="1" fontId="32" applyFont="1" fillId="5" applyFill="1" borderId="8" applyBorder="1" xfId="5" applyAlignment="1">
      <alignment horizontal="center" vertical="center" wrapText="1"/>
    </xf>
    <xf numFmtId="0" applyNumberFormat="1" fontId="32" applyFont="1" fillId="5" applyFill="1" borderId="2" applyBorder="1" xfId="5" applyAlignment="1">
      <alignment horizontal="center" vertical="center" wrapText="1"/>
    </xf>
    <xf numFmtId="3" applyNumberFormat="1" fontId="32" applyFont="1" fillId="5" applyFill="1" borderId="2" applyBorder="1" xfId="5" applyAlignment="1">
      <alignment horizontal="center" vertical="center" wrapText="1"/>
    </xf>
    <xf numFmtId="165" applyNumberFormat="1" fontId="32" applyFont="1" fillId="5" applyFill="1" borderId="2" applyBorder="1" xfId="5" applyProtection="1" applyAlignment="1">
      <alignment horizontal="center" vertical="center"/>
    </xf>
    <xf numFmtId="3" applyNumberFormat="1" fontId="32" applyFont="1" fillId="5" applyFill="1" borderId="2" applyBorder="1" xfId="5" applyAlignment="1">
      <alignment horizontal="center" vertical="center"/>
    </xf>
    <xf numFmtId="3" applyNumberFormat="1" fontId="32" applyFont="1" fillId="5" applyFill="1" borderId="3" applyBorder="1" xfId="5" applyAlignment="1">
      <alignment horizontal="center" vertical="center" wrapText="1"/>
    </xf>
    <xf numFmtId="170" applyNumberFormat="1" fontId="32" applyFont="1" fillId="5" applyFill="1" borderId="2" applyBorder="1" xfId="5" applyAlignment="1">
      <alignment horizontal="center" vertical="center" wrapText="1"/>
    </xf>
    <xf numFmtId="170" applyNumberFormat="1" fontId="32" applyFont="1" fillId="5" applyFill="1" borderId="3" applyBorder="1" xfId="5" applyAlignment="1">
      <alignment horizontal="center" vertical="center" wrapText="1"/>
    </xf>
    <xf numFmtId="165" applyNumberFormat="1" fontId="4" applyFont="1" fillId="9" applyFill="1" borderId="2" applyBorder="1" xfId="0" applyProtection="1" applyAlignment="1">
      <alignment horizontal="center"/>
    </xf>
    <xf numFmtId="0" applyNumberFormat="1" fontId="4" applyFont="1" fillId="0" borderId="2" applyBorder="1" xfId="2" applyProtection="1" applyAlignment="1">
      <alignment horizontal="center"/>
      <protection locked="0"/>
    </xf>
    <xf numFmtId="0" fontId="8" applyFont="1" fillId="8" applyFill="1" borderId="3" applyBorder="1" xfId="0" applyAlignment="1">
      <alignment horizontal="center" vertical="center" wrapText="1"/>
    </xf>
    <xf numFmtId="0" fontId="8" applyFont="1" fillId="8" applyFill="1" borderId="7" applyBorder="1" xfId="0" applyAlignment="1">
      <alignment horizontal="center" vertical="center" wrapText="1"/>
    </xf>
    <xf numFmtId="0" fontId="8" applyFont="1" fillId="8" applyFill="1" borderId="8" applyBorder="1" xfId="0" applyAlignment="1">
      <alignment horizontal="center" vertical="center" wrapText="1"/>
    </xf>
    <xf numFmtId="0" fontId="22" applyFont="1" fillId="6" applyFill="1" borderId="19" applyBorder="1" xfId="4" applyAlignment="1">
      <alignment horizontal="right"/>
    </xf>
    <xf numFmtId="0" fontId="22" applyFont="1" fillId="6" applyFill="1" borderId="20" applyBorder="1" xfId="4" applyAlignment="1">
      <alignment horizontal="right"/>
    </xf>
    <xf numFmtId="0" fontId="22" applyFont="1" fillId="6" applyFill="1" borderId="21" applyBorder="1" xfId="4" applyAlignment="1">
      <alignment horizontal="right"/>
    </xf>
    <xf numFmtId="0" fontId="22" applyFont="1" fillId="0" borderId="0" xfId="0" applyAlignment="1">
      <alignment horizontal="right"/>
    </xf>
    <xf numFmtId="0" fontId="1" applyFont="1" fillId="0" borderId="0" xfId="0" applyAlignment="1">
      <alignment horizontal="left"/>
    </xf>
    <xf numFmtId="0" fontId="6" applyFont="1" fillId="7" applyFill="1" borderId="0" xfId="0" applyAlignment="1">
      <alignment horizontal="center" wrapText="1"/>
    </xf>
    <xf numFmtId="0" fontId="7" applyFont="1" fillId="7" applyFill="1" borderId="0" xfId="0" applyAlignment="1">
      <alignment horizontal="center" wrapText="1"/>
    </xf>
    <xf numFmtId="0" fontId="5" applyFont="1" fillId="7" applyFill="1" borderId="0" xfId="0" applyAlignment="1">
      <alignment horizontal="center"/>
    </xf>
    <xf numFmtId="0" fontId="1" applyFont="1" fillId="7" applyFill="1" borderId="0" xfId="0" applyAlignment="1">
      <alignment horizontal="center"/>
    </xf>
    <xf numFmtId="49" applyNumberFormat="1" fontId="4" applyFont="1" fillId="0" borderId="7" applyBorder="1" xfId="0" applyAlignment="1">
      <alignment horizontal="center"/>
    </xf>
    <xf numFmtId="0" fontId="4" applyFont="1" fillId="0" borderId="9" applyBorder="1" xfId="0" applyProtection="1" applyAlignment="1">
      <alignment horizontal="center"/>
      <protection locked="0"/>
    </xf>
    <xf numFmtId="0" fontId="4" applyFont="1" fillId="0" borderId="9" applyBorder="1" xfId="0" applyAlignment="1">
      <alignment horizontal="center"/>
    </xf>
    <xf numFmtId="0" fontId="0" fillId="0" borderId="0" xfId="0"/>
    <xf numFmtId="0" fontId="14" applyFont="1" fillId="2" applyFill="1" borderId="12" applyBorder="1" xfId="0" applyAlignment="1">
      <alignment horizontal="center" vertical="center"/>
    </xf>
    <xf numFmtId="0" fontId="14" applyFont="1" fillId="2" applyFill="1" borderId="10" applyBorder="1" xfId="0" applyAlignment="1">
      <alignment horizontal="center" vertical="center"/>
    </xf>
    <xf numFmtId="0" fontId="0" fillId="0" borderId="10" applyBorder="1" xfId="0"/>
    <xf numFmtId="0" fontId="0" fillId="0" borderId="11" applyBorder="1" xfId="0"/>
    <xf numFmtId="0" fontId="14" applyFont="1" fillId="2" applyFill="1" borderId="6" applyBorder="1" xfId="0" applyAlignment="1">
      <alignment horizontal="center" vertical="center"/>
    </xf>
    <xf numFmtId="0" fontId="14" applyFont="1" fillId="2" applyFill="1" borderId="9" applyBorder="1" xfId="0" applyAlignment="1">
      <alignment horizontal="center" vertical="center"/>
    </xf>
    <xf numFmtId="0" fontId="0" fillId="0" borderId="9" applyBorder="1" xfId="0"/>
    <xf numFmtId="0" fontId="0" fillId="0" borderId="4" applyBorder="1" xfId="0"/>
    <xf numFmtId="0" fontId="14" applyFont="1" fillId="8" applyFill="1" borderId="13" applyBorder="1" xfId="0" applyAlignment="1">
      <alignment horizontal="center" vertical="center" wrapText="1"/>
    </xf>
    <xf numFmtId="0" fontId="14" applyFont="1" fillId="2" applyFill="1" borderId="14" applyBorder="1" xfId="0" applyAlignment="1">
      <alignment horizontal="center" vertical="center" wrapText="1"/>
    </xf>
    <xf numFmtId="0" fontId="14" applyFont="1" fillId="8" applyFill="1" borderId="5" applyBorder="1" xfId="0" applyAlignment="1">
      <alignment horizontal="center" vertical="center" wrapText="1"/>
    </xf>
    <xf numFmtId="0" fontId="14" applyFont="1" fillId="2" applyFill="1" borderId="13" applyBorder="1" xfId="0" applyAlignment="1">
      <alignment horizontal="center" vertical="center"/>
    </xf>
    <xf numFmtId="0" fontId="14" applyFont="1" fillId="2" applyFill="1" borderId="14" applyBorder="1" xfId="0" applyAlignment="1">
      <alignment horizontal="center" vertical="center"/>
    </xf>
    <xf numFmtId="0" fontId="14" applyFont="1" fillId="3" applyFill="1" borderId="13" applyBorder="1" xfId="0" applyAlignment="1">
      <alignment horizontal="center" vertical="center" wrapText="1"/>
    </xf>
    <xf numFmtId="0" fontId="14" applyFont="1" fillId="3" applyFill="1" borderId="14" applyBorder="1" xfId="0" applyAlignment="1">
      <alignment horizontal="center" vertical="center" wrapText="1"/>
    </xf>
    <xf numFmtId="0" fontId="14" applyFont="1" fillId="3" applyFill="1" borderId="5" applyBorder="1" xfId="0" applyAlignment="1">
      <alignment horizontal="center" vertical="center" wrapText="1"/>
    </xf>
    <xf numFmtId="0" fontId="5" applyFont="1" fillId="2" applyFill="1" borderId="2" applyBorder="1" xfId="0" applyAlignment="1">
      <alignment horizontal="center" vertical="center"/>
    </xf>
    <xf numFmtId="0" fontId="7" applyFont="1" fillId="7" applyFill="1" borderId="0" xfId="0" applyAlignment="1">
      <alignment horizontal="center" vertical="center" wrapText="1"/>
    </xf>
    <xf numFmtId="0" fontId="10" applyFont="1" fillId="2" applyFill="1" borderId="3" applyBorder="1" xfId="0" applyAlignment="1">
      <alignment horizontal="center" vertical="center"/>
    </xf>
    <xf numFmtId="0" fontId="22" applyFont="1" fillId="0" borderId="7" applyBorder="1" xfId="0" applyAlignment="1">
      <alignment horizontal="center" vertical="center"/>
    </xf>
    <xf numFmtId="0" fontId="22" applyFont="1" fillId="0" borderId="9" applyBorder="1" xfId="0" applyAlignment="1">
      <alignment horizontal="center" vertical="center"/>
    </xf>
    <xf numFmtId="0" fontId="22" applyFont="1" fillId="0" borderId="8" applyBorder="1" xfId="0" applyAlignment="1">
      <alignment horizontal="center" vertical="center"/>
    </xf>
    <xf numFmtId="0" fontId="4" applyFont="1" fillId="0" borderId="9" applyBorder="1" xfId="0" applyAlignment="1">
      <alignment horizontal="center" shrinkToFit="1"/>
    </xf>
    <xf numFmtId="0" fontId="22" applyFont="1" fillId="0" borderId="9" applyBorder="1" xfId="0" applyAlignment="1">
      <alignment horizontal="center" shrinkToFit="1"/>
    </xf>
    <xf numFmtId="0" fontId="22" applyFont="1" fillId="0" borderId="9" applyBorder="1" xfId="0">
      <alignment shrinkToFit="1"/>
    </xf>
    <xf numFmtId="0" fontId="22" applyFont="1" fillId="0" borderId="9" applyBorder="1" xfId="0"/>
    <xf numFmtId="49" applyNumberFormat="1" fontId="4" applyFont="1" fillId="0" borderId="7" applyBorder="1" xfId="0" applyAlignment="1">
      <alignment horizontal="center" shrinkToFit="1"/>
    </xf>
    <xf numFmtId="0" fontId="22" applyFont="1" fillId="0" borderId="7" applyBorder="1" xfId="0" applyAlignment="1">
      <alignment horizontal="center" shrinkToFit="1"/>
    </xf>
    <xf numFmtId="0" fontId="22" applyFont="1" fillId="0" borderId="7" applyBorder="1" xfId="0">
      <alignment shrinkToFit="1"/>
    </xf>
    <xf numFmtId="0" fontId="22" applyFont="1" fillId="0" borderId="7" applyBorder="1" xfId="0"/>
    <xf numFmtId="0" fontId="10" applyFont="1" fillId="2" applyFill="1" borderId="3" applyBorder="1" xfId="0" applyAlignment="1">
      <alignment horizontal="center" vertical="center" wrapText="1"/>
    </xf>
    <xf numFmtId="0" fontId="10" applyFont="1" fillId="2" applyFill="1" borderId="7" applyBorder="1" xfId="0" applyAlignment="1">
      <alignment horizontal="center" vertical="center" wrapText="1"/>
    </xf>
    <xf numFmtId="0" fontId="10" applyFont="1" fillId="2" applyFill="1" borderId="8" applyBorder="1" xfId="0" applyAlignment="1">
      <alignment horizontal="center" vertical="center" wrapText="1"/>
    </xf>
    <xf numFmtId="0" fontId="1" applyFont="1" fillId="0" borderId="0" xfId="0" applyAlignment="1">
      <alignment horizontal="right"/>
    </xf>
  </cellXfs>
  <cellStyles count="6">
    <cellStyle name="60% - Accent3" xfId="1" builtinId="40"/>
    <cellStyle name="Comma" xfId="2" builtinId="3"/>
    <cellStyle name="Normal" xfId="0" builtinId="0"/>
    <cellStyle name="Normal 2" xfId="3"/>
    <cellStyle name="Note" xfId="4" builtinId="10"/>
    <cellStyle name="Output" xfId="5" builtinId="21"/>
  </cellStyles>
  <dxfs count="297">
    <dxf>
      <numFmt numFmtId="30" formatCode="@"/>
      <protection locked="0" hidden="0"/>
    </dxf>
    <dxf>
      <numFmt numFmtId="30" formatCode="@"/>
      <protection locked="0" hidden="0"/>
    </dxf>
    <dxf>
      <numFmt numFmtId="30" formatCode="@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9" formatCode="dd\.mm\.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9" formatCode="dd\.mm\.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4" formatCode="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4" formatCode="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solid">
          <fgColor indexed="64"/>
          <bgColor theme="3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;;;"/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center" textRotation="0" wrapText="0" relativeIndent="-1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;;;"/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3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168" formatCode="#,##0.00;[Red]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Times New Roman"/>
        <scheme val="none"/>
      </font>
      <fill>
        <patternFill patternType="solid">
          <fgColor indexed="64"/>
          <bgColor indexed="26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rgb="FFFF0000"/>
        </patternFill>
      </fill>
    </dxf>
    <dxf>
      <font>
        <color auto="1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auto="1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auto="1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auto="1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fill>
        <patternFill patternType="solid">
          <fgColor indexed="64"/>
          <bgColor theme="0" tint="-0.1499984740745262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_-* #,##0\ _₼_-;\-* #,##0\ _₼_-;_-* &quot;-&quot;??\ _₼_-;_-@_-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71" formatCode=";;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5" formatCode="#,##0_);\(#,##0\)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0" formatCode="#,##0;[Red]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\ _₼_-;\-* #,##0\ _₼_-;_-* &quot;-&quot;??\ _₼_-;_-@_-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0" formatCode="#,##0;[Red]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65" formatCode="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0" formatCode="#,##0;[Red]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-* #,##0\ _₼_-;\-* #,##0\ _₼_-;_-* &quot;-&quot;??\ _₼_-;_-@_-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65" formatCode="0.0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72" formatCode="mm/dd/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mm/dd/yy"/>
      <fill>
        <patternFill patternType="solid">
          <fgColor indexed="64"/>
          <bgColor theme="3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3F3F3F"/>
        <name val="Times New Roman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9" formatCode="dd\.mm\.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5" formatCode="0.0000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7" formatCode="_(* #,##0_);_(* \(#,##0\);_(* &quot;-&quot;??_);_(@_)"/>
      <alignment horizontal="centerContinuous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9" formatCode="dd\.mm\.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indexed="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923925</xdr:colOff>
          <xdr:row>15</xdr:row>
          <xdr:rowOff>38100</xdr:rowOff>
        </xdr:from>
        <xdr:to>
          <xdr:col>8</xdr:col>
          <xdr:colOff>76200</xdr:colOff>
          <xdr:row>15</xdr:row>
          <xdr:rowOff>390525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Valyutalar üzrə cəmi hesabla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15</xdr:row>
          <xdr:rowOff>38100</xdr:rowOff>
        </xdr:from>
        <xdr:to>
          <xdr:col>9</xdr:col>
          <xdr:colOff>666750</xdr:colOff>
          <xdr:row>15</xdr:row>
          <xdr:rowOff>390525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Seçilən sətri 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38100</xdr:rowOff>
        </xdr:from>
        <xdr:to>
          <xdr:col>5</xdr:col>
          <xdr:colOff>666750</xdr:colOff>
          <xdr:row>15</xdr:row>
          <xdr:rowOff>390525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Sətir əlavə 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9</xdr:row>
          <xdr:rowOff>133350</xdr:rowOff>
        </xdr:from>
        <xdr:to>
          <xdr:col>11</xdr:col>
          <xdr:colOff>209550</xdr:colOff>
          <xdr:row>11</xdr:row>
          <xdr:rowOff>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1">
                <a:defRPr sz="1000"/>
              </a:pPr>
              <a:r>
                <a:rPr lang="tr-TR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Dövrü seç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15</xdr:row>
          <xdr:rowOff>9525</xdr:rowOff>
        </xdr:from>
        <xdr:to>
          <xdr:col>5</xdr:col>
          <xdr:colOff>762000</xdr:colOff>
          <xdr:row>15</xdr:row>
          <xdr:rowOff>323850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 əlavə 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15</xdr:row>
          <xdr:rowOff>19050</xdr:rowOff>
        </xdr:from>
        <xdr:to>
          <xdr:col>12</xdr:col>
          <xdr:colOff>819150</xdr:colOff>
          <xdr:row>15</xdr:row>
          <xdr:rowOff>323850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Valyutanı 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15</xdr:row>
          <xdr:rowOff>9525</xdr:rowOff>
        </xdr:from>
        <xdr:to>
          <xdr:col>9</xdr:col>
          <xdr:colOff>0</xdr:colOff>
          <xdr:row>15</xdr:row>
          <xdr:rowOff>323850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Valyutalar üzrə cəmi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14</xdr:row>
          <xdr:rowOff>76200</xdr:rowOff>
        </xdr:from>
        <xdr:to>
          <xdr:col>9</xdr:col>
          <xdr:colOff>66675</xdr:colOff>
          <xdr:row>14</xdr:row>
          <xdr:rowOff>428625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3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Valyuta üzrə cəmi hesabla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476250</xdr:colOff>
          <xdr:row>14</xdr:row>
          <xdr:rowOff>76200</xdr:rowOff>
        </xdr:from>
        <xdr:to>
          <xdr:col>10</xdr:col>
          <xdr:colOff>647700</xdr:colOff>
          <xdr:row>14</xdr:row>
          <xdr:rowOff>428625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Seçilən sətri sil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590550</xdr:colOff>
          <xdr:row>14</xdr:row>
          <xdr:rowOff>76200</xdr:rowOff>
        </xdr:from>
        <xdr:to>
          <xdr:col>7</xdr:col>
          <xdr:colOff>28575</xdr:colOff>
          <xdr:row>14</xdr:row>
          <xdr:rowOff>428625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Sətir əlavə 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192.168.0.5\Muhasibat\Users\Mirak\Downloads\Murad-Forma-QNVM-1--10sent-yekun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192.168.0.5\Muhasibat\Users\admin\AppData\Local\Mailbird\Store\A\593\3-Forma%20Fiziki%20&#351;&#601;xsl&#601;r%20t&#601;r&#601;find&#601;n%20&#246;lk&#601;d&#601;n%20k&#601;nara%20k&#246;&#231;&#252;r&#252;l&#601;n%20valyuta%20v&#601;saitl&#601;ri-versiya%202015-09%20dekabr%20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NVM-1"/>
      <sheetName val="draft "/>
      <sheetName val="Murad-Forma-QNVM-1--10sent-yeku"/>
    </sheetNames>
    <sheetDataSet>
      <sheetData sheetId="0">
        <row r="51">
          <cell r="E51" t="str">
            <v>ACCESSBANK QSB</v>
          </cell>
        </row>
        <row r="52">
          <cell r="E52" t="str">
            <v>AFB Bank ASC</v>
          </cell>
        </row>
        <row r="53">
          <cell r="E53" t="str">
            <v>AGBank ASC</v>
          </cell>
        </row>
        <row r="54">
          <cell r="E54" t="str">
            <v>Amrahbank ASC</v>
          </cell>
        </row>
        <row r="55">
          <cell r="E55" t="str">
            <v>Aqrar-Kredit QSC BOKT</v>
          </cell>
        </row>
        <row r="56">
          <cell r="E56" t="str">
            <v>ASC XALQ Bankı</v>
          </cell>
        </row>
        <row r="57">
          <cell r="E57" t="str">
            <v>AtaBank ASC</v>
          </cell>
        </row>
        <row r="58">
          <cell r="E58" t="str">
            <v>ATRABANK ASC</v>
          </cell>
        </row>
        <row r="59">
          <cell r="E59" t="str">
            <v>Azərbaycan Beynəlxalq Bankı ASC</v>
          </cell>
        </row>
        <row r="60">
          <cell r="E60" t="str">
            <v>Azərbaycan Kredit Bank ASC</v>
          </cell>
        </row>
        <row r="61">
          <cell r="E61" t="str">
            <v>Azərbaycan Respublikasının Mərkəzi Bankı</v>
          </cell>
        </row>
        <row r="62">
          <cell r="E62" t="str">
            <v>Azərbaycan Sənaye Bankı ASC</v>
          </cell>
        </row>
        <row r="63">
          <cell r="E63" t="str">
            <v>AzərPoçt MMC</v>
          </cell>
        </row>
        <row r="64">
          <cell r="E64" t="str">
            <v>Azər-Türk Bank ASC</v>
          </cell>
        </row>
        <row r="65">
          <cell r="E65" t="str">
            <v>Bank Avrasiya ASC</v>
          </cell>
        </row>
        <row r="66">
          <cell r="E66" t="str">
            <v>Bank BTB ASC</v>
          </cell>
        </row>
        <row r="67">
          <cell r="E67" t="str">
            <v>Bank of Azerbaijan ASC</v>
          </cell>
        </row>
        <row r="68">
          <cell r="E68" t="str">
            <v>Bank of Baku ASC</v>
          </cell>
        </row>
        <row r="69">
          <cell r="E69" t="str">
            <v>Bank Respublika ASC</v>
          </cell>
        </row>
        <row r="70">
          <cell r="E70" t="str">
            <v>BANK SİLK VEY ASC</v>
          </cell>
        </row>
        <row r="71">
          <cell r="E71" t="str">
            <v>Bank VTB (AZƏRBAYCAN) ASC</v>
          </cell>
        </row>
        <row r="72">
          <cell r="E72" t="str">
            <v>BankTechnique ASC</v>
          </cell>
        </row>
        <row r="73">
          <cell r="E73" t="str">
            <v>Dekabank KB ASC</v>
          </cell>
        </row>
        <row r="74">
          <cell r="E74" t="str">
            <v>DƏMİRBANK ASC</v>
          </cell>
        </row>
        <row r="75">
          <cell r="E75" t="str">
            <v>Evrobank ASC</v>
          </cell>
        </row>
        <row r="76">
          <cell r="E76" t="str">
            <v>Expressbank ASC</v>
          </cell>
        </row>
        <row r="77">
          <cell r="E77" t="str">
            <v>Gəncə SKB</v>
          </cell>
        </row>
        <row r="78">
          <cell r="E78" t="str">
            <v>GünayBank ASC</v>
          </cell>
        </row>
        <row r="79">
          <cell r="E79" t="str">
            <v>Kapital Bank ASC</v>
          </cell>
        </row>
        <row r="80">
          <cell r="E80" t="str">
            <v>KREDOBANK ASC</v>
          </cell>
        </row>
        <row r="81">
          <cell r="E81" t="str">
            <v>Melli İran Bankı Bakı filialı</v>
          </cell>
        </row>
        <row r="82">
          <cell r="E82" t="str">
            <v>Muğanbank ASC</v>
          </cell>
        </row>
        <row r="83">
          <cell r="E83" t="str">
            <v>Naxçıvanbank ASC</v>
          </cell>
        </row>
        <row r="84">
          <cell r="E84" t="str">
            <v>NBCBank ASC</v>
          </cell>
        </row>
        <row r="85">
          <cell r="E85" t="str">
            <v>Nikoyl İKB ASC</v>
          </cell>
        </row>
        <row r="86">
          <cell r="E86" t="str">
            <v>Pakistan Milli Bankının Bakı filialı</v>
          </cell>
        </row>
        <row r="87">
          <cell r="E87" t="str">
            <v>Parabank ASC</v>
          </cell>
        </row>
        <row r="88">
          <cell r="E88" t="str">
            <v>Paşa Bank ASC</v>
          </cell>
        </row>
        <row r="89">
          <cell r="E89" t="str">
            <v>Qafqaz İnkişaf Bankı ASC</v>
          </cell>
        </row>
        <row r="90">
          <cell r="E90" t="str">
            <v>QCS BANK STANDARD KB</v>
          </cell>
        </row>
        <row r="91">
          <cell r="E91" t="str">
            <v xml:space="preserve">Rabitəbank ASC </v>
          </cell>
        </row>
        <row r="92">
          <cell r="E92" t="str">
            <v>RoyalBank ASC</v>
          </cell>
        </row>
        <row r="93">
          <cell r="E93" t="str">
            <v>TURANBANK ASC</v>
          </cell>
        </row>
        <row r="94">
          <cell r="E94" t="str">
            <v>UNİBANK KB ASC</v>
          </cell>
        </row>
        <row r="95">
          <cell r="E95" t="str">
            <v>Yapi Kredi Bank Azərbaycan QSC</v>
          </cell>
        </row>
        <row r="96">
          <cell r="E96" t="str">
            <v>YUNAYTED KREDİT BANK ASC</v>
          </cell>
        </row>
        <row r="97">
          <cell r="E97" t="str">
            <v>Zaminbank ASC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50000 VƏ YUXARI ÖDƏNİŞLƏR-YENI"/>
      <sheetName val="XIRDA ÖDƏNİŞLƏR-YENI"/>
    </sheetNames>
    <sheetDataSet>
      <sheetData sheetId="0">
        <row r="2">
          <cell r="E2" t="str">
            <v>Daşınmaz əmlak</v>
          </cell>
        </row>
        <row r="3">
          <cell r="E3" t="str">
            <v>Maddi yardım</v>
          </cell>
        </row>
        <row r="4">
          <cell r="E4" t="str">
            <v>Şəxsi hesaba köçürmə</v>
          </cell>
        </row>
        <row r="5">
          <cell r="E5" t="str">
            <v>Digər (mal idxalı, invoys, müqavilə məktubları və s.)</v>
          </cell>
        </row>
      </sheetData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id="2" name="TblNxv1Alish" displayName="TblNxv1Alish" ref="B19:G65" totalsRowShown="0" headerRowDxfId="49" dataDxfId="293" totalsRowBorderDxfId="291">
  <autoFilter ref="B19:G6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1" dataDxfId="279"/>
    <tableColumn id="2" name="2" dataDxfId="289"/>
    <tableColumn id="3" name="3" dataDxfId="274" dataCellStyle="Comma"/>
    <tableColumn id="4" name="4" dataDxfId="276">
      <calculatedColumnFormula>IF(D20=0,"-",F20/D20)</calculatedColumnFormula>
    </tableColumn>
    <tableColumn id="5" name="5" dataDxfId="274" dataCellStyle="Comma"/>
    <tableColumn id="6" name="6" dataDxfId="274" dataCellStyle="Comma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3" name="TblNxv1Satish" displayName="TblNxv1Satish" ref="H19:M65" totalsRowShown="0" headerRowDxfId="49" dataDxfId="282" totalsRowBorderDxfId="280">
  <autoFilter ref="H19:M6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7" dataDxfId="279"/>
    <tableColumn id="2" name="8" dataDxfId="278" dataCellStyle="Comma"/>
    <tableColumn id="3" name="9" dataDxfId="274" dataCellStyle="Comma"/>
    <tableColumn id="4" name="10" dataDxfId="276">
      <calculatedColumnFormula>IF(J20=0,"-",L20/J20)</calculatedColumnFormula>
    </tableColumn>
    <tableColumn id="5" name="11" dataDxfId="274" dataCellStyle="Comma"/>
    <tableColumn id="6" name="12" dataDxfId="274" dataCellStyle="Comma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1" name="TblNxv1SumAlish" displayName="TblNxv1SumAlish" ref="B67:G67" headerRowCount="0" totalsRowShown="0" headerRowDxfId="20" dataDxfId="19" totalsRowBorderDxfId="270">
  <tableColumns count="6">
    <tableColumn id="1" name="Column1" headerRowDxfId="269" dataDxfId="268" dataCellStyle="Output"/>
    <tableColumn id="2" name="Column2" headerRowDxfId="250" dataDxfId="266" dataCellStyle="Output"/>
    <tableColumn id="3" name="Column3" headerRowDxfId="241" dataDxfId="7" dataCellStyle="Output"/>
    <tableColumn id="4" name="Column4" headerRowDxfId="244" dataDxfId="262" dataCellStyle="Output"/>
    <tableColumn id="5" name="Column5" headerRowDxfId="241" dataDxfId="7" dataCellStyle="Output"/>
    <tableColumn id="6" name="Column6" headerRowDxfId="238" dataDxfId="3" dataCellStyle="Output"/>
  </tableColumns>
  <tableStyleInfo name="TableStyleMedium22" showFirstColumn="0" showLastColumn="0" showRowStripes="0" showColumnStripes="0"/>
</table>
</file>

<file path=xl/tables/table4.xml><?xml version="1.0" encoding="utf-8"?>
<table xmlns="http://schemas.openxmlformats.org/spreadsheetml/2006/main" id="4" name="TblNxv1SumSatish" displayName="TblNxv1SumSatish" ref="H67:M67" headerRowCount="0" headerRowDxfId="257" dataDxfId="256" totalsRowBorderDxfId="254">
  <tableColumns count="6">
    <tableColumn id="1" name="Column1" totalsRowLabel="Total" headerRowDxfId="253" dataDxfId="249" totalsRowDxfId="239" dataCellStyle="Output"/>
    <tableColumn id="2" name="Column2" headerRowDxfId="250" dataDxfId="249" totalsRowDxfId="239" dataCellStyle="Output"/>
    <tableColumn id="3" name="Column3" headerRowDxfId="241" dataDxfId="240" totalsRowDxfId="239" dataCellStyle="Output"/>
    <tableColumn id="4" name="Column4" headerRowDxfId="244" dataDxfId="243" totalsRowDxfId="239" dataCellStyle="Output"/>
    <tableColumn id="5" name="Column5" headerRowDxfId="241" dataDxfId="240" totalsRowDxfId="239" dataCellStyle="Output"/>
    <tableColumn id="6" name="Column6" totalsRowFunction="sum" headerRowDxfId="238" dataDxfId="237" totalsRowDxfId="236" dataCellStyle="Output"/>
  </tableColumns>
  <tableStyleInfo name="TableStyleMedium22" showFirstColumn="0" showLastColumn="0" showRowStripes="0" showColumnStripes="0"/>
</table>
</file>

<file path=xl/tables/table5.xml><?xml version="1.0" encoding="utf-8"?>
<table xmlns="http://schemas.openxmlformats.org/spreadsheetml/2006/main" id="585" name="TblNxv1a_a_USD" displayName="TblNxv1a_a_USD" ref="E22:I111" totalsRowShown="0" headerRowDxfId="49" totalsRowBorderDxfId="159">
  <autoFilter ref="E22:I1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6" name="RegionId" dataDxfId="129" dataCellStyle="Comma"/>
    <tableColumn id="1" name="xarici valyuta alınmışdır" dataDxfId="126" dataCellStyle="Comma"/>
    <tableColumn id="2" name="alış məzənnəsi_x000A_0.0000" dataDxfId="127" dataCellStyle="Comma">
      <calculatedColumnFormula>IF(F23&lt;&gt;0,(H23/F23),0)</calculatedColumnFormula>
    </tableColumn>
    <tableColumn id="3" name="manat ilə məbləğ" dataDxfId="126" dataCellStyle="Comma"/>
    <tableColumn id="4" name="əməliyyatların sayı" dataDxfId="125" dataCellStyle="Comma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id="586" name="TblNxv1a_s_USD" displayName="TblNxv1a_s_USD" ref="J22:N111" totalsRowShown="0" headerRowDxfId="49" dataDxfId="132" totalsRowBorderDxfId="149" dataCellStyle="Comma">
  <autoFilter ref="J22:N1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name="RegionId" dataDxfId="129" dataCellStyle="Comma"/>
    <tableColumn id="1" name="xarici valyuta satılmışdır" dataDxfId="126" dataCellStyle="Comma"/>
    <tableColumn id="2" name="satış məzənnəsi_x000A_0.0000" dataDxfId="127" dataCellStyle="Comma">
      <calculatedColumnFormula>IF(K23&lt;&gt;0,(M23/K23),0)</calculatedColumnFormula>
    </tableColumn>
    <tableColumn id="3" name="manat ilə məbləğ " dataDxfId="126" dataCellStyle="Comma"/>
    <tableColumn id="4" name="əməliyyatların sayı " dataDxfId="125" dataCellStyle="Comma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5" name="TblNxv1a_a_EUR" displayName="TblNxv1a_a_EUR" ref="O22:S111" totalsRowShown="0" headerRowDxfId="49" totalsRowBorderDxfId="140">
  <autoFilter ref="O22:S111"/>
  <tableColumns count="5">
    <tableColumn id="6" name="RegionId" dataDxfId="129" dataCellStyle="Comma"/>
    <tableColumn id="1" name="xarici valyuta alınmışdır" dataDxfId="126" dataCellStyle="Comma"/>
    <tableColumn id="2" name="alış məzənnəsi_x000A_0.0000" dataDxfId="127" dataCellStyle="Comma">
      <calculatedColumnFormula>IF(P23&lt;&gt;0,(R23/P23),0)</calculatedColumnFormula>
    </tableColumn>
    <tableColumn id="3" name="manat ilə məbləğ" dataDxfId="126" dataCellStyle="Comma"/>
    <tableColumn id="4" name="əməliyyatların sayı" dataDxfId="125" dataCellStyle="Comma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TblNxv1a_s_EUR" displayName="TblNxv1a_s_EUR" ref="T22:X111" totalsRowShown="0" headerRowDxfId="49" dataDxfId="132" totalsRowBorderDxfId="130" dataCellStyle="Comma">
  <autoFilter ref="T22:X111"/>
  <tableColumns count="5">
    <tableColumn id="5" name="RegionId" dataDxfId="129" dataCellStyle="Comma"/>
    <tableColumn id="1" name="xarici valyuta satılmışdır" dataDxfId="126" dataCellStyle="Comma"/>
    <tableColumn id="2" name="satış məzənnəsi_x000A_0.0000" dataDxfId="127" dataCellStyle="Comma">
      <calculatedColumnFormula>IF(U23&lt;&gt;0,(W23/U23),0)</calculatedColumnFormula>
    </tableColumn>
    <tableColumn id="3" name="manat ilə məbləğ " dataDxfId="126" dataCellStyle="Comma"/>
    <tableColumn id="4" name="əməliyyatların sayı " dataDxfId="125" dataCellStyle="Comma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630" name="TblNXVS2_1" displayName="TblNXVS2_1" ref="B17:E17" headerRowCount="0" totalsRowShown="0" totalsRowBorderDxfId="121">
  <tableColumns count="4">
    <tableColumn id="1" name="Column1" headerRowDxfId="120" dataDxfId="119"/>
    <tableColumn id="2" name="Column2" headerRowDxfId="118" dataDxfId="88"/>
    <tableColumn id="3" name="Column3" headerRowDxfId="94" dataDxfId="84"/>
    <tableColumn id="4" name="Column4" headerRowDxfId="114" dataDxfId="113"/>
  </tableColumns>
  <tableStyleInfo name="TableStyleLight4" showFirstColumn="0" showLastColumn="0" showRowStripes="0" showColumnStripes="0"/>
</table>
</file>

<file path=xl/tables/table10.xml><?xml version="1.0" encoding="utf-8"?>
<table xmlns="http://schemas.openxmlformats.org/spreadsheetml/2006/main" id="631" name="TblNXVS2_2" displayName="TblNXVS2_2" ref="B19:E29" headerRowCount="0" totalsRowShown="0" totalsRowBorderDxfId="110">
  <tableColumns count="4">
    <tableColumn id="1" name="Column1" headerRowDxfId="98" dataDxfId="97"/>
    <tableColumn id="2" name="Column2" headerRowDxfId="96" dataDxfId="95"/>
    <tableColumn id="3" name="Column3" headerRowDxfId="94" dataDxfId="104"/>
    <tableColumn id="4" name="Column4" headerRowDxfId="92" dataDxfId="102"/>
  </tableColumns>
  <tableStyleInfo name="TableStyleLight4" showFirstColumn="0" showLastColumn="0" showRowStripes="0" showColumnStripes="0"/>
</table>
</file>

<file path=xl/tables/table11.xml><?xml version="1.0" encoding="utf-8"?>
<table xmlns="http://schemas.openxmlformats.org/spreadsheetml/2006/main" id="632" name="TblNXVS2_3" displayName="TblNXVS2_3" ref="B31:E41" headerRowCount="0" totalsRowShown="0" totalsRowBorderDxfId="99">
  <tableColumns count="4">
    <tableColumn id="1" name="Column1" headerRowDxfId="98" dataDxfId="97"/>
    <tableColumn id="2" name="Column2" headerRowDxfId="96" dataDxfId="95"/>
    <tableColumn id="3" name="Column3" headerRowDxfId="94" dataDxfId="93"/>
    <tableColumn id="4" name="Column4" headerRowDxfId="92" dataDxfId="91"/>
  </tableColumns>
  <tableStyleInfo name="TableStyleLight4" showFirstColumn="0" showLastColumn="0" showRowStripes="0" showColumnStripes="0"/>
</table>
</file>

<file path=xl/tables/table12.xml><?xml version="1.0" encoding="utf-8"?>
<table xmlns="http://schemas.openxmlformats.org/spreadsheetml/2006/main" id="1264" name="TblNXVS2_2_Sum" displayName="TblNXVS2_2_Sum" ref="B18:E18" headerRowCount="0" totalsRowShown="0">
  <tableColumns count="4">
    <tableColumn id="1" name="Column1" headerRowDxfId="89" dataDxfId="88"/>
    <tableColumn id="2" name="Column2" headerRowDxfId="87" dataDxfId="86"/>
    <tableColumn id="3" name="Column3" headerRowDxfId="49" dataDxfId="84"/>
    <tableColumn id="4" name="Column4" headerRowDxfId="83" dataDxfId="82">
      <calculatedColumnFormula>E19+E20+E21+E22+E25+E26+E27+E28+E29</calculatedColumnFormula>
    </tableColumn>
  </tableColumns>
  <tableStyleInfo name="TableStyleLight4" showFirstColumn="0" showLastColumn="0" showRowStripes="0" showColumnStripes="0"/>
</table>
</file>

<file path=xl/tables/table13.xml><?xml version="1.0" encoding="utf-8"?>
<table xmlns="http://schemas.openxmlformats.org/spreadsheetml/2006/main" id="1265" name="TblNXVS2_3_Sum" displayName="TblNXVS2_3_Sum" ref="B30:E30" headerRowCount="0" totalsRowShown="0">
  <tableColumns count="4">
    <tableColumn id="1" name="Column1" headerRowDxfId="69" dataDxfId="69"/>
    <tableColumn id="2" name="Column2" headerRowDxfId="49" dataDxfId="49"/>
    <tableColumn id="3" name="Column3" headerRowDxfId="49" dataDxfId="49"/>
    <tableColumn id="4" name="Column4" headerRowDxfId="73" dataDxfId="73">
      <calculatedColumnFormula>E31+E32+E33+E34+E37+E38+E39+E40+E41</calculatedColumnFormula>
    </tableColumn>
  </tableColumns>
  <tableStyleInfo name="TableStyleLight6" showFirstColumn="0" showLastColumn="0" showRowStripes="0" showColumnStripes="0"/>
</table>
</file>

<file path=xl/tables/table14.xml><?xml version="1.0" encoding="utf-8"?>
<table xmlns="http://schemas.openxmlformats.org/spreadsheetml/2006/main" id="1266" name="TblNXVS2_4_Sum" displayName="TblNXVS2_4_Sum" ref="B42:E42" headerRowCount="0" totalsRowShown="0">
  <tableColumns count="4">
    <tableColumn id="1" name="Column1" headerRowDxfId="70" dataDxfId="69"/>
    <tableColumn id="2" name="Column2" headerRowDxfId="66" dataDxfId="49"/>
    <tableColumn id="3" name="Column3" headerRowDxfId="66" dataDxfId="49"/>
    <tableColumn id="4" name="Column4" headerRowDxfId="64" dataDxfId="63">
      <calculatedColumnFormula>E17+E18-E30</calculatedColumnFormula>
    </tableColumn>
  </tableColumns>
  <tableStyleInfo name="TableStyleLight4" showFirstColumn="0" showLastColumn="0" showRowStripes="0" showColumnStripes="0"/>
</table>
</file>

<file path=xl/tables/table15.xml><?xml version="1.0" encoding="utf-8"?>
<table xmlns="http://schemas.openxmlformats.org/spreadsheetml/2006/main" id="7" name="NXVS3Tbl1" displayName="NXVS3Tbl1" ref="B18:H22" totalsRowShown="0" headerRowDxfId="49" dataDxfId="4" totalsRowBorderDxfId="57">
  <autoFilter ref="B18:H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1" dataDxfId="44"/>
    <tableColumn id="2" name="2" dataDxfId="43"/>
    <tableColumn id="3" name="3" dataDxfId="39"/>
    <tableColumn id="4" name="4" dataDxfId="39"/>
    <tableColumn id="5" name="5" dataDxfId="39"/>
    <tableColumn id="6" name="6" dataDxfId="39"/>
    <tableColumn id="7" name="7" dataDxfId="38">
      <calculatedColumnFormula>E19*F19</calculatedColumnFormula>
    </tableColumn>
  </tableColumns>
  <tableStyleInfo name="TableStyleMedium5" showFirstColumn="0" showLastColumn="0" showRowStripes="0" showColumnStripes="0"/>
</table>
</file>

<file path=xl/tables/table16.xml><?xml version="1.0" encoding="utf-8"?>
<table xmlns="http://schemas.openxmlformats.org/spreadsheetml/2006/main" id="9" name="NXVS3Tbl2" displayName="NXVS3Tbl2" ref="I18:O22" totalsRowShown="0" headerRowDxfId="49" dataDxfId="4" totalsRowBorderDxfId="45">
  <autoFilter ref="I18:O2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8" dataDxfId="44"/>
    <tableColumn id="2" name="9" dataDxfId="43"/>
    <tableColumn id="3" name="10" dataDxfId="39"/>
    <tableColumn id="4" name="11" dataDxfId="39"/>
    <tableColumn id="5" name="12" dataDxfId="39"/>
    <tableColumn id="6" name="13" dataDxfId="39"/>
    <tableColumn id="7" name="14" dataDxfId="38">
      <calculatedColumnFormula>L19*M19</calculatedColumnFormula>
    </tableColumn>
  </tableColumns>
  <tableStyleInfo name="TableStyleMedium5" showFirstColumn="0" showLastColumn="0" showRowStripes="0" showColumnStripes="0"/>
</table>
</file>

<file path=xl/tables/table17.xml><?xml version="1.0" encoding="utf-8"?>
<table xmlns="http://schemas.openxmlformats.org/spreadsheetml/2006/main" id="36" name="NXVS3TblSum1" displayName="NXVS3TblSum1" ref="B24:H24" headerRowCount="0" totalsRowShown="0" headerRowDxfId="23" dataDxfId="36">
  <tableColumns count="7">
    <tableColumn id="1" name="Column1" headerRowDxfId="4" dataDxfId="33" dataCellStyle="Output"/>
    <tableColumn id="2" name="Column2" headerRowDxfId="4" dataDxfId="23" dataCellStyle="Output"/>
    <tableColumn id="3" name="Column3" headerRowDxfId="4" dataDxfId="23" dataCellStyle="Output"/>
    <tableColumn id="4" name="Column4" headerRowDxfId="4" dataDxfId="25" dataCellStyle="Output"/>
    <tableColumn id="5" name="Column5" headerRowDxfId="4" dataDxfId="25" dataCellStyle="Output"/>
    <tableColumn id="6" name="Column6" headerRowDxfId="4" dataDxfId="23" dataCellStyle="Output"/>
    <tableColumn id="7" name="Column7" headerRowDxfId="4" dataDxfId="21" dataCellStyle="Output">
      <calculatedColumnFormula>IF(ISBLANK(G24),"",SUMIFS('Forma-NXVS-3'!$H$19:$H$22,'Forma-NXVS-3'!$G$19:$G$22,G24))</calculatedColumnFormula>
    </tableColumn>
  </tableColumns>
  <tableStyleInfo name="TableStyleMedium22" showFirstColumn="0" showLastColumn="0" showRowStripes="0" showColumnStripes="0"/>
</table>
</file>

<file path=xl/tables/table18.xml><?xml version="1.0" encoding="utf-8"?>
<table xmlns="http://schemas.openxmlformats.org/spreadsheetml/2006/main" id="39" name="NXVS3TblSum2" displayName="NXVS3TblSum2" ref="I24:O24" headerRowCount="0" totalsRowShown="0" headerRowDxfId="20" dataDxfId="19" totalsRowBorderDxfId="17">
  <tableColumns count="7">
    <tableColumn id="1" name="Column1" headerRowDxfId="4" dataDxfId="15" dataCellStyle="Output"/>
    <tableColumn id="2" name="Column2" headerRowDxfId="4" dataDxfId="5" dataCellStyle="Output"/>
    <tableColumn id="3" name="Column3" headerRowDxfId="4" dataDxfId="5" dataCellStyle="Output"/>
    <tableColumn id="4" name="Column4" headerRowDxfId="4" dataDxfId="7" dataCellStyle="Output"/>
    <tableColumn id="5" name="Column5" headerRowDxfId="4" dataDxfId="7" dataCellStyle="Output"/>
    <tableColumn id="6" name="Column6" headerRowDxfId="4" dataDxfId="5" dataCellStyle="Output"/>
    <tableColumn id="7" name="Column7" headerRowDxfId="4" dataDxfId="3" dataCellStyle="Output">
      <calculatedColumnFormula>IF(ISBLANK(N24),"",SUMIFS('Forma-NXVS-3'!$O$19:$O$22,'Forma-NXVS-3'!$N$19:$N$22,N24))</calculatedColumnFormula>
    </tableColumn>
  </tableColumns>
  <tableStyleInfo name="TableStyleMedium22" showFirstColumn="0" showLastColumn="0" showRowStripes="0" showColumnStripes="0"/>
</table>
</file>

<file path=xl/tables/table19.xml><?xml version="1.0" encoding="utf-8"?>
<table xmlns="http://schemas.openxmlformats.org/spreadsheetml/2006/main" id="435" name="tblUsedCurrencyTabels" displayName="tblUsedCurrencyTabels" ref="I1:I3" totalsRowShown="0" headerRowDxfId="0" dataDxfId="0">
  <autoFilter ref="I1:I3"/>
  <tableColumns count="1">
    <tableColumn id="1" name="usedCurrencyTabels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5.xml"/><Relationship Id="rId2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7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5.xml"/><Relationship Id="rId2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18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17.xml"/></Relationships>
</file>

<file path=xl/worksheets/_rels/sheet5.xml.rels><?xml version="1.0" encoding="UTF-8" standalone="yes"?><Relationships xmlns="http://schemas.openxmlformats.org/package/2006/relationships"><Relationship Id="rId2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V67"/>
  <sheetViews>
    <sheetView tabSelected="1" topLeftCell="A10" zoomScale="130" zoomScaleNormal="130" zoomScaleSheetLayoutView="100" workbookViewId="0">
      <selection activeCell="B20" sqref="B20"/>
    </sheetView>
  </sheetViews>
  <sheetFormatPr defaultColWidth="9.140625" defaultRowHeight="12.75" x14ac:dyDescent="0.2"/>
  <cols>
    <col min="1" max="1" width="7.28515625" customWidth="1" style="2"/>
    <col min="2" max="3" width="14.42578125" customWidth="1" style="2"/>
    <col min="4" max="4" width="17.7109375" customWidth="1" style="2"/>
    <col min="5" max="7" width="14.42578125" customWidth="1" style="2"/>
    <col min="8" max="8" width="14.42578125" customWidth="1" style="9"/>
    <col min="9" max="11" width="14.42578125" customWidth="1" style="2"/>
    <col min="12" max="12" width="16.42578125" customWidth="1" style="2"/>
    <col min="13" max="13" width="14" customWidth="1" style="2"/>
    <col min="14" max="14" width="9.140625" customWidth="1" style="2"/>
    <col min="15" max="15" width="14.140625" customWidth="1" style="2"/>
    <col min="16" max="16" width="13" customWidth="1" style="2"/>
    <col min="17" max="19" width="9.140625" customWidth="1" style="2"/>
    <col min="20" max="20" width="9.140625" customWidth="1" style="2"/>
    <col min="21" max="16384" width="9.140625" customWidth="1" style="2"/>
  </cols>
  <sheetData>
    <row r="1">
      <c r="B1" s="90" t="str">
        <f>version</f>
        <v>2.2</v>
      </c>
      <c r="H1" s="2"/>
    </row>
    <row r="2" ht="15" customHeight="1">
      <c r="B2" s="7" t="s">
        <v>80</v>
      </c>
      <c r="F2" s="8"/>
      <c r="J2" s="8"/>
      <c r="K2" s="8"/>
      <c r="L2" s="8"/>
    </row>
    <row r="3" ht="12.75" customHeight="1">
      <c r="B3" s="2" t="s">
        <v>192</v>
      </c>
      <c r="F3" s="8"/>
      <c r="J3" s="8"/>
      <c r="K3" s="8"/>
      <c r="L3" s="8"/>
    </row>
    <row r="4" ht="15">
      <c r="C4" s="8"/>
      <c r="D4" s="2" t="s">
        <v>2</v>
      </c>
      <c r="E4" s="8" t="s">
        <v>82</v>
      </c>
      <c r="G4" s="8"/>
      <c r="H4" s="8"/>
      <c r="I4" s="153" t="s">
        <v>193</v>
      </c>
      <c r="J4" s="153"/>
    </row>
    <row r="5" ht="15">
      <c r="B5" s="8"/>
      <c r="C5" s="10"/>
      <c r="D5" s="11"/>
      <c r="E5" s="11"/>
      <c r="F5" s="11"/>
      <c r="G5" s="156" t="s">
        <v>194</v>
      </c>
      <c r="H5" s="156"/>
      <c r="I5" s="156"/>
      <c r="J5" s="156"/>
      <c r="K5" s="156"/>
      <c r="L5" s="156"/>
    </row>
    <row r="6" ht="15">
      <c r="B6" s="8"/>
      <c r="C6" s="10"/>
      <c r="D6" s="11"/>
      <c r="E6" s="11"/>
      <c r="F6" s="11"/>
      <c r="G6" s="156" t="s">
        <v>5</v>
      </c>
      <c r="H6" s="156"/>
      <c r="I6" s="156"/>
      <c r="J6" s="156"/>
      <c r="K6" s="156"/>
      <c r="L6" s="156"/>
    </row>
    <row r="7" ht="15">
      <c r="B7" s="8"/>
      <c r="C7" s="10"/>
      <c r="D7" s="12"/>
      <c r="E7" s="12"/>
      <c r="F7" s="12"/>
      <c r="G7" s="157" t="s">
        <v>6</v>
      </c>
      <c r="H7" s="157"/>
      <c r="I7" s="157"/>
      <c r="J7" s="157"/>
      <c r="K7" s="157"/>
      <c r="L7" s="157"/>
    </row>
    <row r="8" ht="15">
      <c r="B8" s="8"/>
      <c r="C8" s="12"/>
      <c r="D8" s="12"/>
      <c r="E8" s="12"/>
      <c r="F8" s="12"/>
      <c r="G8" s="157" t="s">
        <v>85</v>
      </c>
      <c r="H8" s="157"/>
      <c r="I8" s="157"/>
      <c r="J8" s="157"/>
      <c r="K8" s="157"/>
      <c r="L8" s="157"/>
    </row>
    <row r="9" ht="15">
      <c r="B9" s="8"/>
      <c r="C9" s="8"/>
      <c r="D9" s="8"/>
      <c r="E9" s="8"/>
      <c r="F9" s="8"/>
      <c r="G9" s="8"/>
      <c r="H9" s="8"/>
      <c r="I9" s="8"/>
      <c r="J9" s="8"/>
      <c r="K9" s="8"/>
      <c r="L9" s="8"/>
    </row>
    <row r="10" ht="15">
      <c r="B10" s="8"/>
      <c r="C10" s="13" t="s">
        <v>9</v>
      </c>
      <c r="D10" s="159" t="s">
        <v>10</v>
      </c>
      <c r="E10" s="159"/>
      <c r="F10" s="159"/>
      <c r="G10" s="159"/>
      <c r="H10" s="159"/>
      <c r="I10" s="159"/>
      <c r="J10" s="159"/>
      <c r="K10" s="8"/>
      <c r="L10" s="8"/>
    </row>
    <row r="11" ht="15">
      <c r="B11" s="8"/>
      <c r="C11" s="14" t="s">
        <v>11</v>
      </c>
      <c r="D11" s="158" t="s">
        <v>12</v>
      </c>
      <c r="E11" s="158"/>
      <c r="F11" s="158"/>
      <c r="G11" s="158"/>
      <c r="H11" s="158"/>
      <c r="I11" s="158"/>
      <c r="J11" s="158"/>
      <c r="K11" s="8"/>
      <c r="L11" s="8"/>
    </row>
    <row r="12" ht="27.75" customHeight="1">
      <c r="B12" s="8"/>
      <c r="C12" s="154" t="s">
        <v>13</v>
      </c>
      <c r="D12" s="154"/>
      <c r="E12" s="154"/>
      <c r="F12" s="154"/>
      <c r="G12" s="154"/>
      <c r="H12" s="154"/>
      <c r="I12" s="154"/>
      <c r="J12" s="154"/>
      <c r="K12" s="154"/>
      <c r="L12" s="154"/>
    </row>
    <row r="13" ht="23.25" customHeight="1">
      <c r="B13" s="8"/>
      <c r="C13" s="155" t="s">
        <v>195</v>
      </c>
      <c r="D13" s="155"/>
      <c r="E13" s="155"/>
      <c r="F13" s="155"/>
      <c r="G13" s="155"/>
      <c r="H13" s="155"/>
      <c r="I13" s="155"/>
      <c r="J13" s="155"/>
      <c r="K13" s="155"/>
      <c r="L13" s="155"/>
      <c r="P13" s="39"/>
    </row>
    <row r="14" ht="23.25" customHeight="1" s="15" customFormat="1">
      <c r="A14" s="2"/>
    </row>
    <row r="15" ht="26.25" customHeight="1">
      <c r="B15" s="152" t="s">
        <v>87</v>
      </c>
      <c r="C15" s="152"/>
      <c r="D15" s="152"/>
      <c r="E15" s="152"/>
      <c r="F15" s="152"/>
      <c r="G15" s="152"/>
      <c r="H15" s="152"/>
      <c r="I15" s="152"/>
      <c r="J15" s="152"/>
      <c r="K15" s="152"/>
      <c r="L15" s="152"/>
      <c r="M15" s="152"/>
    </row>
    <row r="16" ht="33.75" customHeight="1">
      <c r="B16" s="149"/>
      <c r="C16" s="150"/>
      <c r="D16" s="150"/>
      <c r="E16" s="150"/>
      <c r="F16" s="150"/>
      <c r="G16" s="150"/>
      <c r="H16" s="150"/>
      <c r="I16" s="150"/>
      <c r="J16" s="150"/>
      <c r="K16" s="150"/>
      <c r="L16" s="150"/>
      <c r="M16" s="151"/>
    </row>
    <row r="17" ht="24.75" customHeight="1">
      <c r="B17" s="146" t="s">
        <v>196</v>
      </c>
      <c r="C17" s="147"/>
      <c r="D17" s="147"/>
      <c r="E17" s="147"/>
      <c r="F17" s="147"/>
      <c r="G17" s="148"/>
      <c r="H17" s="146" t="s">
        <v>197</v>
      </c>
      <c r="I17" s="147"/>
      <c r="J17" s="147"/>
      <c r="K17" s="147"/>
      <c r="L17" s="147"/>
      <c r="M17" s="148"/>
    </row>
    <row r="18" ht="30" customHeight="1">
      <c r="B18" s="16" t="s">
        <v>198</v>
      </c>
      <c r="C18" s="16" t="s">
        <v>91</v>
      </c>
      <c r="D18" s="16" t="s">
        <v>95</v>
      </c>
      <c r="E18" s="17" t="s">
        <v>96</v>
      </c>
      <c r="F18" s="16" t="s">
        <v>97</v>
      </c>
      <c r="G18" s="18" t="s">
        <v>98</v>
      </c>
      <c r="H18" s="16" t="s">
        <v>198</v>
      </c>
      <c r="I18" s="16" t="s">
        <v>91</v>
      </c>
      <c r="J18" s="16" t="s">
        <v>99</v>
      </c>
      <c r="K18" s="17" t="s">
        <v>100</v>
      </c>
      <c r="L18" s="16" t="s">
        <v>97</v>
      </c>
      <c r="M18" s="16" t="s">
        <v>98</v>
      </c>
      <c r="O18" s="39"/>
    </row>
    <row r="19">
      <c r="B19" s="19" t="s">
        <v>25</v>
      </c>
      <c r="C19" s="20" t="s">
        <v>26</v>
      </c>
      <c r="D19" s="20" t="s">
        <v>27</v>
      </c>
      <c r="E19" s="21" t="s">
        <v>28</v>
      </c>
      <c r="F19" s="20" t="s">
        <v>29</v>
      </c>
      <c r="G19" s="22" t="s">
        <v>30</v>
      </c>
      <c r="H19" s="20" t="s">
        <v>31</v>
      </c>
      <c r="I19" s="20" t="s">
        <v>32</v>
      </c>
      <c r="J19" s="20" t="s">
        <v>33</v>
      </c>
      <c r="K19" s="21" t="s">
        <v>34</v>
      </c>
      <c r="L19" s="20" t="s">
        <v>35</v>
      </c>
      <c r="M19" s="22" t="s">
        <v>36</v>
      </c>
    </row>
    <row r="20" ht="15">
      <c r="B20" s="95">
        <v>45663</v>
      </c>
      <c r="C20" s="96" t="s">
        <v>93</v>
      </c>
      <c r="D20" s="97">
        <v>1195</v>
      </c>
      <c r="E20" s="144" t="str">
        <f>IF(D20=0,"-",F20/D20)</f>
        <v>-</v>
      </c>
      <c r="F20" s="97">
        <v>2085.275</v>
      </c>
      <c r="G20" s="97">
        <v>5</v>
      </c>
      <c r="H20" s="95">
        <v>45663</v>
      </c>
      <c r="I20" s="145" t="s">
        <v>93</v>
      </c>
      <c r="J20" s="97">
        <v>13400</v>
      </c>
      <c r="K20" s="144" t="str">
        <f>IF(J20=0,"-",L20/J20)</f>
        <v>-</v>
      </c>
      <c r="L20" s="97">
        <v>23691.2</v>
      </c>
      <c r="M20" s="97">
        <v>3</v>
      </c>
      <c r="P20" s="39"/>
      <c r="V20" s="39"/>
    </row>
    <row r="21" ht="15">
      <c r="B21" s="95">
        <v>45663</v>
      </c>
      <c r="C21" s="96" t="s">
        <v>92</v>
      </c>
      <c r="D21" s="97">
        <v>0</v>
      </c>
      <c r="E21" s="144" t="str">
        <f ref="E21:E65" t="shared" si="2">IF(D21=0,"-",F21/D21)</f>
        <v>-</v>
      </c>
      <c r="F21" s="97">
        <v>0</v>
      </c>
      <c r="G21" s="97">
        <v>0</v>
      </c>
      <c r="H21" s="95">
        <v>45663</v>
      </c>
      <c r="I21" s="145" t="s">
        <v>92</v>
      </c>
      <c r="J21" s="97">
        <v>12267</v>
      </c>
      <c r="K21" s="144" t="str">
        <f ref="K21:K65" t="shared" si="3">IF(J21=0,"-",L21/J21)</f>
        <v>-</v>
      </c>
      <c r="L21" s="97">
        <v>20884.5675</v>
      </c>
      <c r="M21" s="97">
        <v>3</v>
      </c>
    </row>
    <row r="22" ht="15">
      <c r="B22" s="95">
        <v>45664</v>
      </c>
      <c r="C22" s="96" t="s">
        <v>93</v>
      </c>
      <c r="D22" s="97">
        <v>5803</v>
      </c>
      <c r="E22" s="144" t="str">
        <f t="shared" si="2"/>
        <v>-</v>
      </c>
      <c r="F22" s="97">
        <v>10213.28</v>
      </c>
      <c r="G22" s="97">
        <v>4</v>
      </c>
      <c r="H22" s="95">
        <v>45664</v>
      </c>
      <c r="I22" s="145" t="s">
        <v>93</v>
      </c>
      <c r="J22" s="97">
        <v>20</v>
      </c>
      <c r="K22" s="144" t="str">
        <f t="shared" si="3"/>
        <v>-</v>
      </c>
      <c r="L22" s="97">
        <v>35.64</v>
      </c>
      <c r="M22" s="97">
        <v>1</v>
      </c>
    </row>
    <row r="23" ht="15">
      <c r="B23" s="95">
        <v>45664</v>
      </c>
      <c r="C23" s="96" t="s">
        <v>92</v>
      </c>
      <c r="D23" s="97">
        <v>500</v>
      </c>
      <c r="E23" s="144" t="str">
        <f t="shared" si="2"/>
        <v>-</v>
      </c>
      <c r="F23" s="97">
        <v>850</v>
      </c>
      <c r="G23" s="97">
        <v>1</v>
      </c>
      <c r="H23" s="95">
        <v>45664</v>
      </c>
      <c r="I23" s="145" t="s">
        <v>92</v>
      </c>
      <c r="J23" s="97">
        <v>300</v>
      </c>
      <c r="K23" s="144" t="str">
        <f t="shared" si="3"/>
        <v>-</v>
      </c>
      <c r="L23" s="97">
        <v>510.75</v>
      </c>
      <c r="M23" s="97">
        <v>1</v>
      </c>
    </row>
    <row r="24" ht="15" customHeight="1">
      <c r="B24" s="95">
        <v>45665</v>
      </c>
      <c r="C24" s="96" t="s">
        <v>93</v>
      </c>
      <c r="D24" s="97">
        <v>5300</v>
      </c>
      <c r="E24" s="144" t="str">
        <f t="shared" si="2"/>
        <v>-</v>
      </c>
      <c r="F24" s="97">
        <v>9285.6</v>
      </c>
      <c r="G24" s="97">
        <v>4</v>
      </c>
      <c r="H24" s="95">
        <v>45665</v>
      </c>
      <c r="I24" s="145" t="s">
        <v>93</v>
      </c>
      <c r="J24" s="97">
        <v>0</v>
      </c>
      <c r="K24" s="144" t="str">
        <f t="shared" si="3"/>
        <v>-</v>
      </c>
      <c r="L24" s="97">
        <v>0</v>
      </c>
      <c r="M24" s="97">
        <v>0</v>
      </c>
    </row>
    <row r="25" ht="15">
      <c r="B25" s="95">
        <v>45665</v>
      </c>
      <c r="C25" s="96" t="s">
        <v>92</v>
      </c>
      <c r="D25" s="97">
        <v>270</v>
      </c>
      <c r="E25" s="144" t="str">
        <f t="shared" si="2"/>
        <v>-</v>
      </c>
      <c r="F25" s="97">
        <v>459</v>
      </c>
      <c r="G25" s="97">
        <v>1</v>
      </c>
      <c r="H25" s="95">
        <v>45665</v>
      </c>
      <c r="I25" s="145" t="s">
        <v>92</v>
      </c>
      <c r="J25" s="97">
        <v>950</v>
      </c>
      <c r="K25" s="144" t="str">
        <f t="shared" si="3"/>
        <v>-</v>
      </c>
      <c r="L25" s="97">
        <v>1617.375</v>
      </c>
      <c r="M25" s="97">
        <v>3</v>
      </c>
    </row>
    <row r="26" ht="15">
      <c r="B26" s="95">
        <v>45666</v>
      </c>
      <c r="C26" s="96" t="s">
        <v>93</v>
      </c>
      <c r="D26" s="97">
        <v>20100</v>
      </c>
      <c r="E26" s="144" t="str">
        <f t="shared" si="2"/>
        <v>-</v>
      </c>
      <c r="F26" s="97">
        <v>35114.7</v>
      </c>
      <c r="G26" s="97">
        <v>3</v>
      </c>
      <c r="H26" s="95">
        <v>45666</v>
      </c>
      <c r="I26" s="145" t="s">
        <v>93</v>
      </c>
      <c r="J26" s="97">
        <v>200</v>
      </c>
      <c r="K26" s="144" t="str">
        <f t="shared" si="3"/>
        <v>-</v>
      </c>
      <c r="L26" s="97">
        <v>353.8</v>
      </c>
      <c r="M26" s="97">
        <v>1</v>
      </c>
    </row>
    <row r="27" ht="15">
      <c r="B27" s="95">
        <v>45666</v>
      </c>
      <c r="C27" s="96" t="s">
        <v>92</v>
      </c>
      <c r="D27" s="97">
        <v>0</v>
      </c>
      <c r="E27" s="144" t="str">
        <f t="shared" si="2"/>
        <v>-</v>
      </c>
      <c r="F27" s="97">
        <v>0</v>
      </c>
      <c r="G27" s="97">
        <v>0</v>
      </c>
      <c r="H27" s="95">
        <v>45666</v>
      </c>
      <c r="I27" s="145" t="s">
        <v>92</v>
      </c>
      <c r="J27" s="97">
        <v>9400</v>
      </c>
      <c r="K27" s="144" t="str">
        <f t="shared" si="3"/>
        <v>-</v>
      </c>
      <c r="L27" s="97">
        <v>16003.5</v>
      </c>
      <c r="M27" s="97">
        <v>2</v>
      </c>
    </row>
    <row r="28" ht="15">
      <c r="B28" s="95">
        <v>45667</v>
      </c>
      <c r="C28" s="96" t="s">
        <v>93</v>
      </c>
      <c r="D28" s="97">
        <v>4700</v>
      </c>
      <c r="E28" s="144" t="str">
        <f t="shared" si="2"/>
        <v>-</v>
      </c>
      <c r="F28" s="97">
        <v>8210.9</v>
      </c>
      <c r="G28" s="97">
        <v>3</v>
      </c>
      <c r="H28" s="95">
        <v>45667</v>
      </c>
      <c r="I28" s="145" t="s">
        <v>93</v>
      </c>
      <c r="J28" s="97">
        <v>0</v>
      </c>
      <c r="K28" s="144" t="str">
        <f t="shared" si="3"/>
        <v>-</v>
      </c>
      <c r="L28" s="97">
        <v>0</v>
      </c>
      <c r="M28" s="97">
        <v>0</v>
      </c>
    </row>
    <row r="29" ht="15">
      <c r="B29" s="95">
        <v>45667</v>
      </c>
      <c r="C29" s="96" t="s">
        <v>92</v>
      </c>
      <c r="D29" s="97">
        <v>3603</v>
      </c>
      <c r="E29" s="144" t="str">
        <f t="shared" si="2"/>
        <v>-</v>
      </c>
      <c r="F29" s="97">
        <v>6125.1</v>
      </c>
      <c r="G29" s="97">
        <v>2</v>
      </c>
      <c r="H29" s="95">
        <v>45667</v>
      </c>
      <c r="I29" s="145" t="s">
        <v>92</v>
      </c>
      <c r="J29" s="97">
        <v>2000</v>
      </c>
      <c r="K29" s="144" t="str">
        <f t="shared" si="3"/>
        <v>-</v>
      </c>
      <c r="L29" s="97">
        <v>3405</v>
      </c>
      <c r="M29" s="97">
        <v>1</v>
      </c>
    </row>
    <row r="30" ht="15">
      <c r="B30" s="95">
        <v>45670</v>
      </c>
      <c r="C30" s="96" t="s">
        <v>93</v>
      </c>
      <c r="D30" s="97">
        <v>12825</v>
      </c>
      <c r="E30" s="144" t="str">
        <f t="shared" si="2"/>
        <v>-</v>
      </c>
      <c r="F30" s="97">
        <v>22212.9</v>
      </c>
      <c r="G30" s="97">
        <v>9</v>
      </c>
      <c r="H30" s="95">
        <v>45670</v>
      </c>
      <c r="I30" s="145" t="s">
        <v>93</v>
      </c>
      <c r="J30" s="97">
        <v>280</v>
      </c>
      <c r="K30" s="144" t="str">
        <f t="shared" si="3"/>
        <v>-</v>
      </c>
      <c r="L30" s="97">
        <v>491.12</v>
      </c>
      <c r="M30" s="97">
        <v>1</v>
      </c>
    </row>
    <row r="31" ht="15">
      <c r="B31" s="95">
        <v>45670</v>
      </c>
      <c r="C31" s="96" t="s">
        <v>92</v>
      </c>
      <c r="D31" s="97">
        <v>5300</v>
      </c>
      <c r="E31" s="144" t="str">
        <f t="shared" si="2"/>
        <v>-</v>
      </c>
      <c r="F31" s="97">
        <v>9010</v>
      </c>
      <c r="G31" s="97">
        <v>5</v>
      </c>
      <c r="H31" s="95">
        <v>45670</v>
      </c>
      <c r="I31" s="145" t="s">
        <v>92</v>
      </c>
      <c r="J31" s="97">
        <v>400</v>
      </c>
      <c r="K31" s="144" t="str">
        <f t="shared" si="3"/>
        <v>-</v>
      </c>
      <c r="L31" s="97">
        <v>681</v>
      </c>
      <c r="M31" s="97">
        <v>1</v>
      </c>
    </row>
    <row r="32" ht="15">
      <c r="B32" s="95">
        <v>45671</v>
      </c>
      <c r="C32" s="96" t="s">
        <v>93</v>
      </c>
      <c r="D32" s="97">
        <v>100</v>
      </c>
      <c r="E32" s="144" t="str">
        <f t="shared" si="2"/>
        <v>-</v>
      </c>
      <c r="F32" s="97">
        <v>173.5</v>
      </c>
      <c r="G32" s="97">
        <v>1</v>
      </c>
      <c r="H32" s="95">
        <v>45671</v>
      </c>
      <c r="I32" s="145" t="s">
        <v>93</v>
      </c>
      <c r="J32" s="97">
        <v>0</v>
      </c>
      <c r="K32" s="144" t="str">
        <f t="shared" si="3"/>
        <v>-</v>
      </c>
      <c r="L32" s="97">
        <v>0</v>
      </c>
      <c r="M32" s="97">
        <v>0</v>
      </c>
    </row>
    <row r="33" ht="15">
      <c r="B33" s="95">
        <v>45671</v>
      </c>
      <c r="C33" s="96" t="s">
        <v>92</v>
      </c>
      <c r="D33" s="97">
        <v>600</v>
      </c>
      <c r="E33" s="144" t="str">
        <f t="shared" si="2"/>
        <v>-</v>
      </c>
      <c r="F33" s="97">
        <v>1020</v>
      </c>
      <c r="G33" s="97">
        <v>1</v>
      </c>
      <c r="H33" s="95">
        <v>45671</v>
      </c>
      <c r="I33" s="145" t="s">
        <v>92</v>
      </c>
      <c r="J33" s="97">
        <v>200</v>
      </c>
      <c r="K33" s="144" t="str">
        <f t="shared" si="3"/>
        <v>-</v>
      </c>
      <c r="L33" s="97">
        <v>340.5</v>
      </c>
      <c r="M33" s="97">
        <v>1</v>
      </c>
    </row>
    <row r="34" ht="15">
      <c r="B34" s="95">
        <v>45672</v>
      </c>
      <c r="C34" s="96" t="s">
        <v>93</v>
      </c>
      <c r="D34" s="97">
        <v>6195</v>
      </c>
      <c r="E34" s="144" t="str">
        <f t="shared" si="2"/>
        <v>-</v>
      </c>
      <c r="F34" s="97">
        <v>10810.275</v>
      </c>
      <c r="G34" s="97">
        <v>3</v>
      </c>
      <c r="H34" s="95">
        <v>45672</v>
      </c>
      <c r="I34" s="145" t="s">
        <v>93</v>
      </c>
      <c r="J34" s="97">
        <v>300</v>
      </c>
      <c r="K34" s="144" t="str">
        <f t="shared" si="3"/>
        <v>-</v>
      </c>
      <c r="L34" s="97">
        <v>529.8</v>
      </c>
      <c r="M34" s="97">
        <v>1</v>
      </c>
    </row>
    <row r="35" ht="15">
      <c r="B35" s="95">
        <v>45672</v>
      </c>
      <c r="C35" s="96" t="s">
        <v>92</v>
      </c>
      <c r="D35" s="97">
        <v>11800</v>
      </c>
      <c r="E35" s="144" t="str">
        <f t="shared" si="2"/>
        <v>-</v>
      </c>
      <c r="F35" s="97">
        <v>20060.25</v>
      </c>
      <c r="G35" s="97">
        <v>2</v>
      </c>
      <c r="H35" s="95">
        <v>45672</v>
      </c>
      <c r="I35" s="145" t="s">
        <v>92</v>
      </c>
      <c r="J35" s="97">
        <v>365</v>
      </c>
      <c r="K35" s="144" t="str">
        <f t="shared" si="3"/>
        <v>-</v>
      </c>
      <c r="L35" s="97">
        <v>621.4125</v>
      </c>
      <c r="M35" s="97">
        <v>2</v>
      </c>
    </row>
    <row r="36" ht="15">
      <c r="B36" s="95">
        <v>45673</v>
      </c>
      <c r="C36" s="96" t="s">
        <v>93</v>
      </c>
      <c r="D36" s="97">
        <v>1000</v>
      </c>
      <c r="E36" s="144" t="str">
        <f t="shared" si="2"/>
        <v>-</v>
      </c>
      <c r="F36" s="97">
        <v>1744.2</v>
      </c>
      <c r="G36" s="97">
        <v>3</v>
      </c>
      <c r="H36" s="95">
        <v>45673</v>
      </c>
      <c r="I36" s="145" t="s">
        <v>93</v>
      </c>
      <c r="J36" s="97">
        <v>850</v>
      </c>
      <c r="K36" s="144" t="str">
        <f t="shared" si="3"/>
        <v>-</v>
      </c>
      <c r="L36" s="97">
        <v>1500.25</v>
      </c>
      <c r="M36" s="97">
        <v>2</v>
      </c>
    </row>
    <row r="37" ht="15">
      <c r="B37" s="95">
        <v>45673</v>
      </c>
      <c r="C37" s="96" t="s">
        <v>92</v>
      </c>
      <c r="D37" s="97">
        <v>1300</v>
      </c>
      <c r="E37" s="144" t="str">
        <f t="shared" si="2"/>
        <v>-</v>
      </c>
      <c r="F37" s="97">
        <v>2210</v>
      </c>
      <c r="G37" s="97">
        <v>4</v>
      </c>
      <c r="H37" s="95">
        <v>45673</v>
      </c>
      <c r="I37" s="145" t="s">
        <v>92</v>
      </c>
      <c r="J37" s="97">
        <v>400</v>
      </c>
      <c r="K37" s="144" t="str">
        <f t="shared" si="3"/>
        <v>-</v>
      </c>
      <c r="L37" s="97">
        <v>681</v>
      </c>
      <c r="M37" s="97">
        <v>1</v>
      </c>
    </row>
    <row r="38" ht="15">
      <c r="B38" s="95">
        <v>45674</v>
      </c>
      <c r="C38" s="96" t="s">
        <v>93</v>
      </c>
      <c r="D38" s="97">
        <v>8050</v>
      </c>
      <c r="E38" s="144" t="str">
        <f t="shared" si="2"/>
        <v>-</v>
      </c>
      <c r="F38" s="97">
        <v>14039.2</v>
      </c>
      <c r="G38" s="97">
        <v>6</v>
      </c>
      <c r="H38" s="95">
        <v>45674</v>
      </c>
      <c r="I38" s="145" t="s">
        <v>93</v>
      </c>
      <c r="J38" s="97">
        <v>0</v>
      </c>
      <c r="K38" s="144" t="str">
        <f t="shared" si="3"/>
        <v>-</v>
      </c>
      <c r="L38" s="97">
        <v>0</v>
      </c>
      <c r="M38" s="97">
        <v>0</v>
      </c>
    </row>
    <row r="39" ht="15">
      <c r="B39" s="95">
        <v>45674</v>
      </c>
      <c r="C39" s="96" t="s">
        <v>92</v>
      </c>
      <c r="D39" s="97">
        <v>11200</v>
      </c>
      <c r="E39" s="144" t="str">
        <f t="shared" si="2"/>
        <v>-</v>
      </c>
      <c r="F39" s="97">
        <v>19040</v>
      </c>
      <c r="G39" s="97">
        <v>3</v>
      </c>
      <c r="H39" s="95">
        <v>45674</v>
      </c>
      <c r="I39" s="145" t="s">
        <v>92</v>
      </c>
      <c r="J39" s="97">
        <v>400</v>
      </c>
      <c r="K39" s="144" t="str">
        <f t="shared" si="3"/>
        <v>-</v>
      </c>
      <c r="L39" s="97">
        <v>681</v>
      </c>
      <c r="M39" s="97">
        <v>1</v>
      </c>
    </row>
    <row r="40" ht="15">
      <c r="B40" s="95">
        <v>45678</v>
      </c>
      <c r="C40" s="96" t="s">
        <v>93</v>
      </c>
      <c r="D40" s="97">
        <v>36415</v>
      </c>
      <c r="E40" s="144" t="str">
        <f t="shared" si="2"/>
        <v>-</v>
      </c>
      <c r="F40" s="97">
        <v>64090.4</v>
      </c>
      <c r="G40" s="97">
        <v>18</v>
      </c>
      <c r="H40" s="95">
        <v>45678</v>
      </c>
      <c r="I40" s="145" t="s">
        <v>93</v>
      </c>
      <c r="J40" s="97">
        <v>0</v>
      </c>
      <c r="K40" s="144" t="str">
        <f t="shared" si="3"/>
        <v>-</v>
      </c>
      <c r="L40" s="97">
        <v>0</v>
      </c>
      <c r="M40" s="97">
        <v>0</v>
      </c>
    </row>
    <row r="41" ht="15">
      <c r="B41" s="95">
        <v>45678</v>
      </c>
      <c r="C41" s="96" t="s">
        <v>92</v>
      </c>
      <c r="D41" s="97">
        <v>17650</v>
      </c>
      <c r="E41" s="144" t="str">
        <f t="shared" si="2"/>
        <v>-</v>
      </c>
      <c r="F41" s="97">
        <v>30005</v>
      </c>
      <c r="G41" s="97">
        <v>6</v>
      </c>
      <c r="H41" s="95">
        <v>45678</v>
      </c>
      <c r="I41" s="145" t="s">
        <v>92</v>
      </c>
      <c r="J41" s="97">
        <v>12900</v>
      </c>
      <c r="K41" s="144" t="str">
        <f t="shared" si="3"/>
        <v>-</v>
      </c>
      <c r="L41" s="97">
        <v>21962.25</v>
      </c>
      <c r="M41" s="97">
        <v>3</v>
      </c>
    </row>
    <row r="42" ht="15">
      <c r="B42" s="95">
        <v>45679</v>
      </c>
      <c r="C42" s="96" t="s">
        <v>93</v>
      </c>
      <c r="D42" s="97">
        <v>17900</v>
      </c>
      <c r="E42" s="144" t="str">
        <f t="shared" si="2"/>
        <v>-</v>
      </c>
      <c r="F42" s="97">
        <v>31539.8</v>
      </c>
      <c r="G42" s="97">
        <v>7</v>
      </c>
      <c r="H42" s="95">
        <v>45679</v>
      </c>
      <c r="I42" s="145" t="s">
        <v>93</v>
      </c>
      <c r="J42" s="97">
        <v>0</v>
      </c>
      <c r="K42" s="144" t="str">
        <f t="shared" si="3"/>
        <v>-</v>
      </c>
      <c r="L42" s="97">
        <v>0</v>
      </c>
      <c r="M42" s="97">
        <v>0</v>
      </c>
    </row>
    <row r="43" ht="15">
      <c r="B43" s="95">
        <v>45679</v>
      </c>
      <c r="C43" s="96" t="s">
        <v>92</v>
      </c>
      <c r="D43" s="97">
        <v>25800</v>
      </c>
      <c r="E43" s="144" t="str">
        <f t="shared" si="2"/>
        <v>-</v>
      </c>
      <c r="F43" s="97">
        <v>43860</v>
      </c>
      <c r="G43" s="97">
        <v>6</v>
      </c>
      <c r="H43" s="95">
        <v>45679</v>
      </c>
      <c r="I43" s="145" t="s">
        <v>92</v>
      </c>
      <c r="J43" s="97">
        <v>341</v>
      </c>
      <c r="K43" s="144" t="str">
        <f t="shared" si="3"/>
        <v>-</v>
      </c>
      <c r="L43" s="97">
        <v>580.5525</v>
      </c>
      <c r="M43" s="97">
        <v>2</v>
      </c>
    </row>
    <row r="44" ht="15">
      <c r="B44" s="95">
        <v>45680</v>
      </c>
      <c r="C44" s="96" t="s">
        <v>93</v>
      </c>
      <c r="D44" s="97">
        <v>3150</v>
      </c>
      <c r="E44" s="144" t="str">
        <f t="shared" si="2"/>
        <v>-</v>
      </c>
      <c r="F44" s="97">
        <v>5544</v>
      </c>
      <c r="G44" s="97">
        <v>3</v>
      </c>
      <c r="H44" s="95">
        <v>45680</v>
      </c>
      <c r="I44" s="145" t="s">
        <v>93</v>
      </c>
      <c r="J44" s="97">
        <v>0</v>
      </c>
      <c r="K44" s="144" t="str">
        <f t="shared" si="3"/>
        <v>-</v>
      </c>
      <c r="L44" s="97">
        <v>0</v>
      </c>
      <c r="M44" s="97">
        <v>0</v>
      </c>
    </row>
    <row r="45" ht="15">
      <c r="B45" s="95">
        <v>45680</v>
      </c>
      <c r="C45" s="96" t="s">
        <v>92</v>
      </c>
      <c r="D45" s="97">
        <v>3278</v>
      </c>
      <c r="E45" s="144" t="str">
        <f t="shared" si="2"/>
        <v>-</v>
      </c>
      <c r="F45" s="97">
        <v>5572.6</v>
      </c>
      <c r="G45" s="97">
        <v>3</v>
      </c>
      <c r="H45" s="95">
        <v>45680</v>
      </c>
      <c r="I45" s="145" t="s">
        <v>92</v>
      </c>
      <c r="J45" s="97">
        <v>10000</v>
      </c>
      <c r="K45" s="144" t="str">
        <f t="shared" si="3"/>
        <v>-</v>
      </c>
      <c r="L45" s="97">
        <v>17025</v>
      </c>
      <c r="M45" s="97">
        <v>1</v>
      </c>
    </row>
    <row r="46" ht="15">
      <c r="B46" s="95">
        <v>45681</v>
      </c>
      <c r="C46" s="96" t="s">
        <v>93</v>
      </c>
      <c r="D46" s="97">
        <v>14700</v>
      </c>
      <c r="E46" s="144" t="str">
        <f t="shared" si="2"/>
        <v>-</v>
      </c>
      <c r="F46" s="97">
        <v>26019</v>
      </c>
      <c r="G46" s="97">
        <v>3</v>
      </c>
      <c r="H46" s="95">
        <v>45681</v>
      </c>
      <c r="I46" s="145" t="s">
        <v>93</v>
      </c>
      <c r="J46" s="97">
        <v>22539</v>
      </c>
      <c r="K46" s="144" t="str">
        <f t="shared" si="3"/>
        <v>-</v>
      </c>
      <c r="L46" s="97">
        <v>40367.349</v>
      </c>
      <c r="M46" s="97">
        <v>4</v>
      </c>
    </row>
    <row r="47" ht="15">
      <c r="B47" s="95">
        <v>45681</v>
      </c>
      <c r="C47" s="96" t="s">
        <v>92</v>
      </c>
      <c r="D47" s="97">
        <v>25330</v>
      </c>
      <c r="E47" s="144" t="str">
        <f t="shared" si="2"/>
        <v>-</v>
      </c>
      <c r="F47" s="97">
        <v>43061</v>
      </c>
      <c r="G47" s="97">
        <v>10</v>
      </c>
      <c r="H47" s="95">
        <v>45681</v>
      </c>
      <c r="I47" s="145" t="s">
        <v>92</v>
      </c>
      <c r="J47" s="97">
        <v>700</v>
      </c>
      <c r="K47" s="144" t="str">
        <f t="shared" si="3"/>
        <v>-</v>
      </c>
      <c r="L47" s="97">
        <v>1191.75</v>
      </c>
      <c r="M47" s="97">
        <v>2</v>
      </c>
    </row>
    <row r="48" ht="15">
      <c r="B48" s="95">
        <v>45684</v>
      </c>
      <c r="C48" s="96" t="s">
        <v>93</v>
      </c>
      <c r="D48" s="97">
        <v>20945</v>
      </c>
      <c r="E48" s="144" t="str">
        <f t="shared" si="2"/>
        <v>-</v>
      </c>
      <c r="F48" s="97">
        <v>37072.65</v>
      </c>
      <c r="G48" s="97">
        <v>12</v>
      </c>
      <c r="H48" s="95">
        <v>45684</v>
      </c>
      <c r="I48" s="145" t="s">
        <v>93</v>
      </c>
      <c r="J48" s="97">
        <v>0</v>
      </c>
      <c r="K48" s="144" t="str">
        <f t="shared" si="3"/>
        <v>-</v>
      </c>
      <c r="L48" s="97">
        <v>0</v>
      </c>
      <c r="M48" s="97">
        <v>0</v>
      </c>
    </row>
    <row r="49" ht="15">
      <c r="B49" s="95">
        <v>45684</v>
      </c>
      <c r="C49" s="96" t="s">
        <v>92</v>
      </c>
      <c r="D49" s="97">
        <v>2700</v>
      </c>
      <c r="E49" s="144" t="str">
        <f t="shared" si="2"/>
        <v>-</v>
      </c>
      <c r="F49" s="97">
        <v>4590</v>
      </c>
      <c r="G49" s="97">
        <v>4</v>
      </c>
      <c r="H49" s="95">
        <v>45684</v>
      </c>
      <c r="I49" s="145" t="s">
        <v>92</v>
      </c>
      <c r="J49" s="97">
        <v>9600</v>
      </c>
      <c r="K49" s="144" t="str">
        <f t="shared" si="3"/>
        <v>-</v>
      </c>
      <c r="L49" s="97">
        <v>16344</v>
      </c>
      <c r="M49" s="97">
        <v>3</v>
      </c>
    </row>
    <row r="50" ht="15">
      <c r="B50" s="95">
        <v>45685</v>
      </c>
      <c r="C50" s="96" t="s">
        <v>93</v>
      </c>
      <c r="D50" s="97">
        <v>800</v>
      </c>
      <c r="E50" s="144" t="str">
        <f t="shared" si="2"/>
        <v>-</v>
      </c>
      <c r="F50" s="97">
        <v>1412</v>
      </c>
      <c r="G50" s="97">
        <v>2</v>
      </c>
      <c r="H50" s="95">
        <v>45685</v>
      </c>
      <c r="I50" s="145" t="s">
        <v>93</v>
      </c>
      <c r="J50" s="97">
        <v>0</v>
      </c>
      <c r="K50" s="144" t="str">
        <f t="shared" si="3"/>
        <v>-</v>
      </c>
      <c r="L50" s="97">
        <v>0</v>
      </c>
      <c r="M50" s="97">
        <v>0</v>
      </c>
    </row>
    <row r="51" ht="15">
      <c r="B51" s="95">
        <v>45685</v>
      </c>
      <c r="C51" s="96" t="s">
        <v>92</v>
      </c>
      <c r="D51" s="97">
        <v>17990</v>
      </c>
      <c r="E51" s="144" t="str">
        <f t="shared" si="2"/>
        <v>-</v>
      </c>
      <c r="F51" s="97">
        <v>30583</v>
      </c>
      <c r="G51" s="97">
        <v>5</v>
      </c>
      <c r="H51" s="95">
        <v>45685</v>
      </c>
      <c r="I51" s="145" t="s">
        <v>92</v>
      </c>
      <c r="J51" s="97">
        <v>0</v>
      </c>
      <c r="K51" s="144" t="str">
        <f t="shared" si="3"/>
        <v>-</v>
      </c>
      <c r="L51" s="97">
        <v>0</v>
      </c>
      <c r="M51" s="97">
        <v>0</v>
      </c>
    </row>
    <row r="52" ht="15">
      <c r="B52" s="95">
        <v>45687</v>
      </c>
      <c r="C52" s="96" t="s">
        <v>93</v>
      </c>
      <c r="D52" s="97">
        <v>8025</v>
      </c>
      <c r="E52" s="144" t="str">
        <f t="shared" si="2"/>
        <v>-</v>
      </c>
      <c r="F52" s="97">
        <v>14140.05</v>
      </c>
      <c r="G52" s="97">
        <v>11</v>
      </c>
      <c r="H52" s="95">
        <v>45687</v>
      </c>
      <c r="I52" s="145" t="s">
        <v>93</v>
      </c>
      <c r="J52" s="97">
        <v>0</v>
      </c>
      <c r="K52" s="144" t="str">
        <f t="shared" si="3"/>
        <v>-</v>
      </c>
      <c r="L52" s="97">
        <v>0</v>
      </c>
      <c r="M52" s="97">
        <v>0</v>
      </c>
    </row>
    <row r="53" ht="15">
      <c r="B53" s="95">
        <v>45687</v>
      </c>
      <c r="C53" s="96" t="s">
        <v>92</v>
      </c>
      <c r="D53" s="97">
        <v>2850</v>
      </c>
      <c r="E53" s="144" t="str">
        <f t="shared" si="2"/>
        <v>-</v>
      </c>
      <c r="F53" s="97">
        <v>4845</v>
      </c>
      <c r="G53" s="97">
        <v>5</v>
      </c>
      <c r="H53" s="95">
        <v>45687</v>
      </c>
      <c r="I53" s="145" t="s">
        <v>92</v>
      </c>
      <c r="J53" s="97">
        <v>300</v>
      </c>
      <c r="K53" s="144" t="str">
        <f t="shared" si="3"/>
        <v>-</v>
      </c>
      <c r="L53" s="97">
        <v>510.75</v>
      </c>
      <c r="M53" s="97">
        <v>1</v>
      </c>
    </row>
    <row r="54" ht="15">
      <c r="B54" s="95">
        <v>45688</v>
      </c>
      <c r="C54" s="96" t="s">
        <v>93</v>
      </c>
      <c r="D54" s="97">
        <v>13000</v>
      </c>
      <c r="E54" s="144" t="str">
        <f t="shared" si="2"/>
        <v>-</v>
      </c>
      <c r="F54" s="97">
        <v>22841</v>
      </c>
      <c r="G54" s="97">
        <v>7</v>
      </c>
      <c r="H54" s="95">
        <v>45688</v>
      </c>
      <c r="I54" s="145" t="s">
        <v>93</v>
      </c>
      <c r="J54" s="97">
        <v>0</v>
      </c>
      <c r="K54" s="144" t="str">
        <f t="shared" si="3"/>
        <v>-</v>
      </c>
      <c r="L54" s="97">
        <v>0</v>
      </c>
      <c r="M54" s="97">
        <v>0</v>
      </c>
    </row>
    <row r="55" ht="15">
      <c r="B55" s="95">
        <v>45688</v>
      </c>
      <c r="C55" s="96" t="s">
        <v>92</v>
      </c>
      <c r="D55" s="97">
        <v>6826</v>
      </c>
      <c r="E55" s="144" t="str">
        <f t="shared" si="2"/>
        <v>-</v>
      </c>
      <c r="F55" s="97">
        <v>11604.2</v>
      </c>
      <c r="G55" s="97">
        <v>4</v>
      </c>
      <c r="H55" s="95">
        <v>45688</v>
      </c>
      <c r="I55" s="145" t="s">
        <v>92</v>
      </c>
      <c r="J55" s="97">
        <v>400</v>
      </c>
      <c r="K55" s="144" t="str">
        <f t="shared" si="3"/>
        <v>-</v>
      </c>
      <c r="L55" s="97">
        <v>681</v>
      </c>
      <c r="M55" s="97">
        <v>1</v>
      </c>
    </row>
    <row r="56" ht="15">
      <c r="B56" s="95"/>
      <c r="C56" s="96"/>
      <c r="D56" s="97"/>
      <c r="E56" s="144" t="str">
        <f t="shared" si="2"/>
        <v>-</v>
      </c>
      <c r="F56" s="97"/>
      <c r="G56" s="97"/>
      <c r="H56" s="95"/>
      <c r="I56" s="145"/>
      <c r="J56" s="97"/>
      <c r="K56" s="144" t="str">
        <f t="shared" si="3"/>
        <v>-</v>
      </c>
      <c r="L56" s="97"/>
      <c r="M56" s="97"/>
    </row>
    <row r="57" ht="15">
      <c r="B57" s="95"/>
      <c r="C57" s="96"/>
      <c r="D57" s="97"/>
      <c r="E57" s="144" t="str">
        <f t="shared" si="2"/>
        <v>-</v>
      </c>
      <c r="F57" s="97"/>
      <c r="G57" s="97"/>
      <c r="H57" s="95"/>
      <c r="I57" s="145"/>
      <c r="J57" s="97"/>
      <c r="K57" s="144" t="str">
        <f t="shared" si="3"/>
        <v>-</v>
      </c>
      <c r="L57" s="97"/>
      <c r="M57" s="97"/>
    </row>
    <row r="58" ht="15">
      <c r="B58" s="95"/>
      <c r="C58" s="96"/>
      <c r="D58" s="97"/>
      <c r="E58" s="144" t="str">
        <f t="shared" si="2"/>
        <v>-</v>
      </c>
      <c r="F58" s="97"/>
      <c r="G58" s="97"/>
      <c r="H58" s="95"/>
      <c r="I58" s="145"/>
      <c r="J58" s="97"/>
      <c r="K58" s="144" t="str">
        <f t="shared" si="3"/>
        <v>-</v>
      </c>
      <c r="L58" s="97"/>
      <c r="M58" s="97"/>
    </row>
    <row r="59" ht="15">
      <c r="B59" s="95"/>
      <c r="C59" s="96"/>
      <c r="D59" s="97"/>
      <c r="E59" s="144" t="str">
        <f t="shared" si="2"/>
        <v>-</v>
      </c>
      <c r="F59" s="97"/>
      <c r="G59" s="97"/>
      <c r="H59" s="95"/>
      <c r="I59" s="145"/>
      <c r="J59" s="97"/>
      <c r="K59" s="144" t="str">
        <f t="shared" si="3"/>
        <v>-</v>
      </c>
      <c r="L59" s="97"/>
      <c r="M59" s="97"/>
    </row>
    <row r="60" ht="15">
      <c r="B60" s="95"/>
      <c r="C60" s="96"/>
      <c r="D60" s="97"/>
      <c r="E60" s="144" t="str">
        <f t="shared" si="2"/>
        <v>-</v>
      </c>
      <c r="F60" s="97"/>
      <c r="G60" s="97"/>
      <c r="H60" s="95"/>
      <c r="I60" s="145"/>
      <c r="J60" s="97"/>
      <c r="K60" s="144" t="str">
        <f t="shared" si="3"/>
        <v>-</v>
      </c>
      <c r="L60" s="97"/>
      <c r="M60" s="97"/>
    </row>
    <row r="61" ht="15">
      <c r="B61" s="95"/>
      <c r="C61" s="96"/>
      <c r="D61" s="97"/>
      <c r="E61" s="144" t="str">
        <f t="shared" si="2"/>
        <v>-</v>
      </c>
      <c r="F61" s="97"/>
      <c r="G61" s="97"/>
      <c r="H61" s="95"/>
      <c r="I61" s="145"/>
      <c r="J61" s="97"/>
      <c r="K61" s="144" t="str">
        <f t="shared" si="3"/>
        <v>-</v>
      </c>
      <c r="L61" s="97"/>
      <c r="M61" s="97"/>
    </row>
    <row r="62" ht="15">
      <c r="B62" s="95"/>
      <c r="C62" s="96"/>
      <c r="D62" s="97"/>
      <c r="E62" s="144" t="str">
        <f t="shared" si="2"/>
        <v>-</v>
      </c>
      <c r="F62" s="97"/>
      <c r="G62" s="97"/>
      <c r="H62" s="95"/>
      <c r="I62" s="145"/>
      <c r="J62" s="97"/>
      <c r="K62" s="144" t="str">
        <f t="shared" si="3"/>
        <v>-</v>
      </c>
      <c r="L62" s="97"/>
      <c r="M62" s="97"/>
    </row>
    <row r="63" ht="15">
      <c r="B63" s="95"/>
      <c r="C63" s="96"/>
      <c r="D63" s="97"/>
      <c r="E63" s="144" t="str">
        <f t="shared" si="2"/>
        <v>-</v>
      </c>
      <c r="F63" s="97"/>
      <c r="G63" s="97"/>
      <c r="H63" s="95"/>
      <c r="I63" s="145"/>
      <c r="J63" s="97"/>
      <c r="K63" s="144" t="str">
        <f t="shared" si="3"/>
        <v>-</v>
      </c>
      <c r="L63" s="97"/>
      <c r="M63" s="97"/>
    </row>
    <row r="64" ht="15">
      <c r="B64" s="95"/>
      <c r="C64" s="96"/>
      <c r="D64" s="97"/>
      <c r="E64" s="144" t="str">
        <f t="shared" si="2"/>
        <v>-</v>
      </c>
      <c r="F64" s="97"/>
      <c r="G64" s="97"/>
      <c r="H64" s="95"/>
      <c r="I64" s="145"/>
      <c r="J64" s="97"/>
      <c r="K64" s="144" t="str">
        <f t="shared" si="3"/>
        <v>-</v>
      </c>
      <c r="L64" s="97"/>
      <c r="M64" s="97"/>
    </row>
    <row r="65" ht="15">
      <c r="B65" s="95"/>
      <c r="C65" s="96"/>
      <c r="D65" s="97"/>
      <c r="E65" s="144" t="str">
        <f t="shared" si="2"/>
        <v>-</v>
      </c>
      <c r="F65" s="97"/>
      <c r="G65" s="97"/>
      <c r="H65" s="95"/>
      <c r="I65" s="145"/>
      <c r="J65" s="97"/>
      <c r="K65" s="144" t="str">
        <f t="shared" si="3"/>
        <v>-</v>
      </c>
      <c r="L65" s="97"/>
      <c r="M65" s="97"/>
    </row>
    <row r="66" ht="15">
      <c r="B66" s="23"/>
      <c r="C66" s="24"/>
      <c r="D66" s="24"/>
      <c r="E66" s="24"/>
      <c r="F66" s="24"/>
      <c r="G66" s="25" t="s">
        <v>199</v>
      </c>
      <c r="H66" s="26" t="s">
        <v>200</v>
      </c>
      <c r="I66" s="24"/>
      <c r="J66" s="24"/>
      <c r="K66" s="24"/>
      <c r="L66" s="24"/>
      <c r="M66" s="27"/>
    </row>
    <row r="67" ht="14.25">
      <c r="B67" s="136"/>
      <c r="C67" s="137"/>
      <c r="D67" s="138"/>
      <c r="E67" s="139"/>
      <c r="F67" s="140"/>
      <c r="G67" s="141"/>
      <c r="H67" s="137"/>
      <c r="I67" s="137"/>
      <c r="J67" s="142"/>
      <c r="K67" s="139"/>
      <c r="L67" s="142"/>
      <c r="M67" s="143"/>
    </row>
  </sheetData>
  <sheetProtection algorithmName="SHA-512" hashValue="LVAFk3M37RsBQwBSQ7S69EYGao6OTAbLlCW3TmCRkpUWa7CEElf5Rh6HukSQhcVBnz54mPFz+dzjMz7CHjKnYg==" saltValue="jWYnADHM002xY5jyq/K9hQ==" spinCount="100000" sheet="1" objects="1" scenarios="1" selectLockedCells="1"/>
  <dataConsolidate/>
  <mergeCells>
    <mergeCell ref="B17:G17"/>
    <mergeCell ref="B16:M16"/>
    <mergeCell ref="B15:M15"/>
    <mergeCell ref="H17:M17"/>
    <mergeCell ref="I4:J4"/>
    <mergeCell ref="C12:L12"/>
    <mergeCell ref="C13:L13"/>
    <mergeCell ref="G5:L5"/>
    <mergeCell ref="G6:L6"/>
    <mergeCell ref="G7:L7"/>
    <mergeCell ref="G8:L8"/>
    <mergeCell ref="D11:J11"/>
    <mergeCell ref="D10:J10"/>
  </mergeCells>
  <conditionalFormatting sqref="B20:B65 H20:H65">
    <cfRule type="expression" dxfId="62" priority="82">
      <formula>IF(NOT(ISBLANK(B20)), OR(MONTH(B20)&lt;&gt;MONTH(selectDate),YEAR(B20)&lt;&gt;YEAR(selectDate)),FALSE)</formula>
    </cfRule>
  </conditionalFormatting>
  <dataValidations count="10">
    <dataValidation type="date" allowBlank="1" showInputMessage="1" showErrorMessage="1" sqref="B64636:B64691" xr:uid="{9B6815FA-7C73-4A48-ADB5-B78462B802EC}">
      <formula1>36526</formula1>
      <formula2>73051</formula2>
    </dataValidation>
    <dataValidation type="custom" allowBlank="1" showInputMessage="1" showErrorMessage="1" error="&quot;-&quot;  işarəsi qəbul edilmir və vergüldən sonra 2 rəqəm yazıla bilər!" sqref="D20:D65 L20:L65" xr:uid="{9697D089-B335-4782-9AB0-6F81D739586D}">
      <formula1>IF(AND(  INT(D20)=D20,D20&gt;=0),TRUE,IF(LEN(RIGHT(D20,LEN(D20)-FIND(".",D20)))&lt;=2,TRUE,FALSE))</formula1>
    </dataValidation>
    <dataValidation type="list" allowBlank="1" showInputMessage="1" showErrorMessage="1" sqref="C20:C65 I20:I65" xr:uid="{9811FBE6-D962-464F-B2CE-5EC0E3D7490D}">
      <formula1>CurrencyList</formula1>
    </dataValidation>
    <dataValidation type="list" allowBlank="1" showInputMessage="1" showErrorMessage="1" sqref="D10:J10" xr:uid="{631BB66E-F9BE-4FCC-8B61-0FDA664DEE7B}">
      <formula1>BankList</formula1>
    </dataValidation>
    <dataValidation type="date" allowBlank="1" showInputMessage="1" showErrorMessage="1" sqref="P20" xr:uid="{28B8E79F-DCA5-4D76-B0DA-8D5A9A2F06D7}">
      <formula1>selectDate</formula1>
      <formula2>EndDate</formula2>
    </dataValidation>
    <dataValidation type="date" allowBlank="1" showInputMessage="1" error="Tarix yalniz &quot;Hesabat Dövrü&quot; aralığında ola biler!" prompt="Tarix &quot;Hesabat Dövrü&quot; aralığında və _x000a_&quot;gün.ay.il&quot;, &quot;gün/ay/il&quot;, &quot;gün\ay\il&quot;, &quot;gün-ay-il&quot;_x000a_formatlarından birində daxil edilməlidir!" sqref="B20:B65 H20:H65" xr:uid="{CFBD705A-7077-4F69-A040-23734F549637}">
      <formula1>selectDate</formula1>
      <formula2>EndDate</formula2>
    </dataValidation>
    <dataValidation type="custom" allowBlank="1" showInputMessage="1" showErrorMessage="1" error="&quot;-&quot;  işarəsi qəbul edilmir və vergüldən sonra rəqəm yazmaq olmaz! " sqref="G20:G65" xr:uid="{3CEAEBF0-1406-41E2-B2A9-9FC5C00E464A}">
      <formula1>IF( AND(  INT(G20)=G20,G20&gt;=0),TRUE,IF(LEN(RIGHT(G20,LEN(G20)-FIND(".",G20)))&lt;=0,TRUE,FALSE))</formula1>
    </dataValidation>
    <dataValidation type="custom" allowBlank="1" showInputMessage="1" showErrorMessage="1" error="&quot;-&quot;  işarəsi qəbul edilmir və vergüldən sonra rəqəm yazmaq olmaz! " sqref="F20:F65" xr:uid="{2903D7C2-1F8A-4094-B5E0-E91A76025B2B}">
      <formula1>IF(AND(  INT(F20)=F20,F20&gt;=0),TRUE,IF(LEN(RIGHT(F20,LEN(F20)-FIND(".",F20)))&lt;=2,TRUE,FALSE))</formula1>
    </dataValidation>
    <dataValidation type="custom" allowBlank="1" showInputMessage="1" showErrorMessage="1" error="&quot;-&quot;  işarəsi qəbul edilmir və vergüldən sonra rəqəm yazmaq olmaz!" sqref="M20:M65" xr:uid="{686B59DF-D0D9-4E1D-A0AA-E38A3F1D1509}">
      <formula1>IF( AND(  INT(M20)=M20,M20&gt;=0),TRUE,IF(LEN(RIGHT(M20,LEN(M20)-FIND(".",M20)))&lt;=0,TRUE,FALSE))</formula1>
    </dataValidation>
    <dataValidation type="custom" allowBlank="1" showInputMessage="1" showErrorMessage="1" error="&quot;-&quot;  işarəsi qəbul edilmir və vergüldən sonra 2 rəqəm yazıla bilər!" sqref="J20:J65" xr:uid="{7475FDBB-45D3-4279-9A0F-0A7DD7323EE3}">
      <formula1>IF( AND(  INT(J20)=J20,J20&gt;=0),TRUE,IF(LEN(RIGHT(J20,LEN(J20)-FIND(".",J20)))&lt;=2,TRUE,FALSE))</formula1>
    </dataValidation>
  </dataValidations>
  <pageMargins left="0.25" right="0.25" top="0.75" bottom="0.75" header="0.3" footer="0.3"/>
  <pageSetup paperSize="9" scale="70" orientation="landscape" horizontalDpi="4294967295" verticalDpi="4294967295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8" r:id="rId4" name="Button 22">
              <controlPr defaultSize="0" print="0" autoFill="0" autoPict="0" macro="[0]!btnCalculate_Click">
                <anchor moveWithCells="1" sizeWithCells="1">
                  <from>
                    <xdr:col>5</xdr:col>
                    <xdr:colOff>923925</xdr:colOff>
                    <xdr:row>15</xdr:row>
                    <xdr:rowOff>38100</xdr:rowOff>
                  </from>
                  <to>
                    <xdr:col>8</xdr:col>
                    <xdr:colOff>76200</xdr:colOff>
                    <xdr:row>15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5" name="Button 23">
              <controlPr defaultSize="0" print="0" autoFill="0" autoPict="0" macro="[0]!btnDeleteSelectedRow_Click">
                <anchor moveWithCells="1" sizeWithCells="1">
                  <from>
                    <xdr:col>8</xdr:col>
                    <xdr:colOff>333375</xdr:colOff>
                    <xdr:row>15</xdr:row>
                    <xdr:rowOff>38100</xdr:rowOff>
                  </from>
                  <to>
                    <xdr:col>9</xdr:col>
                    <xdr:colOff>666750</xdr:colOff>
                    <xdr:row>15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6" name="Button 24">
              <controlPr defaultSize="0" print="0" autoFill="0" autoPict="0" macro="[0]!btnAddNewRowNXVS1_Click">
                <anchor moveWithCells="1" sizeWithCells="1">
                  <from>
                    <xdr:col>4</xdr:col>
                    <xdr:colOff>323850</xdr:colOff>
                    <xdr:row>15</xdr:row>
                    <xdr:rowOff>38100</xdr:rowOff>
                  </from>
                  <to>
                    <xdr:col>5</xdr:col>
                    <xdr:colOff>666750</xdr:colOff>
                    <xdr:row>15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7" name="Button 80">
              <controlPr defaultSize="0" print="0" autoFill="0" autoPict="0" macro="[0]!btnPeriod_Click">
                <anchor moveWithCells="1">
                  <from>
                    <xdr:col>10</xdr:col>
                    <xdr:colOff>19050</xdr:colOff>
                    <xdr:row>9</xdr:row>
                    <xdr:rowOff>133350</xdr:rowOff>
                  </from>
                  <to>
                    <xdr:col>11</xdr:col>
                    <xdr:colOff>209550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5"/>
  <dimension ref="A2:X111"/>
  <sheetViews>
    <sheetView topLeftCell="A13" zoomScale="115" zoomScaleNormal="115" workbookViewId="0">
      <pane xSplit="5" topLeftCell="I1" activePane="topRight" state="frozen"/>
      <selection activeCell="A6" sqref="A6"/>
      <selection pane="topRight" activeCell="N24" sqref="N24"/>
    </sheetView>
  </sheetViews>
  <sheetFormatPr defaultColWidth="10.7109375" defaultRowHeight="15" x14ac:dyDescent="0.25"/>
  <cols>
    <col min="2" max="2" width="10.28515625" customWidth="1"/>
    <col min="3" max="3" width="30.42578125" customWidth="1"/>
    <col min="5" max="5" hidden="1" width="6.28515625" customWidth="1"/>
    <col min="6" max="6" width="22" customWidth="1"/>
    <col min="7" max="7" width="16.42578125" customWidth="1"/>
    <col min="8" max="8" width="24" customWidth="1"/>
    <col min="9" max="9" width="19.85546875" customWidth="1"/>
    <col min="10" max="10" hidden="1" width="6.28515625" customWidth="1"/>
    <col min="11" max="11" width="23.28515625" customWidth="1"/>
    <col min="12" max="12" width="17.42578125" customWidth="1"/>
    <col min="13" max="13" width="25.28515625" customWidth="1"/>
    <col min="14" max="14" width="18.7109375" customWidth="1"/>
    <col min="15" max="15" hidden="1" width="9" customWidth="1"/>
    <col min="16" max="16" width="22" customWidth="1"/>
    <col min="17" max="17" width="16.42578125" customWidth="1"/>
    <col min="18" max="18" width="24" customWidth="1"/>
    <col min="19" max="19" width="19.85546875" customWidth="1"/>
    <col min="20" max="20" hidden="1" width="9" customWidth="1"/>
    <col min="21" max="21" width="22" customWidth="1"/>
    <col min="22" max="22" width="16.42578125" customWidth="1"/>
    <col min="23" max="23" width="24" customWidth="1"/>
    <col min="24" max="24" width="19.85546875" customWidth="1"/>
    <col min="25" max="25" hidden="1" width="0" customWidth="1"/>
    <col min="26" max="26" width="22" customWidth="1"/>
    <col min="27" max="27" width="16.42578125" customWidth="1"/>
    <col min="28" max="28" width="24" customWidth="1"/>
    <col min="29" max="29" width="19.85546875" customWidth="1"/>
    <col min="30" max="30" hidden="1" width="0" customWidth="1"/>
    <col min="31" max="31" width="22" customWidth="1"/>
    <col min="32" max="32" width="16.42578125" customWidth="1"/>
    <col min="33" max="33" width="24" customWidth="1"/>
    <col min="34" max="34" width="19.85546875" customWidth="1"/>
    <col min="35" max="35" hidden="1" width="0" customWidth="1"/>
    <col min="36" max="36" width="22" customWidth="1"/>
    <col min="37" max="37" width="16.42578125" customWidth="1"/>
    <col min="38" max="38" width="24" customWidth="1"/>
    <col min="39" max="39" width="19.85546875" customWidth="1"/>
    <col min="40" max="40" hidden="1" width="0" customWidth="1"/>
    <col min="41" max="41" width="22" customWidth="1"/>
    <col min="42" max="42" width="16.42578125" customWidth="1"/>
    <col min="43" max="43" width="24" customWidth="1"/>
    <col min="44" max="44" width="19.85546875" customWidth="1"/>
    <col min="45" max="45" hidden="1" width="0" customWidth="1"/>
    <col min="46" max="46" width="22" customWidth="1"/>
    <col min="47" max="47" width="16.42578125" customWidth="1"/>
    <col min="48" max="48" width="24" customWidth="1"/>
    <col min="49" max="49" width="19.85546875" customWidth="1"/>
    <col min="50" max="50" hidden="1" width="0" customWidth="1"/>
    <col min="51" max="51" width="22" customWidth="1"/>
    <col min="52" max="52" width="16.42578125" customWidth="1"/>
    <col min="53" max="53" width="24" customWidth="1"/>
    <col min="54" max="54" width="19.85546875" customWidth="1"/>
  </cols>
  <sheetData>
    <row r="1" ht="12.75" s="2" customFormat="1"/>
    <row r="2" s="2" customFormat="1">
      <c r="B2" s="7" t="s">
        <v>80</v>
      </c>
      <c r="F2" s="8"/>
      <c r="H2" s="9"/>
      <c r="J2" s="8"/>
      <c r="K2" s="8"/>
      <c r="L2" s="8"/>
    </row>
    <row r="3" s="2" customFormat="1">
      <c r="B3" s="2" t="s">
        <v>81</v>
      </c>
      <c r="F3" s="8"/>
      <c r="H3" s="9"/>
      <c r="J3" s="8"/>
      <c r="K3" s="8"/>
      <c r="L3" s="8"/>
    </row>
    <row r="4" s="2" customFormat="1">
      <c r="C4" s="8"/>
      <c r="D4" s="2" t="s">
        <v>2</v>
      </c>
      <c r="E4" s="8" t="s">
        <v>82</v>
      </c>
      <c r="G4" s="8"/>
      <c r="H4" s="8"/>
      <c r="I4" s="7" t="s">
        <v>83</v>
      </c>
      <c r="J4" s="7"/>
    </row>
    <row r="5" s="2" customFormat="1">
      <c r="B5" s="8"/>
      <c r="C5" s="45"/>
      <c r="D5" s="11"/>
      <c r="E5" s="11"/>
      <c r="F5" s="11"/>
      <c r="G5" s="156" t="s">
        <v>84</v>
      </c>
      <c r="H5" s="156"/>
      <c r="I5" s="156"/>
      <c r="J5" s="156"/>
      <c r="K5" s="156"/>
      <c r="L5" s="156"/>
    </row>
    <row r="6" s="2" customFormat="1">
      <c r="B6" s="8"/>
      <c r="C6" s="45"/>
      <c r="D6" s="11"/>
      <c r="E6" s="11"/>
      <c r="F6" s="11"/>
      <c r="G6" s="156" t="s">
        <v>5</v>
      </c>
      <c r="H6" s="156"/>
      <c r="I6" s="156"/>
      <c r="J6" s="156"/>
      <c r="K6" s="156"/>
      <c r="L6" s="156"/>
    </row>
    <row r="7" s="2" customFormat="1">
      <c r="B7" s="8"/>
      <c r="C7" s="45"/>
      <c r="D7" s="12"/>
      <c r="E7" s="12"/>
      <c r="F7" s="12"/>
      <c r="G7" s="157" t="s">
        <v>6</v>
      </c>
      <c r="H7" s="157"/>
      <c r="I7" s="157"/>
      <c r="J7" s="157"/>
      <c r="K7" s="157"/>
      <c r="L7" s="157"/>
    </row>
    <row r="8" s="2" customFormat="1">
      <c r="B8" s="8"/>
      <c r="C8" s="12"/>
      <c r="D8" s="12"/>
      <c r="E8" s="12"/>
      <c r="F8" s="12"/>
      <c r="G8" s="157" t="s">
        <v>85</v>
      </c>
      <c r="H8" s="157"/>
      <c r="I8" s="157"/>
      <c r="J8" s="157"/>
      <c r="K8" s="157"/>
      <c r="L8" s="157"/>
    </row>
    <row r="9" s="2" customFormat="1">
      <c r="B9" s="8"/>
      <c r="C9" s="8"/>
      <c r="D9" s="8"/>
      <c r="E9" s="8"/>
      <c r="F9" s="8"/>
      <c r="G9" s="8"/>
      <c r="H9" s="8"/>
      <c r="I9" s="8"/>
      <c r="J9" s="8"/>
      <c r="K9" s="8"/>
      <c r="L9" s="8"/>
    </row>
    <row r="10" s="2" customFormat="1">
      <c r="B10" s="8"/>
      <c r="C10" s="46" t="s">
        <v>9</v>
      </c>
      <c r="D10" s="160" t="s">
        <v>10</v>
      </c>
      <c r="E10" s="160"/>
      <c r="F10" s="160"/>
      <c r="G10" s="160"/>
      <c r="H10" s="160"/>
      <c r="I10" s="160"/>
      <c r="J10" s="160"/>
      <c r="K10" s="8"/>
      <c r="L10" s="8"/>
    </row>
    <row r="11" s="2" customFormat="1">
      <c r="B11" s="8"/>
      <c r="C11" s="49" t="s">
        <v>11</v>
      </c>
      <c r="D11" s="158" t="s">
        <v>12</v>
      </c>
      <c r="E11" s="158"/>
      <c r="F11" s="158"/>
      <c r="G11" s="158"/>
      <c r="H11" s="158"/>
      <c r="I11" s="158"/>
      <c r="J11" s="158"/>
      <c r="K11" s="8"/>
      <c r="L11" s="8"/>
    </row>
    <row r="12" ht="18.75" s="2" customFormat="1">
      <c r="B12" s="8"/>
      <c r="C12" s="154" t="s">
        <v>13</v>
      </c>
      <c r="D12" s="154"/>
      <c r="E12" s="154"/>
      <c r="F12" s="154"/>
      <c r="G12" s="154"/>
      <c r="H12" s="154"/>
      <c r="I12" s="154"/>
      <c r="J12" s="154"/>
      <c r="K12" s="154"/>
      <c r="L12" s="154"/>
    </row>
    <row r="13" ht="18.75" customHeight="1" s="2" customFormat="1">
      <c r="B13" s="8"/>
      <c r="C13" s="155" t="s">
        <v>86</v>
      </c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47"/>
      <c r="O13" s="47"/>
      <c r="P13" s="39"/>
    </row>
    <row r="14" s="15" customFormat="1">
      <c r="A14" s="2"/>
    </row>
    <row r="15" s="2" customFormat="1"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</row>
    <row r="16" ht="27.6" customHeight="1" s="2" customFormat="1">
      <c r="B16" s="50"/>
      <c r="D16" s="161"/>
      <c r="E16" s="161"/>
      <c r="J16" s="161"/>
      <c r="K16" s="161"/>
      <c r="M16" s="48"/>
    </row>
    <row r="17">
      <c r="L17" s="48"/>
      <c r="N17" s="0" t="s">
        <v>87</v>
      </c>
    </row>
    <row r="18">
      <c r="B18" s="170" t="s">
        <v>88</v>
      </c>
      <c r="C18" s="173" t="s">
        <v>89</v>
      </c>
      <c r="D18" s="175" t="s">
        <v>90</v>
      </c>
      <c r="E18" s="162" t="s">
        <v>91</v>
      </c>
      <c r="F18" s="163"/>
      <c r="G18" s="163"/>
      <c r="H18" s="163"/>
      <c r="I18" s="163"/>
      <c r="J18" s="163"/>
      <c r="K18" s="163"/>
      <c r="L18" s="163"/>
      <c r="M18" s="164"/>
      <c r="N18" s="165"/>
      <c r="O18" s="162" t="s">
        <v>91</v>
      </c>
      <c r="P18" s="163"/>
      <c r="Q18" s="163"/>
      <c r="R18" s="163"/>
      <c r="S18" s="163"/>
      <c r="T18" s="163"/>
      <c r="U18" s="163"/>
      <c r="V18" s="163"/>
      <c r="W18" s="164"/>
      <c r="X18" s="165"/>
    </row>
    <row r="19">
      <c r="B19" s="171"/>
      <c r="C19" s="174"/>
      <c r="D19" s="176"/>
      <c r="E19" s="166"/>
      <c r="F19" s="167"/>
      <c r="G19" s="167"/>
      <c r="H19" s="167"/>
      <c r="I19" s="167"/>
      <c r="J19" s="167"/>
      <c r="K19" s="167"/>
      <c r="L19" s="167"/>
      <c r="M19" s="168"/>
      <c r="N19" s="169"/>
      <c r="O19" s="166"/>
      <c r="P19" s="167"/>
      <c r="Q19" s="167"/>
      <c r="R19" s="167"/>
      <c r="S19" s="167"/>
      <c r="T19" s="167"/>
      <c r="U19" s="167"/>
      <c r="V19" s="167"/>
      <c r="W19" s="168"/>
      <c r="X19" s="169"/>
    </row>
    <row r="20">
      <c r="B20" s="171"/>
      <c r="C20" s="174"/>
      <c r="D20" s="176"/>
      <c r="E20" s="162" t="s">
        <v>92</v>
      </c>
      <c r="F20" s="163"/>
      <c r="G20" s="163"/>
      <c r="H20" s="163"/>
      <c r="I20" s="163"/>
      <c r="J20" s="163"/>
      <c r="K20" s="163"/>
      <c r="L20" s="163"/>
      <c r="M20" s="164"/>
      <c r="N20" s="165"/>
      <c r="O20" s="162" t="s">
        <v>93</v>
      </c>
      <c r="P20" s="163"/>
      <c r="Q20" s="163"/>
      <c r="R20" s="163"/>
      <c r="S20" s="163"/>
      <c r="T20" s="163"/>
      <c r="U20" s="163"/>
      <c r="V20" s="163"/>
      <c r="W20" s="164"/>
      <c r="X20" s="165"/>
    </row>
    <row r="21" ht="16.15" customHeight="1">
      <c r="B21" s="171"/>
      <c r="C21" s="174"/>
      <c r="D21" s="176"/>
      <c r="E21" s="166"/>
      <c r="F21" s="167"/>
      <c r="G21" s="167"/>
      <c r="H21" s="167"/>
      <c r="I21" s="167"/>
      <c r="J21" s="167"/>
      <c r="K21" s="167"/>
      <c r="L21" s="167"/>
      <c r="M21" s="168"/>
      <c r="N21" s="169"/>
      <c r="O21" s="166"/>
      <c r="P21" s="167"/>
      <c r="Q21" s="167"/>
      <c r="R21" s="167"/>
      <c r="S21" s="167"/>
      <c r="T21" s="167"/>
      <c r="U21" s="167"/>
      <c r="V21" s="167"/>
      <c r="W21" s="168"/>
      <c r="X21" s="169"/>
    </row>
    <row r="22" ht="44.45" customHeight="1">
      <c r="B22" s="172"/>
      <c r="C22" s="174"/>
      <c r="D22" s="177"/>
      <c r="E22" s="83" t="s">
        <v>94</v>
      </c>
      <c r="F22" s="19" t="s">
        <v>95</v>
      </c>
      <c r="G22" s="21" t="s">
        <v>96</v>
      </c>
      <c r="H22" s="20" t="s">
        <v>97</v>
      </c>
      <c r="I22" s="22" t="s">
        <v>98</v>
      </c>
      <c r="J22" s="83" t="s">
        <v>94</v>
      </c>
      <c r="K22" s="19" t="s">
        <v>99</v>
      </c>
      <c r="L22" s="21" t="s">
        <v>100</v>
      </c>
      <c r="M22" s="20" t="s">
        <v>101</v>
      </c>
      <c r="N22" s="22" t="s">
        <v>102</v>
      </c>
      <c r="O22" s="83" t="s">
        <v>94</v>
      </c>
      <c r="P22" s="19" t="s">
        <v>95</v>
      </c>
      <c r="Q22" s="21" t="s">
        <v>96</v>
      </c>
      <c r="R22" s="20" t="s">
        <v>97</v>
      </c>
      <c r="S22" s="22" t="s">
        <v>98</v>
      </c>
      <c r="T22" s="83" t="s">
        <v>94</v>
      </c>
      <c r="U22" s="19" t="s">
        <v>99</v>
      </c>
      <c r="V22" s="21" t="s">
        <v>100</v>
      </c>
      <c r="W22" s="20" t="s">
        <v>101</v>
      </c>
      <c r="X22" s="22" t="s">
        <v>102</v>
      </c>
    </row>
    <row r="23">
      <c r="B23" s="42">
        <v>1</v>
      </c>
      <c r="C23" s="41" t="s">
        <v>103</v>
      </c>
      <c r="D23" s="42">
        <v>1</v>
      </c>
      <c r="E23" s="113">
        <v>1</v>
      </c>
      <c r="F23" s="113">
        <f>SUM(F24:F24)</f>
        <v>0</v>
      </c>
      <c r="G23" s="113">
        <f>IF(F23&lt;&gt;0,(H23/F23),0)</f>
        <v>0</v>
      </c>
      <c r="H23" s="113">
        <f>SUM(H24:H24)</f>
        <v>0</v>
      </c>
      <c r="I23" s="113">
        <f>SUM(I24:I24)</f>
        <v>0</v>
      </c>
      <c r="J23" s="113">
        <v>1</v>
      </c>
      <c r="K23" s="113">
        <f>SUM(K24:K24)</f>
        <v>0</v>
      </c>
      <c r="L23" s="113">
        <f>IF(K23&lt;&gt;0,(M23/K23),0)</f>
        <v>0</v>
      </c>
      <c r="M23" s="113">
        <f>SUM(M24:M24)</f>
        <v>0</v>
      </c>
      <c r="N23" s="113">
        <f>SUM(N24:N24)</f>
        <v>0</v>
      </c>
      <c r="O23" s="113">
        <v>1</v>
      </c>
      <c r="P23" s="113">
        <f>SUM(P24:P24)</f>
        <v>0</v>
      </c>
      <c r="Q23" s="113">
        <f>IF(P23&lt;&gt;0,(R23/P23),0)</f>
        <v>0</v>
      </c>
      <c r="R23" s="113">
        <f>SUM(R24:R24)</f>
        <v>0</v>
      </c>
      <c r="S23" s="113">
        <f>SUM(S24:S24)</f>
        <v>0</v>
      </c>
      <c r="T23" s="113">
        <v>1</v>
      </c>
      <c r="U23" s="113">
        <f>SUM(U24:U24)</f>
        <v>0</v>
      </c>
      <c r="V23" s="113">
        <f>IF(U23&lt;&gt;0,(W23/U23),0)</f>
        <v>0</v>
      </c>
      <c r="W23" s="113">
        <f>SUM(W24:W24)</f>
        <v>0</v>
      </c>
      <c r="X23" s="113">
        <f>SUM(X24:X24)</f>
        <v>0</v>
      </c>
    </row>
    <row r="24">
      <c r="B24" s="112"/>
      <c r="C24" s="121" t="s">
        <v>104</v>
      </c>
      <c r="D24" s="42">
        <v>2</v>
      </c>
      <c r="E24" s="118">
        <v>100</v>
      </c>
      <c r="F24" s="114">
        <v>136997</v>
      </c>
      <c r="G24" s="113">
        <f ref="G24:G76" t="shared" si="0">IF(F24&lt;&gt;0,(H24/F24),0)</f>
        <v>0</v>
      </c>
      <c r="H24" s="114">
        <v>232895.15</v>
      </c>
      <c r="I24" s="114">
        <v>62</v>
      </c>
      <c r="J24" s="114">
        <v>110</v>
      </c>
      <c r="K24" s="114">
        <v>60923</v>
      </c>
      <c r="L24" s="113">
        <f ref="L24:L76" t="shared" si="1">IF(K24&lt;&gt;0,(M24/K24),0)</f>
        <v>0</v>
      </c>
      <c r="M24" s="114">
        <v>103721.4075</v>
      </c>
      <c r="N24" s="114">
        <v>29</v>
      </c>
      <c r="O24" s="118">
        <v>100</v>
      </c>
      <c r="P24" s="114">
        <v>180203</v>
      </c>
      <c r="Q24" s="113">
        <f ref="Q24:Q87" t="shared" si="2">IF(P24&lt;&gt;0,(R24/P24),0)</f>
        <v>0</v>
      </c>
      <c r="R24" s="114">
        <v>316548.73</v>
      </c>
      <c r="S24" s="114">
        <v>104</v>
      </c>
      <c r="T24" s="114">
        <v>110</v>
      </c>
      <c r="U24" s="114">
        <v>37589</v>
      </c>
      <c r="V24" s="113">
        <f ref="V24:V87" t="shared" si="3">IF(U24&lt;&gt;0,(W24/U24),0)</f>
        <v>0</v>
      </c>
      <c r="W24" s="114">
        <v>66969.159</v>
      </c>
      <c r="X24" s="114">
        <v>13</v>
      </c>
    </row>
    <row r="25">
      <c r="B25" s="112">
        <v>2</v>
      </c>
      <c r="C25" s="125" t="s">
        <v>105</v>
      </c>
      <c r="D25" s="42">
        <v>3</v>
      </c>
      <c r="E25" s="115">
        <v>2</v>
      </c>
      <c r="F25" s="117">
        <f>SUM(F26:F33)</f>
        <v>0</v>
      </c>
      <c r="G25" s="113">
        <f t="shared" si="0"/>
        <v>0</v>
      </c>
      <c r="H25" s="117">
        <f ref="H25:N25" t="shared" si="4">SUM(H26:H33)</f>
        <v>0</v>
      </c>
      <c r="I25" s="117">
        <f t="shared" si="4"/>
        <v>0</v>
      </c>
      <c r="J25" s="117">
        <v>2</v>
      </c>
      <c r="K25" s="117">
        <f>SUM(K26:K33)</f>
        <v>0</v>
      </c>
      <c r="L25" s="113">
        <f t="shared" si="1"/>
        <v>0</v>
      </c>
      <c r="M25" s="117">
        <f t="shared" si="4"/>
        <v>0</v>
      </c>
      <c r="N25" s="117">
        <f t="shared" si="4"/>
        <v>0</v>
      </c>
      <c r="O25" s="115">
        <v>2</v>
      </c>
      <c r="P25" s="117">
        <f>SUM(P26:P33)</f>
        <v>0</v>
      </c>
      <c r="Q25" s="113">
        <f t="shared" si="2"/>
        <v>0</v>
      </c>
      <c r="R25" s="117">
        <f ref="R25:S25" t="shared" si="5">SUM(R26:R33)</f>
        <v>0</v>
      </c>
      <c r="S25" s="117">
        <f t="shared" si="5"/>
        <v>0</v>
      </c>
      <c r="T25" s="117">
        <v>2</v>
      </c>
      <c r="U25" s="117">
        <f>SUM(U26:U33)</f>
        <v>0</v>
      </c>
      <c r="V25" s="113">
        <f t="shared" si="3"/>
        <v>0</v>
      </c>
      <c r="W25" s="117">
        <f ref="W25:X25" t="shared" si="6">SUM(W26:W33)</f>
        <v>0</v>
      </c>
      <c r="X25" s="117">
        <f t="shared" si="6"/>
        <v>0</v>
      </c>
    </row>
    <row r="26">
      <c r="B26" s="112"/>
      <c r="C26" s="122" t="s">
        <v>106</v>
      </c>
      <c r="D26" s="42">
        <v>4</v>
      </c>
      <c r="E26" s="119">
        <v>2</v>
      </c>
      <c r="F26" s="114">
        <v>0</v>
      </c>
      <c r="G26" s="113">
        <f t="shared" si="0"/>
        <v>0</v>
      </c>
      <c r="H26" s="114">
        <v>0</v>
      </c>
      <c r="I26" s="114">
        <v>0</v>
      </c>
      <c r="J26" s="114">
        <v>0</v>
      </c>
      <c r="K26" s="114">
        <v>0</v>
      </c>
      <c r="L26" s="113">
        <f t="shared" si="1"/>
        <v>0</v>
      </c>
      <c r="M26" s="114">
        <v>0</v>
      </c>
      <c r="N26" s="114">
        <v>0</v>
      </c>
      <c r="O26" s="119">
        <v>2</v>
      </c>
      <c r="P26" s="114">
        <v>0</v>
      </c>
      <c r="Q26" s="113">
        <f t="shared" si="2"/>
        <v>0</v>
      </c>
      <c r="R26" s="114">
        <v>0</v>
      </c>
      <c r="S26" s="114">
        <v>0</v>
      </c>
      <c r="T26" s="114">
        <v>2</v>
      </c>
      <c r="U26" s="114">
        <v>0</v>
      </c>
      <c r="V26" s="113">
        <f t="shared" si="3"/>
        <v>0</v>
      </c>
      <c r="W26" s="114">
        <v>0</v>
      </c>
      <c r="X26" s="114">
        <v>0</v>
      </c>
    </row>
    <row r="27">
      <c r="B27" s="112"/>
      <c r="C27" s="123" t="s">
        <v>107</v>
      </c>
      <c r="D27" s="42">
        <v>5</v>
      </c>
      <c r="E27" s="119">
        <v>3</v>
      </c>
      <c r="F27" s="114">
        <v>0</v>
      </c>
      <c r="G27" s="113">
        <f t="shared" si="0"/>
        <v>0</v>
      </c>
      <c r="H27" s="114">
        <v>0</v>
      </c>
      <c r="I27" s="114">
        <v>0</v>
      </c>
      <c r="J27" s="114">
        <v>0</v>
      </c>
      <c r="K27" s="114">
        <v>0</v>
      </c>
      <c r="L27" s="113">
        <f t="shared" si="1"/>
        <v>0</v>
      </c>
      <c r="M27" s="114">
        <v>0</v>
      </c>
      <c r="N27" s="114">
        <v>0</v>
      </c>
      <c r="O27" s="119">
        <v>3</v>
      </c>
      <c r="P27" s="114">
        <v>0</v>
      </c>
      <c r="Q27" s="113">
        <f t="shared" si="2"/>
        <v>0</v>
      </c>
      <c r="R27" s="114">
        <v>0</v>
      </c>
      <c r="S27" s="114">
        <v>0</v>
      </c>
      <c r="T27" s="114">
        <v>3</v>
      </c>
      <c r="U27" s="114">
        <v>0</v>
      </c>
      <c r="V27" s="113">
        <f t="shared" si="3"/>
        <v>0</v>
      </c>
      <c r="W27" s="114">
        <v>0</v>
      </c>
      <c r="X27" s="114">
        <v>0</v>
      </c>
    </row>
    <row r="28">
      <c r="B28" s="112"/>
      <c r="C28" s="123" t="s">
        <v>108</v>
      </c>
      <c r="D28" s="42">
        <v>6</v>
      </c>
      <c r="E28" s="119">
        <v>4</v>
      </c>
      <c r="F28" s="114">
        <v>0</v>
      </c>
      <c r="G28" s="113">
        <f t="shared" si="0"/>
        <v>0</v>
      </c>
      <c r="H28" s="114">
        <v>0</v>
      </c>
      <c r="I28" s="114">
        <v>0</v>
      </c>
      <c r="J28" s="114">
        <v>0</v>
      </c>
      <c r="K28" s="114">
        <v>0</v>
      </c>
      <c r="L28" s="113">
        <f t="shared" si="1"/>
        <v>0</v>
      </c>
      <c r="M28" s="114">
        <v>0</v>
      </c>
      <c r="N28" s="114">
        <v>0</v>
      </c>
      <c r="O28" s="119">
        <v>4</v>
      </c>
      <c r="P28" s="114">
        <v>0</v>
      </c>
      <c r="Q28" s="113">
        <f t="shared" si="2"/>
        <v>0</v>
      </c>
      <c r="R28" s="114">
        <v>0</v>
      </c>
      <c r="S28" s="114">
        <v>0</v>
      </c>
      <c r="T28" s="114">
        <v>4</v>
      </c>
      <c r="U28" s="114">
        <v>0</v>
      </c>
      <c r="V28" s="113">
        <f t="shared" si="3"/>
        <v>0</v>
      </c>
      <c r="W28" s="114">
        <v>0</v>
      </c>
      <c r="X28" s="114">
        <v>0</v>
      </c>
    </row>
    <row r="29">
      <c r="B29" s="112"/>
      <c r="C29" s="123" t="s">
        <v>109</v>
      </c>
      <c r="D29" s="42">
        <v>7</v>
      </c>
      <c r="E29" s="119">
        <v>5</v>
      </c>
      <c r="F29" s="114">
        <v>0</v>
      </c>
      <c r="G29" s="113">
        <f t="shared" si="0"/>
        <v>0</v>
      </c>
      <c r="H29" s="114">
        <v>0</v>
      </c>
      <c r="I29" s="114">
        <v>0</v>
      </c>
      <c r="J29" s="114">
        <v>0</v>
      </c>
      <c r="K29" s="114">
        <v>0</v>
      </c>
      <c r="L29" s="113">
        <f t="shared" si="1"/>
        <v>0</v>
      </c>
      <c r="M29" s="114">
        <v>0</v>
      </c>
      <c r="N29" s="114">
        <v>0</v>
      </c>
      <c r="O29" s="119">
        <v>5</v>
      </c>
      <c r="P29" s="114">
        <v>0</v>
      </c>
      <c r="Q29" s="113">
        <f t="shared" si="2"/>
        <v>0</v>
      </c>
      <c r="R29" s="114">
        <v>0</v>
      </c>
      <c r="S29" s="114">
        <v>0</v>
      </c>
      <c r="T29" s="114">
        <v>5</v>
      </c>
      <c r="U29" s="114">
        <v>0</v>
      </c>
      <c r="V29" s="113">
        <f t="shared" si="3"/>
        <v>0</v>
      </c>
      <c r="W29" s="114">
        <v>0</v>
      </c>
      <c r="X29" s="114">
        <v>0</v>
      </c>
    </row>
    <row r="30">
      <c r="B30" s="112"/>
      <c r="C30" s="123" t="s">
        <v>110</v>
      </c>
      <c r="D30" s="42">
        <v>8</v>
      </c>
      <c r="E30" s="119">
        <v>6</v>
      </c>
      <c r="F30" s="114">
        <v>0</v>
      </c>
      <c r="G30" s="113">
        <f t="shared" si="0"/>
        <v>0</v>
      </c>
      <c r="H30" s="114">
        <v>0</v>
      </c>
      <c r="I30" s="114">
        <v>0</v>
      </c>
      <c r="J30" s="114">
        <v>0</v>
      </c>
      <c r="K30" s="114">
        <v>0</v>
      </c>
      <c r="L30" s="113">
        <f t="shared" si="1"/>
        <v>0</v>
      </c>
      <c r="M30" s="114">
        <v>0</v>
      </c>
      <c r="N30" s="114">
        <v>0</v>
      </c>
      <c r="O30" s="119">
        <v>6</v>
      </c>
      <c r="P30" s="114">
        <v>0</v>
      </c>
      <c r="Q30" s="113">
        <f t="shared" si="2"/>
        <v>0</v>
      </c>
      <c r="R30" s="114">
        <v>0</v>
      </c>
      <c r="S30" s="114">
        <v>0</v>
      </c>
      <c r="T30" s="114">
        <v>6</v>
      </c>
      <c r="U30" s="114">
        <v>0</v>
      </c>
      <c r="V30" s="113">
        <f t="shared" si="3"/>
        <v>0</v>
      </c>
      <c r="W30" s="114">
        <v>0</v>
      </c>
      <c r="X30" s="114">
        <v>0</v>
      </c>
    </row>
    <row r="31">
      <c r="B31" s="42"/>
      <c r="C31" s="124" t="s">
        <v>111</v>
      </c>
      <c r="D31" s="42">
        <v>9</v>
      </c>
      <c r="E31" s="119">
        <v>7</v>
      </c>
      <c r="F31" s="114">
        <v>0</v>
      </c>
      <c r="G31" s="113">
        <f t="shared" si="0"/>
        <v>0</v>
      </c>
      <c r="H31" s="114">
        <v>0</v>
      </c>
      <c r="I31" s="114">
        <v>0</v>
      </c>
      <c r="J31" s="114">
        <v>0</v>
      </c>
      <c r="K31" s="114">
        <v>0</v>
      </c>
      <c r="L31" s="113">
        <f t="shared" si="1"/>
        <v>0</v>
      </c>
      <c r="M31" s="114">
        <v>0</v>
      </c>
      <c r="N31" s="114">
        <v>0</v>
      </c>
      <c r="O31" s="119">
        <v>7</v>
      </c>
      <c r="P31" s="114">
        <v>0</v>
      </c>
      <c r="Q31" s="113">
        <f t="shared" si="2"/>
        <v>0</v>
      </c>
      <c r="R31" s="114">
        <v>0</v>
      </c>
      <c r="S31" s="114">
        <v>0</v>
      </c>
      <c r="T31" s="114">
        <v>7</v>
      </c>
      <c r="U31" s="114">
        <v>0</v>
      </c>
      <c r="V31" s="113">
        <f t="shared" si="3"/>
        <v>0</v>
      </c>
      <c r="W31" s="114">
        <v>0</v>
      </c>
      <c r="X31" s="114">
        <v>0</v>
      </c>
    </row>
    <row r="32">
      <c r="B32" s="112"/>
      <c r="C32" s="122" t="s">
        <v>112</v>
      </c>
      <c r="D32" s="42">
        <v>10</v>
      </c>
      <c r="E32" s="119">
        <v>8</v>
      </c>
      <c r="F32" s="114">
        <v>0</v>
      </c>
      <c r="G32" s="113">
        <f t="shared" si="0"/>
        <v>0</v>
      </c>
      <c r="H32" s="114">
        <v>0</v>
      </c>
      <c r="I32" s="114">
        <v>0</v>
      </c>
      <c r="J32" s="114">
        <v>0</v>
      </c>
      <c r="K32" s="114">
        <v>0</v>
      </c>
      <c r="L32" s="113">
        <f t="shared" si="1"/>
        <v>0</v>
      </c>
      <c r="M32" s="114">
        <v>0</v>
      </c>
      <c r="N32" s="114">
        <v>0</v>
      </c>
      <c r="O32" s="119">
        <v>8</v>
      </c>
      <c r="P32" s="114">
        <v>0</v>
      </c>
      <c r="Q32" s="113">
        <f t="shared" si="2"/>
        <v>0</v>
      </c>
      <c r="R32" s="114">
        <v>0</v>
      </c>
      <c r="S32" s="114">
        <v>0</v>
      </c>
      <c r="T32" s="114">
        <v>8</v>
      </c>
      <c r="U32" s="114">
        <v>0</v>
      </c>
      <c r="V32" s="113">
        <f t="shared" si="3"/>
        <v>0</v>
      </c>
      <c r="W32" s="114">
        <v>0</v>
      </c>
      <c r="X32" s="114">
        <v>0</v>
      </c>
    </row>
    <row r="33">
      <c r="B33" s="112"/>
      <c r="C33" s="123" t="s">
        <v>113</v>
      </c>
      <c r="D33" s="42">
        <v>11</v>
      </c>
      <c r="E33" s="119">
        <v>9</v>
      </c>
      <c r="F33" s="114">
        <v>0</v>
      </c>
      <c r="G33" s="113">
        <f t="shared" si="0"/>
        <v>0</v>
      </c>
      <c r="H33" s="114">
        <v>0</v>
      </c>
      <c r="I33" s="114">
        <v>0</v>
      </c>
      <c r="J33" s="114">
        <v>0</v>
      </c>
      <c r="K33" s="114">
        <v>0</v>
      </c>
      <c r="L33" s="113">
        <f t="shared" si="1"/>
        <v>0</v>
      </c>
      <c r="M33" s="114">
        <v>0</v>
      </c>
      <c r="N33" s="114">
        <v>0</v>
      </c>
      <c r="O33" s="119">
        <v>9</v>
      </c>
      <c r="P33" s="114">
        <v>0</v>
      </c>
      <c r="Q33" s="113">
        <f t="shared" si="2"/>
        <v>0</v>
      </c>
      <c r="R33" s="114">
        <v>0</v>
      </c>
      <c r="S33" s="114">
        <v>0</v>
      </c>
      <c r="T33" s="114">
        <v>9</v>
      </c>
      <c r="U33" s="114">
        <v>0</v>
      </c>
      <c r="V33" s="113">
        <f t="shared" si="3"/>
        <v>0</v>
      </c>
      <c r="W33" s="114">
        <v>0</v>
      </c>
      <c r="X33" s="114">
        <v>0</v>
      </c>
    </row>
    <row r="34">
      <c r="B34" s="42">
        <v>3</v>
      </c>
      <c r="C34" s="126" t="s">
        <v>114</v>
      </c>
      <c r="D34" s="42">
        <v>12</v>
      </c>
      <c r="E34" s="115">
        <v>3</v>
      </c>
      <c r="F34" s="117">
        <f>SUM(F35:F37)</f>
        <v>0</v>
      </c>
      <c r="G34" s="113">
        <f t="shared" si="0"/>
        <v>0</v>
      </c>
      <c r="H34" s="117">
        <f ref="H34:N34" t="shared" si="7">SUM(H35:H37)</f>
        <v>0</v>
      </c>
      <c r="I34" s="117">
        <f t="shared" si="7"/>
        <v>0</v>
      </c>
      <c r="J34" s="117">
        <v>3</v>
      </c>
      <c r="K34" s="117">
        <f t="shared" si="7"/>
        <v>0</v>
      </c>
      <c r="L34" s="113">
        <f t="shared" si="1"/>
        <v>0</v>
      </c>
      <c r="M34" s="117">
        <f t="shared" si="7"/>
        <v>0</v>
      </c>
      <c r="N34" s="117">
        <f t="shared" si="7"/>
        <v>0</v>
      </c>
      <c r="O34" s="115">
        <v>3</v>
      </c>
      <c r="P34" s="117">
        <f>SUM(P35:P37)</f>
        <v>0</v>
      </c>
      <c r="Q34" s="113">
        <f t="shared" si="2"/>
        <v>0</v>
      </c>
      <c r="R34" s="117">
        <f ref="R34:S34" t="shared" si="8">SUM(R35:R37)</f>
        <v>0</v>
      </c>
      <c r="S34" s="117">
        <f t="shared" si="8"/>
        <v>0</v>
      </c>
      <c r="T34" s="117">
        <v>3</v>
      </c>
      <c r="U34" s="117">
        <f>SUM(U35:U37)</f>
        <v>0</v>
      </c>
      <c r="V34" s="113">
        <f t="shared" si="3"/>
        <v>0</v>
      </c>
      <c r="W34" s="117">
        <f ref="W34:X34" t="shared" si="10">SUM(W35:W37)</f>
        <v>0</v>
      </c>
      <c r="X34" s="117">
        <f t="shared" si="10"/>
        <v>0</v>
      </c>
    </row>
    <row r="35">
      <c r="B35" s="112"/>
      <c r="C35" s="123" t="s">
        <v>115</v>
      </c>
      <c r="D35" s="42">
        <v>13</v>
      </c>
      <c r="E35" s="118">
        <v>317</v>
      </c>
      <c r="F35" s="114">
        <v>0</v>
      </c>
      <c r="G35" s="113">
        <f t="shared" si="0"/>
        <v>0</v>
      </c>
      <c r="H35" s="114">
        <v>0</v>
      </c>
      <c r="I35" s="114">
        <v>0</v>
      </c>
      <c r="J35" s="114">
        <v>0</v>
      </c>
      <c r="K35" s="114">
        <v>0</v>
      </c>
      <c r="L35" s="113">
        <f t="shared" si="1"/>
        <v>0</v>
      </c>
      <c r="M35" s="114">
        <v>0</v>
      </c>
      <c r="N35" s="114">
        <v>0</v>
      </c>
      <c r="O35" s="118">
        <v>317</v>
      </c>
      <c r="P35" s="114">
        <v>0</v>
      </c>
      <c r="Q35" s="113">
        <f t="shared" si="2"/>
        <v>0</v>
      </c>
      <c r="R35" s="114">
        <v>0</v>
      </c>
      <c r="S35" s="114">
        <v>0</v>
      </c>
      <c r="T35" s="114">
        <v>317</v>
      </c>
      <c r="U35" s="114">
        <v>0</v>
      </c>
      <c r="V35" s="113">
        <f t="shared" si="3"/>
        <v>0</v>
      </c>
      <c r="W35" s="114">
        <v>0</v>
      </c>
      <c r="X35" s="114">
        <v>0</v>
      </c>
    </row>
    <row r="36">
      <c r="B36" s="112"/>
      <c r="C36" s="127" t="s">
        <v>116</v>
      </c>
      <c r="D36" s="42">
        <v>14</v>
      </c>
      <c r="E36" s="118">
        <v>320</v>
      </c>
      <c r="F36" s="114">
        <v>0</v>
      </c>
      <c r="G36" s="113">
        <f t="shared" si="0"/>
        <v>0</v>
      </c>
      <c r="H36" s="114">
        <v>0</v>
      </c>
      <c r="I36" s="114">
        <v>0</v>
      </c>
      <c r="J36" s="114">
        <v>0</v>
      </c>
      <c r="K36" s="114">
        <v>0</v>
      </c>
      <c r="L36" s="113">
        <f t="shared" si="1"/>
        <v>0</v>
      </c>
      <c r="M36" s="114">
        <v>0</v>
      </c>
      <c r="N36" s="114">
        <v>0</v>
      </c>
      <c r="O36" s="118">
        <v>320</v>
      </c>
      <c r="P36" s="114">
        <v>0</v>
      </c>
      <c r="Q36" s="113">
        <f t="shared" si="2"/>
        <v>0</v>
      </c>
      <c r="R36" s="114">
        <v>0</v>
      </c>
      <c r="S36" s="114">
        <v>0</v>
      </c>
      <c r="T36" s="114">
        <v>320</v>
      </c>
      <c r="U36" s="114">
        <v>0</v>
      </c>
      <c r="V36" s="113">
        <f t="shared" si="3"/>
        <v>0</v>
      </c>
      <c r="W36" s="114">
        <v>0</v>
      </c>
      <c r="X36" s="114">
        <v>0</v>
      </c>
    </row>
    <row r="37">
      <c r="B37" s="112"/>
      <c r="C37" s="127" t="s">
        <v>117</v>
      </c>
      <c r="D37" s="42">
        <v>15</v>
      </c>
      <c r="E37" s="118">
        <v>321</v>
      </c>
      <c r="F37" s="114">
        <v>0</v>
      </c>
      <c r="G37" s="113">
        <f t="shared" si="0"/>
        <v>0</v>
      </c>
      <c r="H37" s="114">
        <v>0</v>
      </c>
      <c r="I37" s="114">
        <v>0</v>
      </c>
      <c r="J37" s="114">
        <v>0</v>
      </c>
      <c r="K37" s="114">
        <v>0</v>
      </c>
      <c r="L37" s="113">
        <f t="shared" si="1"/>
        <v>0</v>
      </c>
      <c r="M37" s="114">
        <v>0</v>
      </c>
      <c r="N37" s="114">
        <v>0</v>
      </c>
      <c r="O37" s="118">
        <v>321</v>
      </c>
      <c r="P37" s="114">
        <v>0</v>
      </c>
      <c r="Q37" s="113">
        <f t="shared" si="2"/>
        <v>0</v>
      </c>
      <c r="R37" s="114">
        <v>0</v>
      </c>
      <c r="S37" s="114">
        <v>0</v>
      </c>
      <c r="T37" s="114">
        <v>321</v>
      </c>
      <c r="U37" s="114">
        <v>0</v>
      </c>
      <c r="V37" s="113">
        <f t="shared" si="3"/>
        <v>0</v>
      </c>
      <c r="W37" s="114">
        <v>0</v>
      </c>
      <c r="X37" s="114">
        <v>0</v>
      </c>
    </row>
    <row r="38">
      <c r="B38" s="112">
        <v>4</v>
      </c>
      <c r="C38" s="128" t="s">
        <v>118</v>
      </c>
      <c r="D38" s="42">
        <v>16</v>
      </c>
      <c r="E38" s="115">
        <v>4</v>
      </c>
      <c r="F38" s="117">
        <f>SUM(F39:F42)</f>
        <v>0</v>
      </c>
      <c r="G38" s="113">
        <f t="shared" si="0"/>
        <v>0</v>
      </c>
      <c r="H38" s="117">
        <f ref="H38:N38" t="shared" si="11">SUM(H39:H42)</f>
        <v>0</v>
      </c>
      <c r="I38" s="117">
        <f t="shared" si="11"/>
        <v>0</v>
      </c>
      <c r="J38" s="117">
        <v>4</v>
      </c>
      <c r="K38" s="117">
        <f t="shared" si="11"/>
        <v>0</v>
      </c>
      <c r="L38" s="113">
        <f t="shared" si="1"/>
        <v>0</v>
      </c>
      <c r="M38" s="117">
        <f t="shared" si="11"/>
        <v>0</v>
      </c>
      <c r="N38" s="117">
        <f t="shared" si="11"/>
        <v>0</v>
      </c>
      <c r="O38" s="115">
        <v>4</v>
      </c>
      <c r="P38" s="117">
        <f>SUM(P39:P42)</f>
        <v>0</v>
      </c>
      <c r="Q38" s="113">
        <f t="shared" si="2"/>
        <v>0</v>
      </c>
      <c r="R38" s="117">
        <f ref="R38:S38" t="shared" si="12">SUM(R39:R42)</f>
        <v>0</v>
      </c>
      <c r="S38" s="117">
        <f t="shared" si="12"/>
        <v>0</v>
      </c>
      <c r="T38" s="117">
        <v>4</v>
      </c>
      <c r="U38" s="117">
        <f>SUM(U39:U42)</f>
        <v>0</v>
      </c>
      <c r="V38" s="113">
        <f t="shared" si="3"/>
        <v>0</v>
      </c>
      <c r="W38" s="117">
        <f ref="W38:X38" t="shared" si="14">SUM(W39:W42)</f>
        <v>0</v>
      </c>
      <c r="X38" s="117">
        <f t="shared" si="14"/>
        <v>0</v>
      </c>
    </row>
    <row r="39">
      <c r="B39" s="112"/>
      <c r="C39" s="127" t="s">
        <v>119</v>
      </c>
      <c r="D39" s="42">
        <v>17</v>
      </c>
      <c r="E39" s="118">
        <v>322</v>
      </c>
      <c r="F39" s="114">
        <v>0</v>
      </c>
      <c r="G39" s="113">
        <f t="shared" si="0"/>
        <v>0</v>
      </c>
      <c r="H39" s="114">
        <v>0</v>
      </c>
      <c r="I39" s="114">
        <v>0</v>
      </c>
      <c r="J39" s="114">
        <v>0</v>
      </c>
      <c r="K39" s="114">
        <v>0</v>
      </c>
      <c r="L39" s="113">
        <f t="shared" si="1"/>
        <v>0</v>
      </c>
      <c r="M39" s="114">
        <v>0</v>
      </c>
      <c r="N39" s="114">
        <v>0</v>
      </c>
      <c r="O39" s="118">
        <v>322</v>
      </c>
      <c r="P39" s="114">
        <v>0</v>
      </c>
      <c r="Q39" s="113">
        <f t="shared" si="2"/>
        <v>0</v>
      </c>
      <c r="R39" s="114">
        <v>0</v>
      </c>
      <c r="S39" s="114">
        <v>0</v>
      </c>
      <c r="T39" s="114">
        <v>322</v>
      </c>
      <c r="U39" s="114">
        <v>0</v>
      </c>
      <c r="V39" s="113">
        <f t="shared" si="3"/>
        <v>0</v>
      </c>
      <c r="W39" s="114">
        <v>0</v>
      </c>
      <c r="X39" s="114">
        <v>0</v>
      </c>
    </row>
    <row r="40">
      <c r="B40" s="112"/>
      <c r="C40" s="127" t="s">
        <v>120</v>
      </c>
      <c r="D40" s="42">
        <v>18</v>
      </c>
      <c r="E40" s="118">
        <v>323</v>
      </c>
      <c r="F40" s="114">
        <v>0</v>
      </c>
      <c r="G40" s="113">
        <f t="shared" si="0"/>
        <v>0</v>
      </c>
      <c r="H40" s="114">
        <v>0</v>
      </c>
      <c r="I40" s="114">
        <v>0</v>
      </c>
      <c r="J40" s="114">
        <v>0</v>
      </c>
      <c r="K40" s="114">
        <v>0</v>
      </c>
      <c r="L40" s="113">
        <f t="shared" si="1"/>
        <v>0</v>
      </c>
      <c r="M40" s="114">
        <v>0</v>
      </c>
      <c r="N40" s="114">
        <v>0</v>
      </c>
      <c r="O40" s="118">
        <v>323</v>
      </c>
      <c r="P40" s="114">
        <v>0</v>
      </c>
      <c r="Q40" s="113">
        <f t="shared" si="2"/>
        <v>0</v>
      </c>
      <c r="R40" s="114">
        <v>0</v>
      </c>
      <c r="S40" s="114">
        <v>0</v>
      </c>
      <c r="T40" s="114">
        <v>323</v>
      </c>
      <c r="U40" s="114">
        <v>0</v>
      </c>
      <c r="V40" s="113">
        <f t="shared" si="3"/>
        <v>0</v>
      </c>
      <c r="W40" s="114">
        <v>0</v>
      </c>
      <c r="X40" s="114">
        <v>0</v>
      </c>
    </row>
    <row r="41">
      <c r="B41" s="112"/>
      <c r="C41" s="127" t="s">
        <v>121</v>
      </c>
      <c r="D41" s="42">
        <v>19</v>
      </c>
      <c r="E41" s="118">
        <v>342</v>
      </c>
      <c r="F41" s="114">
        <v>0</v>
      </c>
      <c r="G41" s="113">
        <f t="shared" si="0"/>
        <v>0</v>
      </c>
      <c r="H41" s="114">
        <v>0</v>
      </c>
      <c r="I41" s="114">
        <v>0</v>
      </c>
      <c r="J41" s="114">
        <v>0</v>
      </c>
      <c r="K41" s="114">
        <v>0</v>
      </c>
      <c r="L41" s="113">
        <f t="shared" si="1"/>
        <v>0</v>
      </c>
      <c r="M41" s="114">
        <v>0</v>
      </c>
      <c r="N41" s="114">
        <v>0</v>
      </c>
      <c r="O41" s="118">
        <v>342</v>
      </c>
      <c r="P41" s="114">
        <v>0</v>
      </c>
      <c r="Q41" s="113">
        <f t="shared" si="2"/>
        <v>0</v>
      </c>
      <c r="R41" s="114">
        <v>0</v>
      </c>
      <c r="S41" s="114">
        <v>0</v>
      </c>
      <c r="T41" s="114">
        <v>342</v>
      </c>
      <c r="U41" s="114">
        <v>0</v>
      </c>
      <c r="V41" s="113">
        <f t="shared" si="3"/>
        <v>0</v>
      </c>
      <c r="W41" s="114">
        <v>0</v>
      </c>
      <c r="X41" s="114">
        <v>0</v>
      </c>
    </row>
    <row r="42">
      <c r="B42" s="112"/>
      <c r="C42" s="127" t="s">
        <v>122</v>
      </c>
      <c r="D42" s="42">
        <v>20</v>
      </c>
      <c r="E42" s="118">
        <v>351</v>
      </c>
      <c r="F42" s="114">
        <v>0</v>
      </c>
      <c r="G42" s="113">
        <f t="shared" si="0"/>
        <v>0</v>
      </c>
      <c r="H42" s="114">
        <v>0</v>
      </c>
      <c r="I42" s="114">
        <v>0</v>
      </c>
      <c r="J42" s="114">
        <v>0</v>
      </c>
      <c r="K42" s="114">
        <v>0</v>
      </c>
      <c r="L42" s="113">
        <f t="shared" si="1"/>
        <v>0</v>
      </c>
      <c r="M42" s="114">
        <v>0</v>
      </c>
      <c r="N42" s="114">
        <v>0</v>
      </c>
      <c r="O42" s="118">
        <v>351</v>
      </c>
      <c r="P42" s="114">
        <v>0</v>
      </c>
      <c r="Q42" s="113">
        <f t="shared" si="2"/>
        <v>0</v>
      </c>
      <c r="R42" s="114">
        <v>0</v>
      </c>
      <c r="S42" s="114">
        <v>0</v>
      </c>
      <c r="T42" s="114">
        <v>351</v>
      </c>
      <c r="U42" s="114">
        <v>0</v>
      </c>
      <c r="V42" s="113">
        <f t="shared" si="3"/>
        <v>0</v>
      </c>
      <c r="W42" s="114">
        <v>0</v>
      </c>
      <c r="X42" s="114">
        <v>0</v>
      </c>
    </row>
    <row r="43">
      <c r="B43" s="112">
        <v>5</v>
      </c>
      <c r="C43" s="128" t="s">
        <v>123</v>
      </c>
      <c r="D43" s="42">
        <v>21</v>
      </c>
      <c r="E43" s="115">
        <v>5</v>
      </c>
      <c r="F43" s="117">
        <f>SUM(F44:F49)</f>
        <v>0</v>
      </c>
      <c r="G43" s="113">
        <f t="shared" si="0"/>
        <v>0</v>
      </c>
      <c r="H43" s="117">
        <f ref="H43:N43" t="shared" si="15">SUM(H44:H49)</f>
        <v>0</v>
      </c>
      <c r="I43" s="117">
        <f t="shared" si="15"/>
        <v>0</v>
      </c>
      <c r="J43" s="117">
        <v>5</v>
      </c>
      <c r="K43" s="117">
        <f t="shared" si="15"/>
        <v>0</v>
      </c>
      <c r="L43" s="113">
        <f t="shared" si="1"/>
        <v>0</v>
      </c>
      <c r="M43" s="117">
        <f t="shared" si="15"/>
        <v>0</v>
      </c>
      <c r="N43" s="117">
        <f t="shared" si="15"/>
        <v>0</v>
      </c>
      <c r="O43" s="115">
        <v>5</v>
      </c>
      <c r="P43" s="117">
        <f>SUM(P44:P49)</f>
        <v>0</v>
      </c>
      <c r="Q43" s="113">
        <f t="shared" si="2"/>
        <v>0</v>
      </c>
      <c r="R43" s="117">
        <f ref="R43:S43" t="shared" si="16">SUM(R44:R49)</f>
        <v>0</v>
      </c>
      <c r="S43" s="117">
        <f t="shared" si="16"/>
        <v>0</v>
      </c>
      <c r="T43" s="117">
        <v>5</v>
      </c>
      <c r="U43" s="117">
        <f>SUM(U44:U49)</f>
        <v>0</v>
      </c>
      <c r="V43" s="113">
        <f t="shared" si="3"/>
        <v>0</v>
      </c>
      <c r="W43" s="117">
        <f ref="W43:X43" t="shared" si="18">SUM(W44:W49)</f>
        <v>0</v>
      </c>
      <c r="X43" s="117">
        <f t="shared" si="18"/>
        <v>0</v>
      </c>
    </row>
    <row r="44">
      <c r="B44" s="112"/>
      <c r="C44" s="124" t="s">
        <v>124</v>
      </c>
      <c r="D44" s="42">
        <v>22</v>
      </c>
      <c r="E44" s="118">
        <v>369</v>
      </c>
      <c r="F44" s="114">
        <v>0</v>
      </c>
      <c r="G44" s="113">
        <f t="shared" si="0"/>
        <v>0</v>
      </c>
      <c r="H44" s="114">
        <v>0</v>
      </c>
      <c r="I44" s="114">
        <v>0</v>
      </c>
      <c r="J44" s="114">
        <v>0</v>
      </c>
      <c r="K44" s="114">
        <v>0</v>
      </c>
      <c r="L44" s="113">
        <f t="shared" si="1"/>
        <v>0</v>
      </c>
      <c r="M44" s="114">
        <v>0</v>
      </c>
      <c r="N44" s="114">
        <v>0</v>
      </c>
      <c r="O44" s="118">
        <v>369</v>
      </c>
      <c r="P44" s="114">
        <v>0</v>
      </c>
      <c r="Q44" s="113">
        <f t="shared" si="2"/>
        <v>0</v>
      </c>
      <c r="R44" s="114">
        <v>0</v>
      </c>
      <c r="S44" s="114">
        <v>0</v>
      </c>
      <c r="T44" s="114">
        <v>369</v>
      </c>
      <c r="U44" s="114">
        <v>0</v>
      </c>
      <c r="V44" s="113">
        <f t="shared" si="3"/>
        <v>0</v>
      </c>
      <c r="W44" s="114">
        <v>0</v>
      </c>
      <c r="X44" s="114">
        <v>0</v>
      </c>
    </row>
    <row r="45">
      <c r="B45" s="112"/>
      <c r="C45" s="122" t="s">
        <v>125</v>
      </c>
      <c r="D45" s="42">
        <v>23</v>
      </c>
      <c r="E45" s="119">
        <v>4</v>
      </c>
      <c r="F45" s="114">
        <v>0</v>
      </c>
      <c r="G45" s="113">
        <f t="shared" si="0"/>
        <v>0</v>
      </c>
      <c r="H45" s="114">
        <v>0</v>
      </c>
      <c r="I45" s="114">
        <v>0</v>
      </c>
      <c r="J45" s="114">
        <v>0</v>
      </c>
      <c r="K45" s="114">
        <v>0</v>
      </c>
      <c r="L45" s="113">
        <f t="shared" si="1"/>
        <v>0</v>
      </c>
      <c r="M45" s="114">
        <v>0</v>
      </c>
      <c r="N45" s="114">
        <v>0</v>
      </c>
      <c r="O45" s="119">
        <v>4</v>
      </c>
      <c r="P45" s="114">
        <v>0</v>
      </c>
      <c r="Q45" s="113">
        <f t="shared" si="2"/>
        <v>0</v>
      </c>
      <c r="R45" s="114">
        <v>0</v>
      </c>
      <c r="S45" s="114">
        <v>0</v>
      </c>
      <c r="T45" s="114">
        <v>4</v>
      </c>
      <c r="U45" s="114">
        <v>0</v>
      </c>
      <c r="V45" s="113">
        <f t="shared" si="3"/>
        <v>0</v>
      </c>
      <c r="W45" s="114">
        <v>0</v>
      </c>
      <c r="X45" s="114">
        <v>0</v>
      </c>
    </row>
    <row r="46">
      <c r="B46" s="112"/>
      <c r="C46" s="127" t="s">
        <v>126</v>
      </c>
      <c r="D46" s="42">
        <v>24</v>
      </c>
      <c r="E46" s="119">
        <v>5</v>
      </c>
      <c r="F46" s="114">
        <v>0</v>
      </c>
      <c r="G46" s="113">
        <f t="shared" si="0"/>
        <v>0</v>
      </c>
      <c r="H46" s="114">
        <v>0</v>
      </c>
      <c r="I46" s="114">
        <v>0</v>
      </c>
      <c r="J46" s="114">
        <v>0</v>
      </c>
      <c r="K46" s="114">
        <v>0</v>
      </c>
      <c r="L46" s="113">
        <f t="shared" si="1"/>
        <v>0</v>
      </c>
      <c r="M46" s="114">
        <v>0</v>
      </c>
      <c r="N46" s="114">
        <v>0</v>
      </c>
      <c r="O46" s="119">
        <v>5</v>
      </c>
      <c r="P46" s="114">
        <v>0</v>
      </c>
      <c r="Q46" s="113">
        <f t="shared" si="2"/>
        <v>0</v>
      </c>
      <c r="R46" s="114">
        <v>0</v>
      </c>
      <c r="S46" s="114">
        <v>0</v>
      </c>
      <c r="T46" s="114">
        <v>5</v>
      </c>
      <c r="U46" s="114">
        <v>0</v>
      </c>
      <c r="V46" s="113">
        <f t="shared" si="3"/>
        <v>0</v>
      </c>
      <c r="W46" s="114">
        <v>0</v>
      </c>
      <c r="X46" s="114">
        <v>0</v>
      </c>
    </row>
    <row r="47">
      <c r="B47" s="112"/>
      <c r="C47" s="127" t="s">
        <v>127</v>
      </c>
      <c r="D47" s="42">
        <v>25</v>
      </c>
      <c r="E47" s="118">
        <v>410</v>
      </c>
      <c r="F47" s="114">
        <v>0</v>
      </c>
      <c r="G47" s="113">
        <f t="shared" si="0"/>
        <v>0</v>
      </c>
      <c r="H47" s="114">
        <v>0</v>
      </c>
      <c r="I47" s="114">
        <v>0</v>
      </c>
      <c r="J47" s="114">
        <v>0</v>
      </c>
      <c r="K47" s="114">
        <v>0</v>
      </c>
      <c r="L47" s="113">
        <f t="shared" si="1"/>
        <v>0</v>
      </c>
      <c r="M47" s="114">
        <v>0</v>
      </c>
      <c r="N47" s="114">
        <v>0</v>
      </c>
      <c r="O47" s="118">
        <v>410</v>
      </c>
      <c r="P47" s="114">
        <v>0</v>
      </c>
      <c r="Q47" s="113">
        <f t="shared" si="2"/>
        <v>0</v>
      </c>
      <c r="R47" s="114">
        <v>0</v>
      </c>
      <c r="S47" s="114">
        <v>0</v>
      </c>
      <c r="T47" s="114">
        <v>410</v>
      </c>
      <c r="U47" s="114">
        <v>0</v>
      </c>
      <c r="V47" s="113">
        <f t="shared" si="3"/>
        <v>0</v>
      </c>
      <c r="W47" s="114">
        <v>0</v>
      </c>
      <c r="X47" s="114">
        <v>0</v>
      </c>
    </row>
    <row r="48">
      <c r="B48" s="112"/>
      <c r="C48" s="127" t="s">
        <v>128</v>
      </c>
      <c r="D48" s="42">
        <v>26</v>
      </c>
      <c r="E48" s="118">
        <v>441</v>
      </c>
      <c r="F48" s="114">
        <v>0</v>
      </c>
      <c r="G48" s="113">
        <f t="shared" si="0"/>
        <v>0</v>
      </c>
      <c r="H48" s="114">
        <v>0</v>
      </c>
      <c r="I48" s="114">
        <v>0</v>
      </c>
      <c r="J48" s="114">
        <v>0</v>
      </c>
      <c r="K48" s="114">
        <v>0</v>
      </c>
      <c r="L48" s="113">
        <f t="shared" si="1"/>
        <v>0</v>
      </c>
      <c r="M48" s="114">
        <v>0</v>
      </c>
      <c r="N48" s="114">
        <v>0</v>
      </c>
      <c r="O48" s="118">
        <v>441</v>
      </c>
      <c r="P48" s="114">
        <v>0</v>
      </c>
      <c r="Q48" s="113">
        <f t="shared" si="2"/>
        <v>0</v>
      </c>
      <c r="R48" s="114">
        <v>0</v>
      </c>
      <c r="S48" s="114">
        <v>0</v>
      </c>
      <c r="T48" s="114">
        <v>441</v>
      </c>
      <c r="U48" s="114">
        <v>0</v>
      </c>
      <c r="V48" s="113">
        <f t="shared" si="3"/>
        <v>0</v>
      </c>
      <c r="W48" s="114">
        <v>0</v>
      </c>
      <c r="X48" s="114">
        <v>0</v>
      </c>
    </row>
    <row r="49">
      <c r="B49" s="112"/>
      <c r="C49" s="127" t="s">
        <v>129</v>
      </c>
      <c r="D49" s="42">
        <v>27</v>
      </c>
      <c r="E49" s="118">
        <v>443</v>
      </c>
      <c r="F49" s="114">
        <v>0</v>
      </c>
      <c r="G49" s="113">
        <f t="shared" si="0"/>
        <v>0</v>
      </c>
      <c r="H49" s="114">
        <v>0</v>
      </c>
      <c r="I49" s="114">
        <v>0</v>
      </c>
      <c r="J49" s="114">
        <v>0</v>
      </c>
      <c r="K49" s="114">
        <v>0</v>
      </c>
      <c r="L49" s="113">
        <f t="shared" si="1"/>
        <v>0</v>
      </c>
      <c r="M49" s="114">
        <v>0</v>
      </c>
      <c r="N49" s="114">
        <v>0</v>
      </c>
      <c r="O49" s="118">
        <v>443</v>
      </c>
      <c r="P49" s="114">
        <v>0</v>
      </c>
      <c r="Q49" s="113">
        <f t="shared" si="2"/>
        <v>0</v>
      </c>
      <c r="R49" s="114">
        <v>0</v>
      </c>
      <c r="S49" s="114">
        <v>0</v>
      </c>
      <c r="T49" s="114">
        <v>443</v>
      </c>
      <c r="U49" s="114">
        <v>0</v>
      </c>
      <c r="V49" s="113">
        <f t="shared" si="3"/>
        <v>0</v>
      </c>
      <c r="W49" s="114">
        <v>0</v>
      </c>
      <c r="X49" s="114">
        <v>0</v>
      </c>
    </row>
    <row r="50">
      <c r="B50" s="112">
        <v>6</v>
      </c>
      <c r="C50" s="128" t="s">
        <v>130</v>
      </c>
      <c r="D50" s="42">
        <v>28</v>
      </c>
      <c r="E50" s="115">
        <v>6</v>
      </c>
      <c r="F50" s="117">
        <f>SUM(F51:F59)</f>
        <v>0</v>
      </c>
      <c r="G50" s="113">
        <f t="shared" si="0"/>
        <v>0</v>
      </c>
      <c r="H50" s="117">
        <f ref="H50:N50" t="shared" si="19">SUM(H51:H59)</f>
        <v>0</v>
      </c>
      <c r="I50" s="117">
        <f t="shared" si="19"/>
        <v>0</v>
      </c>
      <c r="J50" s="117">
        <v>6</v>
      </c>
      <c r="K50" s="117">
        <f t="shared" si="19"/>
        <v>0</v>
      </c>
      <c r="L50" s="113">
        <f t="shared" si="1"/>
        <v>0</v>
      </c>
      <c r="M50" s="117">
        <f t="shared" si="19"/>
        <v>0</v>
      </c>
      <c r="N50" s="117">
        <f t="shared" si="19"/>
        <v>0</v>
      </c>
      <c r="O50" s="115">
        <v>6</v>
      </c>
      <c r="P50" s="117">
        <f>SUM(P51:P59)</f>
        <v>0</v>
      </c>
      <c r="Q50" s="113">
        <f t="shared" si="2"/>
        <v>0</v>
      </c>
      <c r="R50" s="117">
        <f ref="R50:S50" t="shared" si="20">SUM(R51:R59)</f>
        <v>0</v>
      </c>
      <c r="S50" s="117">
        <f t="shared" si="20"/>
        <v>0</v>
      </c>
      <c r="T50" s="117">
        <v>6</v>
      </c>
      <c r="U50" s="117">
        <f>SUM(U51:U59)</f>
        <v>0</v>
      </c>
      <c r="V50" s="113">
        <f t="shared" si="3"/>
        <v>0</v>
      </c>
      <c r="W50" s="117">
        <f ref="W50:X50" t="shared" si="22">SUM(W51:W59)</f>
        <v>0</v>
      </c>
      <c r="X50" s="117">
        <f t="shared" si="22"/>
        <v>0</v>
      </c>
    </row>
    <row r="51">
      <c r="B51" s="112"/>
      <c r="C51" s="127" t="s">
        <v>131</v>
      </c>
      <c r="D51" s="42">
        <v>29</v>
      </c>
      <c r="E51" s="118">
        <v>463</v>
      </c>
      <c r="F51" s="114">
        <v>0</v>
      </c>
      <c r="G51" s="113">
        <f t="shared" si="0"/>
        <v>0</v>
      </c>
      <c r="H51" s="114">
        <v>0</v>
      </c>
      <c r="I51" s="114">
        <v>0</v>
      </c>
      <c r="J51" s="114">
        <v>0</v>
      </c>
      <c r="K51" s="114">
        <v>0</v>
      </c>
      <c r="L51" s="113">
        <f t="shared" si="1"/>
        <v>0</v>
      </c>
      <c r="M51" s="114">
        <v>0</v>
      </c>
      <c r="N51" s="114">
        <v>0</v>
      </c>
      <c r="O51" s="118">
        <v>463</v>
      </c>
      <c r="P51" s="114">
        <v>0</v>
      </c>
      <c r="Q51" s="113">
        <f t="shared" si="2"/>
        <v>0</v>
      </c>
      <c r="R51" s="114">
        <v>0</v>
      </c>
      <c r="S51" s="114">
        <v>0</v>
      </c>
      <c r="T51" s="114">
        <v>463</v>
      </c>
      <c r="U51" s="114">
        <v>0</v>
      </c>
      <c r="V51" s="113">
        <f t="shared" si="3"/>
        <v>0</v>
      </c>
      <c r="W51" s="114">
        <v>0</v>
      </c>
      <c r="X51" s="114">
        <v>0</v>
      </c>
    </row>
    <row r="52">
      <c r="B52" s="112"/>
      <c r="C52" s="127" t="s">
        <v>132</v>
      </c>
      <c r="D52" s="42">
        <v>30</v>
      </c>
      <c r="E52" s="118">
        <v>473</v>
      </c>
      <c r="F52" s="114">
        <v>0</v>
      </c>
      <c r="G52" s="113">
        <f t="shared" si="0"/>
        <v>0</v>
      </c>
      <c r="H52" s="114">
        <v>0</v>
      </c>
      <c r="I52" s="114">
        <v>0</v>
      </c>
      <c r="J52" s="114">
        <v>0</v>
      </c>
      <c r="K52" s="114">
        <v>0</v>
      </c>
      <c r="L52" s="113">
        <f t="shared" si="1"/>
        <v>0</v>
      </c>
      <c r="M52" s="114">
        <v>0</v>
      </c>
      <c r="N52" s="114">
        <v>0</v>
      </c>
      <c r="O52" s="118">
        <v>473</v>
      </c>
      <c r="P52" s="114">
        <v>0</v>
      </c>
      <c r="Q52" s="113">
        <f t="shared" si="2"/>
        <v>0</v>
      </c>
      <c r="R52" s="114">
        <v>0</v>
      </c>
      <c r="S52" s="114">
        <v>0</v>
      </c>
      <c r="T52" s="114">
        <v>473</v>
      </c>
      <c r="U52" s="114">
        <v>0</v>
      </c>
      <c r="V52" s="113">
        <f t="shared" si="3"/>
        <v>0</v>
      </c>
      <c r="W52" s="114">
        <v>0</v>
      </c>
      <c r="X52" s="114">
        <v>0</v>
      </c>
    </row>
    <row r="53">
      <c r="B53" s="42"/>
      <c r="C53" s="124" t="s">
        <v>133</v>
      </c>
      <c r="D53" s="42">
        <v>31</v>
      </c>
      <c r="E53" s="119">
        <v>5</v>
      </c>
      <c r="F53" s="114">
        <v>0</v>
      </c>
      <c r="G53" s="113">
        <f t="shared" si="0"/>
        <v>0</v>
      </c>
      <c r="H53" s="114">
        <v>0</v>
      </c>
      <c r="I53" s="114">
        <v>0</v>
      </c>
      <c r="J53" s="114">
        <v>0</v>
      </c>
      <c r="K53" s="114">
        <v>0</v>
      </c>
      <c r="L53" s="113">
        <f t="shared" si="1"/>
        <v>0</v>
      </c>
      <c r="M53" s="114">
        <v>0</v>
      </c>
      <c r="N53" s="114">
        <v>0</v>
      </c>
      <c r="O53" s="119">
        <v>5</v>
      </c>
      <c r="P53" s="114">
        <v>0</v>
      </c>
      <c r="Q53" s="113">
        <f t="shared" si="2"/>
        <v>0</v>
      </c>
      <c r="R53" s="114">
        <v>0</v>
      </c>
      <c r="S53" s="114">
        <v>0</v>
      </c>
      <c r="T53" s="114">
        <v>5</v>
      </c>
      <c r="U53" s="114">
        <v>0</v>
      </c>
      <c r="V53" s="113">
        <f t="shared" si="3"/>
        <v>0</v>
      </c>
      <c r="W53" s="114">
        <v>0</v>
      </c>
      <c r="X53" s="114">
        <v>0</v>
      </c>
    </row>
    <row r="54">
      <c r="B54" s="112"/>
      <c r="C54" s="122" t="s">
        <v>134</v>
      </c>
      <c r="D54" s="42">
        <v>32</v>
      </c>
      <c r="E54" s="119">
        <v>6</v>
      </c>
      <c r="F54" s="114">
        <v>0</v>
      </c>
      <c r="G54" s="113">
        <f t="shared" si="0"/>
        <v>0</v>
      </c>
      <c r="H54" s="114">
        <v>0</v>
      </c>
      <c r="I54" s="114">
        <v>0</v>
      </c>
      <c r="J54" s="114">
        <v>0</v>
      </c>
      <c r="K54" s="114">
        <v>0</v>
      </c>
      <c r="L54" s="113">
        <f t="shared" si="1"/>
        <v>0</v>
      </c>
      <c r="M54" s="114">
        <v>0</v>
      </c>
      <c r="N54" s="114">
        <v>0</v>
      </c>
      <c r="O54" s="119">
        <v>6</v>
      </c>
      <c r="P54" s="114">
        <v>0</v>
      </c>
      <c r="Q54" s="113">
        <f t="shared" si="2"/>
        <v>0</v>
      </c>
      <c r="R54" s="114">
        <v>0</v>
      </c>
      <c r="S54" s="114">
        <v>0</v>
      </c>
      <c r="T54" s="114">
        <v>6</v>
      </c>
      <c r="U54" s="114">
        <v>0</v>
      </c>
      <c r="V54" s="113">
        <f t="shared" si="3"/>
        <v>0</v>
      </c>
      <c r="W54" s="114">
        <v>0</v>
      </c>
      <c r="X54" s="114">
        <v>0</v>
      </c>
    </row>
    <row r="55">
      <c r="B55" s="112"/>
      <c r="C55" s="127" t="s">
        <v>135</v>
      </c>
      <c r="D55" s="42">
        <v>33</v>
      </c>
      <c r="E55" s="118">
        <v>508</v>
      </c>
      <c r="F55" s="114">
        <v>0</v>
      </c>
      <c r="G55" s="113">
        <f t="shared" si="0"/>
        <v>0</v>
      </c>
      <c r="H55" s="114">
        <v>0</v>
      </c>
      <c r="I55" s="114">
        <v>0</v>
      </c>
      <c r="J55" s="114">
        <v>0</v>
      </c>
      <c r="K55" s="114">
        <v>0</v>
      </c>
      <c r="L55" s="113">
        <f t="shared" si="1"/>
        <v>0</v>
      </c>
      <c r="M55" s="114">
        <v>0</v>
      </c>
      <c r="N55" s="114">
        <v>0</v>
      </c>
      <c r="O55" s="118">
        <v>508</v>
      </c>
      <c r="P55" s="114">
        <v>0</v>
      </c>
      <c r="Q55" s="113">
        <f t="shared" si="2"/>
        <v>0</v>
      </c>
      <c r="R55" s="114">
        <v>0</v>
      </c>
      <c r="S55" s="114">
        <v>0</v>
      </c>
      <c r="T55" s="114">
        <v>508</v>
      </c>
      <c r="U55" s="114">
        <v>0</v>
      </c>
      <c r="V55" s="113">
        <f t="shared" si="3"/>
        <v>0</v>
      </c>
      <c r="W55" s="114">
        <v>0</v>
      </c>
      <c r="X55" s="114">
        <v>0</v>
      </c>
    </row>
    <row r="56">
      <c r="B56" s="112"/>
      <c r="C56" s="127" t="s">
        <v>136</v>
      </c>
      <c r="D56" s="42">
        <v>34</v>
      </c>
      <c r="E56" s="118">
        <v>515</v>
      </c>
      <c r="F56" s="114">
        <v>0</v>
      </c>
      <c r="G56" s="113">
        <f t="shared" si="0"/>
        <v>0</v>
      </c>
      <c r="H56" s="114">
        <v>0</v>
      </c>
      <c r="I56" s="114">
        <v>0</v>
      </c>
      <c r="J56" s="114">
        <v>0</v>
      </c>
      <c r="K56" s="114">
        <v>0</v>
      </c>
      <c r="L56" s="113">
        <f t="shared" si="1"/>
        <v>0</v>
      </c>
      <c r="M56" s="114">
        <v>0</v>
      </c>
      <c r="N56" s="114">
        <v>0</v>
      </c>
      <c r="O56" s="118">
        <v>515</v>
      </c>
      <c r="P56" s="114">
        <v>0</v>
      </c>
      <c r="Q56" s="113">
        <f t="shared" si="2"/>
        <v>0</v>
      </c>
      <c r="R56" s="114">
        <v>0</v>
      </c>
      <c r="S56" s="114">
        <v>0</v>
      </c>
      <c r="T56" s="114">
        <v>515</v>
      </c>
      <c r="U56" s="114">
        <v>0</v>
      </c>
      <c r="V56" s="113">
        <f t="shared" si="3"/>
        <v>0</v>
      </c>
      <c r="W56" s="114">
        <v>0</v>
      </c>
      <c r="X56" s="114">
        <v>0</v>
      </c>
    </row>
    <row r="57">
      <c r="B57" s="112"/>
      <c r="C57" s="127" t="s">
        <v>137</v>
      </c>
      <c r="D57" s="42">
        <v>35</v>
      </c>
      <c r="E57" s="118">
        <v>532</v>
      </c>
      <c r="F57" s="114">
        <v>0</v>
      </c>
      <c r="G57" s="113">
        <f t="shared" si="0"/>
        <v>0</v>
      </c>
      <c r="H57" s="114">
        <v>0</v>
      </c>
      <c r="I57" s="114">
        <v>0</v>
      </c>
      <c r="J57" s="114">
        <v>0</v>
      </c>
      <c r="K57" s="114">
        <v>0</v>
      </c>
      <c r="L57" s="113">
        <f t="shared" si="1"/>
        <v>0</v>
      </c>
      <c r="M57" s="114">
        <v>0</v>
      </c>
      <c r="N57" s="114">
        <v>0</v>
      </c>
      <c r="O57" s="118">
        <v>532</v>
      </c>
      <c r="P57" s="114">
        <v>0</v>
      </c>
      <c r="Q57" s="113">
        <f t="shared" si="2"/>
        <v>0</v>
      </c>
      <c r="R57" s="114">
        <v>0</v>
      </c>
      <c r="S57" s="114">
        <v>0</v>
      </c>
      <c r="T57" s="114">
        <v>532</v>
      </c>
      <c r="U57" s="114">
        <v>0</v>
      </c>
      <c r="V57" s="113">
        <f t="shared" si="3"/>
        <v>0</v>
      </c>
      <c r="W57" s="114">
        <v>0</v>
      </c>
      <c r="X57" s="114">
        <v>0</v>
      </c>
    </row>
    <row r="58">
      <c r="B58" s="112"/>
      <c r="C58" s="127" t="s">
        <v>138</v>
      </c>
      <c r="D58" s="42">
        <v>36</v>
      </c>
      <c r="E58" s="118">
        <v>533</v>
      </c>
      <c r="F58" s="114">
        <v>0</v>
      </c>
      <c r="G58" s="113">
        <f t="shared" si="0"/>
        <v>0</v>
      </c>
      <c r="H58" s="114">
        <v>0</v>
      </c>
      <c r="I58" s="114">
        <v>0</v>
      </c>
      <c r="J58" s="114">
        <v>0</v>
      </c>
      <c r="K58" s="114">
        <v>0</v>
      </c>
      <c r="L58" s="113">
        <f t="shared" si="1"/>
        <v>0</v>
      </c>
      <c r="M58" s="114">
        <v>0</v>
      </c>
      <c r="N58" s="114">
        <v>0</v>
      </c>
      <c r="O58" s="118">
        <v>533</v>
      </c>
      <c r="P58" s="114">
        <v>0</v>
      </c>
      <c r="Q58" s="113">
        <f t="shared" si="2"/>
        <v>0</v>
      </c>
      <c r="R58" s="114">
        <v>0</v>
      </c>
      <c r="S58" s="114">
        <v>0</v>
      </c>
      <c r="T58" s="114">
        <v>533</v>
      </c>
      <c r="U58" s="114">
        <v>0</v>
      </c>
      <c r="V58" s="113">
        <f t="shared" si="3"/>
        <v>0</v>
      </c>
      <c r="W58" s="114">
        <v>0</v>
      </c>
      <c r="X58" s="114">
        <v>0</v>
      </c>
    </row>
    <row r="59">
      <c r="B59" s="112"/>
      <c r="C59" s="127" t="s">
        <v>139</v>
      </c>
      <c r="D59" s="42">
        <v>37</v>
      </c>
      <c r="E59" s="118">
        <v>534</v>
      </c>
      <c r="F59" s="114">
        <v>0</v>
      </c>
      <c r="G59" s="113">
        <f t="shared" si="0"/>
        <v>0</v>
      </c>
      <c r="H59" s="114">
        <v>0</v>
      </c>
      <c r="I59" s="114">
        <v>0</v>
      </c>
      <c r="J59" s="114">
        <v>0</v>
      </c>
      <c r="K59" s="114">
        <v>0</v>
      </c>
      <c r="L59" s="113">
        <f t="shared" si="1"/>
        <v>0</v>
      </c>
      <c r="M59" s="114">
        <v>0</v>
      </c>
      <c r="N59" s="114">
        <v>0</v>
      </c>
      <c r="O59" s="118">
        <v>534</v>
      </c>
      <c r="P59" s="114">
        <v>0</v>
      </c>
      <c r="Q59" s="113">
        <f t="shared" si="2"/>
        <v>0</v>
      </c>
      <c r="R59" s="114">
        <v>0</v>
      </c>
      <c r="S59" s="114">
        <v>0</v>
      </c>
      <c r="T59" s="114">
        <v>534</v>
      </c>
      <c r="U59" s="114">
        <v>0</v>
      </c>
      <c r="V59" s="113">
        <f t="shared" si="3"/>
        <v>0</v>
      </c>
      <c r="W59" s="114">
        <v>0</v>
      </c>
      <c r="X59" s="114">
        <v>0</v>
      </c>
    </row>
    <row r="60">
      <c r="B60" s="112">
        <v>7</v>
      </c>
      <c r="C60" s="128" t="s">
        <v>140</v>
      </c>
      <c r="D60" s="42">
        <v>38</v>
      </c>
      <c r="E60" s="115">
        <v>7</v>
      </c>
      <c r="F60" s="117">
        <f>SUM(F61:F65)</f>
        <v>0</v>
      </c>
      <c r="G60" s="113">
        <f t="shared" si="0"/>
        <v>0</v>
      </c>
      <c r="H60" s="117">
        <f ref="H60:N60" t="shared" si="23">SUM(H61:H65)</f>
        <v>0</v>
      </c>
      <c r="I60" s="117">
        <f t="shared" si="23"/>
        <v>0</v>
      </c>
      <c r="J60" s="117">
        <v>7</v>
      </c>
      <c r="K60" s="117">
        <f t="shared" si="23"/>
        <v>0</v>
      </c>
      <c r="L60" s="113">
        <f t="shared" si="1"/>
        <v>0</v>
      </c>
      <c r="M60" s="117">
        <f t="shared" si="23"/>
        <v>0</v>
      </c>
      <c r="N60" s="117">
        <f t="shared" si="23"/>
        <v>0</v>
      </c>
      <c r="O60" s="115">
        <v>7</v>
      </c>
      <c r="P60" s="117">
        <f>SUM(P61:P65)</f>
        <v>0</v>
      </c>
      <c r="Q60" s="113">
        <f t="shared" si="2"/>
        <v>0</v>
      </c>
      <c r="R60" s="117">
        <f ref="R60:S60" t="shared" si="24">SUM(R61:R65)</f>
        <v>0</v>
      </c>
      <c r="S60" s="117">
        <f t="shared" si="24"/>
        <v>0</v>
      </c>
      <c r="T60" s="117">
        <v>7</v>
      </c>
      <c r="U60" s="117">
        <f>SUM(U61:U65)</f>
        <v>0</v>
      </c>
      <c r="V60" s="113">
        <f t="shared" si="3"/>
        <v>0</v>
      </c>
      <c r="W60" s="117">
        <f ref="W60:X60" t="shared" si="26">SUM(W61:W65)</f>
        <v>0</v>
      </c>
      <c r="X60" s="117">
        <f t="shared" si="26"/>
        <v>0</v>
      </c>
    </row>
    <row r="61">
      <c r="B61" s="112"/>
      <c r="C61" s="124" t="s">
        <v>141</v>
      </c>
      <c r="D61" s="42">
        <v>39</v>
      </c>
      <c r="E61" s="119">
        <v>6</v>
      </c>
      <c r="F61" s="114">
        <v>0</v>
      </c>
      <c r="G61" s="113">
        <f t="shared" si="0"/>
        <v>0</v>
      </c>
      <c r="H61" s="114">
        <v>0</v>
      </c>
      <c r="I61" s="114">
        <v>0</v>
      </c>
      <c r="J61" s="114">
        <v>0</v>
      </c>
      <c r="K61" s="114">
        <v>0</v>
      </c>
      <c r="L61" s="113">
        <f t="shared" si="1"/>
        <v>0</v>
      </c>
      <c r="M61" s="114">
        <v>0</v>
      </c>
      <c r="N61" s="114">
        <v>0</v>
      </c>
      <c r="O61" s="119">
        <v>6</v>
      </c>
      <c r="P61" s="114">
        <v>0</v>
      </c>
      <c r="Q61" s="113">
        <f t="shared" si="2"/>
        <v>0</v>
      </c>
      <c r="R61" s="114">
        <v>0</v>
      </c>
      <c r="S61" s="114">
        <v>0</v>
      </c>
      <c r="T61" s="114">
        <v>6</v>
      </c>
      <c r="U61" s="114">
        <v>0</v>
      </c>
      <c r="V61" s="113">
        <f t="shared" si="3"/>
        <v>0</v>
      </c>
      <c r="W61" s="114">
        <v>0</v>
      </c>
      <c r="X61" s="114">
        <v>0</v>
      </c>
    </row>
    <row r="62">
      <c r="B62" s="112"/>
      <c r="C62" s="122" t="s">
        <v>142</v>
      </c>
      <c r="D62" s="42">
        <v>40</v>
      </c>
      <c r="E62" s="119">
        <v>7</v>
      </c>
      <c r="F62" s="114">
        <v>0</v>
      </c>
      <c r="G62" s="113">
        <f t="shared" si="0"/>
        <v>0</v>
      </c>
      <c r="H62" s="114">
        <v>0</v>
      </c>
      <c r="I62" s="114">
        <v>0</v>
      </c>
      <c r="J62" s="114">
        <v>0</v>
      </c>
      <c r="K62" s="114">
        <v>0</v>
      </c>
      <c r="L62" s="113">
        <f t="shared" si="1"/>
        <v>0</v>
      </c>
      <c r="M62" s="114">
        <v>0</v>
      </c>
      <c r="N62" s="114">
        <v>0</v>
      </c>
      <c r="O62" s="119">
        <v>7</v>
      </c>
      <c r="P62" s="114">
        <v>0</v>
      </c>
      <c r="Q62" s="113">
        <f t="shared" si="2"/>
        <v>0</v>
      </c>
      <c r="R62" s="114">
        <v>0</v>
      </c>
      <c r="S62" s="114">
        <v>0</v>
      </c>
      <c r="T62" s="114">
        <v>7</v>
      </c>
      <c r="U62" s="114">
        <v>0</v>
      </c>
      <c r="V62" s="113">
        <f t="shared" si="3"/>
        <v>0</v>
      </c>
      <c r="W62" s="114">
        <v>0</v>
      </c>
      <c r="X62" s="114">
        <v>0</v>
      </c>
    </row>
    <row r="63">
      <c r="B63" s="112"/>
      <c r="C63" s="127" t="s">
        <v>143</v>
      </c>
      <c r="D63" s="42">
        <v>41</v>
      </c>
      <c r="E63" s="118">
        <v>618</v>
      </c>
      <c r="F63" s="114">
        <v>0</v>
      </c>
      <c r="G63" s="113">
        <f t="shared" si="0"/>
        <v>0</v>
      </c>
      <c r="H63" s="114">
        <v>0</v>
      </c>
      <c r="I63" s="114">
        <v>0</v>
      </c>
      <c r="J63" s="114">
        <v>0</v>
      </c>
      <c r="K63" s="114">
        <v>0</v>
      </c>
      <c r="L63" s="113">
        <f t="shared" si="1"/>
        <v>0</v>
      </c>
      <c r="M63" s="114">
        <v>0</v>
      </c>
      <c r="N63" s="114">
        <v>0</v>
      </c>
      <c r="O63" s="118">
        <v>618</v>
      </c>
      <c r="P63" s="114">
        <v>0</v>
      </c>
      <c r="Q63" s="113">
        <f t="shared" si="2"/>
        <v>0</v>
      </c>
      <c r="R63" s="114">
        <v>0</v>
      </c>
      <c r="S63" s="114">
        <v>0</v>
      </c>
      <c r="T63" s="114">
        <v>618</v>
      </c>
      <c r="U63" s="114">
        <v>0</v>
      </c>
      <c r="V63" s="113">
        <f t="shared" si="3"/>
        <v>0</v>
      </c>
      <c r="W63" s="114">
        <v>0</v>
      </c>
      <c r="X63" s="114">
        <v>0</v>
      </c>
    </row>
    <row r="64">
      <c r="B64" s="112"/>
      <c r="C64" s="127" t="s">
        <v>144</v>
      </c>
      <c r="D64" s="42">
        <v>42</v>
      </c>
      <c r="E64" s="118">
        <v>655</v>
      </c>
      <c r="F64" s="114">
        <v>0</v>
      </c>
      <c r="G64" s="113">
        <f t="shared" si="0"/>
        <v>0</v>
      </c>
      <c r="H64" s="114">
        <v>0</v>
      </c>
      <c r="I64" s="114">
        <v>0</v>
      </c>
      <c r="J64" s="114">
        <v>0</v>
      </c>
      <c r="K64" s="114">
        <v>0</v>
      </c>
      <c r="L64" s="113">
        <f t="shared" si="1"/>
        <v>0</v>
      </c>
      <c r="M64" s="114">
        <v>0</v>
      </c>
      <c r="N64" s="114">
        <v>0</v>
      </c>
      <c r="O64" s="118">
        <v>655</v>
      </c>
      <c r="P64" s="114">
        <v>0</v>
      </c>
      <c r="Q64" s="113">
        <f t="shared" si="2"/>
        <v>0</v>
      </c>
      <c r="R64" s="114">
        <v>0</v>
      </c>
      <c r="S64" s="114">
        <v>0</v>
      </c>
      <c r="T64" s="114">
        <v>655</v>
      </c>
      <c r="U64" s="114">
        <v>0</v>
      </c>
      <c r="V64" s="113">
        <f t="shared" si="3"/>
        <v>0</v>
      </c>
      <c r="W64" s="114">
        <v>0</v>
      </c>
      <c r="X64" s="114">
        <v>0</v>
      </c>
    </row>
    <row r="65">
      <c r="B65" s="112"/>
      <c r="C65" s="127" t="s">
        <v>145</v>
      </c>
      <c r="D65" s="42">
        <v>43</v>
      </c>
      <c r="E65" s="118">
        <v>645</v>
      </c>
      <c r="F65" s="114">
        <v>0</v>
      </c>
      <c r="G65" s="113">
        <f t="shared" si="0"/>
        <v>0</v>
      </c>
      <c r="H65" s="114">
        <v>0</v>
      </c>
      <c r="I65" s="114">
        <v>0</v>
      </c>
      <c r="J65" s="114">
        <v>0</v>
      </c>
      <c r="K65" s="114">
        <v>0</v>
      </c>
      <c r="L65" s="113">
        <f t="shared" si="1"/>
        <v>0</v>
      </c>
      <c r="M65" s="114">
        <v>0</v>
      </c>
      <c r="N65" s="114">
        <v>0</v>
      </c>
      <c r="O65" s="118">
        <v>645</v>
      </c>
      <c r="P65" s="114">
        <v>0</v>
      </c>
      <c r="Q65" s="113">
        <f t="shared" si="2"/>
        <v>0</v>
      </c>
      <c r="R65" s="114">
        <v>0</v>
      </c>
      <c r="S65" s="114">
        <v>0</v>
      </c>
      <c r="T65" s="114">
        <v>645</v>
      </c>
      <c r="U65" s="114">
        <v>0</v>
      </c>
      <c r="V65" s="113">
        <f t="shared" si="3"/>
        <v>0</v>
      </c>
      <c r="W65" s="114">
        <v>0</v>
      </c>
      <c r="X65" s="114">
        <v>0</v>
      </c>
    </row>
    <row r="66">
      <c r="B66" s="112">
        <v>8</v>
      </c>
      <c r="C66" s="128" t="s">
        <v>146</v>
      </c>
      <c r="D66" s="42">
        <v>44</v>
      </c>
      <c r="E66" s="115">
        <v>8</v>
      </c>
      <c r="F66" s="117">
        <f>SUM(F67:F71)</f>
        <v>0</v>
      </c>
      <c r="G66" s="113">
        <f t="shared" si="0"/>
        <v>0</v>
      </c>
      <c r="H66" s="117">
        <f ref="H66:N66" t="shared" si="27">SUM(H67:H71)</f>
        <v>0</v>
      </c>
      <c r="I66" s="117">
        <f t="shared" si="27"/>
        <v>0</v>
      </c>
      <c r="J66" s="117">
        <v>8</v>
      </c>
      <c r="K66" s="117">
        <f t="shared" si="27"/>
        <v>0</v>
      </c>
      <c r="L66" s="113">
        <f t="shared" si="1"/>
        <v>0</v>
      </c>
      <c r="M66" s="117">
        <f t="shared" si="27"/>
        <v>0</v>
      </c>
      <c r="N66" s="117">
        <f t="shared" si="27"/>
        <v>0</v>
      </c>
      <c r="O66" s="115">
        <v>8</v>
      </c>
      <c r="P66" s="117">
        <f>SUM(P67:P71)</f>
        <v>0</v>
      </c>
      <c r="Q66" s="113">
        <f t="shared" si="2"/>
        <v>0</v>
      </c>
      <c r="R66" s="117">
        <f ref="R66:S66" t="shared" si="28">SUM(R67:R71)</f>
        <v>0</v>
      </c>
      <c r="S66" s="117">
        <f t="shared" si="28"/>
        <v>0</v>
      </c>
      <c r="T66" s="117">
        <v>8</v>
      </c>
      <c r="U66" s="117">
        <f>SUM(U67:U71)</f>
        <v>0</v>
      </c>
      <c r="V66" s="113">
        <f t="shared" si="3"/>
        <v>0</v>
      </c>
      <c r="W66" s="117">
        <f ref="W66:X66" t="shared" si="30">SUM(W67:W71)</f>
        <v>0</v>
      </c>
      <c r="X66" s="117">
        <f t="shared" si="30"/>
        <v>0</v>
      </c>
    </row>
    <row r="67">
      <c r="B67" s="112"/>
      <c r="C67" s="127" t="s">
        <v>147</v>
      </c>
      <c r="D67" s="42">
        <v>45</v>
      </c>
      <c r="E67" s="118">
        <v>653</v>
      </c>
      <c r="F67" s="114">
        <v>0</v>
      </c>
      <c r="G67" s="113">
        <f t="shared" si="0"/>
        <v>0</v>
      </c>
      <c r="H67" s="114">
        <v>0</v>
      </c>
      <c r="I67" s="114">
        <v>0</v>
      </c>
      <c r="J67" s="114">
        <v>0</v>
      </c>
      <c r="K67" s="114">
        <v>0</v>
      </c>
      <c r="L67" s="113">
        <f t="shared" si="1"/>
        <v>0</v>
      </c>
      <c r="M67" s="114">
        <v>0</v>
      </c>
      <c r="N67" s="114">
        <v>0</v>
      </c>
      <c r="O67" s="118">
        <v>653</v>
      </c>
      <c r="P67" s="114">
        <v>0</v>
      </c>
      <c r="Q67" s="113">
        <f t="shared" si="2"/>
        <v>0</v>
      </c>
      <c r="R67" s="114">
        <v>0</v>
      </c>
      <c r="S67" s="114">
        <v>0</v>
      </c>
      <c r="T67" s="114">
        <v>653</v>
      </c>
      <c r="U67" s="114">
        <v>0</v>
      </c>
      <c r="V67" s="113">
        <f t="shared" si="3"/>
        <v>0</v>
      </c>
      <c r="W67" s="114">
        <v>0</v>
      </c>
      <c r="X67" s="114">
        <v>0</v>
      </c>
    </row>
    <row r="68">
      <c r="B68" s="42"/>
      <c r="C68" s="124" t="s">
        <v>148</v>
      </c>
      <c r="D68" s="42">
        <v>46</v>
      </c>
      <c r="E68" s="119">
        <v>7</v>
      </c>
      <c r="F68" s="114">
        <v>0</v>
      </c>
      <c r="G68" s="113">
        <f t="shared" si="0"/>
        <v>0</v>
      </c>
      <c r="H68" s="114">
        <v>0</v>
      </c>
      <c r="I68" s="114">
        <v>0</v>
      </c>
      <c r="J68" s="114">
        <v>0</v>
      </c>
      <c r="K68" s="114">
        <v>0</v>
      </c>
      <c r="L68" s="113">
        <f t="shared" si="1"/>
        <v>0</v>
      </c>
      <c r="M68" s="114">
        <v>0</v>
      </c>
      <c r="N68" s="114">
        <v>0</v>
      </c>
      <c r="O68" s="119">
        <v>7</v>
      </c>
      <c r="P68" s="114">
        <v>0</v>
      </c>
      <c r="Q68" s="113">
        <f t="shared" si="2"/>
        <v>0</v>
      </c>
      <c r="R68" s="114">
        <v>0</v>
      </c>
      <c r="S68" s="114">
        <v>0</v>
      </c>
      <c r="T68" s="114">
        <v>7</v>
      </c>
      <c r="U68" s="114">
        <v>0</v>
      </c>
      <c r="V68" s="113">
        <f t="shared" si="3"/>
        <v>0</v>
      </c>
      <c r="W68" s="114">
        <v>0</v>
      </c>
      <c r="X68" s="114">
        <v>0</v>
      </c>
    </row>
    <row r="69">
      <c r="B69" s="112"/>
      <c r="C69" s="122" t="s">
        <v>149</v>
      </c>
      <c r="D69" s="42">
        <v>47</v>
      </c>
      <c r="E69" s="119">
        <v>8</v>
      </c>
      <c r="F69" s="114">
        <v>0</v>
      </c>
      <c r="G69" s="113">
        <f t="shared" si="0"/>
        <v>0</v>
      </c>
      <c r="H69" s="114">
        <v>0</v>
      </c>
      <c r="I69" s="114">
        <v>0</v>
      </c>
      <c r="J69" s="114">
        <v>0</v>
      </c>
      <c r="K69" s="114">
        <v>0</v>
      </c>
      <c r="L69" s="113">
        <f t="shared" si="1"/>
        <v>0</v>
      </c>
      <c r="M69" s="114">
        <v>0</v>
      </c>
      <c r="N69" s="114">
        <v>0</v>
      </c>
      <c r="O69" s="119">
        <v>8</v>
      </c>
      <c r="P69" s="114">
        <v>0</v>
      </c>
      <c r="Q69" s="113">
        <f t="shared" si="2"/>
        <v>0</v>
      </c>
      <c r="R69" s="114">
        <v>0</v>
      </c>
      <c r="S69" s="114">
        <v>0</v>
      </c>
      <c r="T69" s="114">
        <v>8</v>
      </c>
      <c r="U69" s="114">
        <v>0</v>
      </c>
      <c r="V69" s="113">
        <f t="shared" si="3"/>
        <v>0</v>
      </c>
      <c r="W69" s="114">
        <v>0</v>
      </c>
      <c r="X69" s="114">
        <v>0</v>
      </c>
    </row>
    <row r="70">
      <c r="B70" s="112"/>
      <c r="C70" s="127" t="s">
        <v>150</v>
      </c>
      <c r="D70" s="42">
        <v>48</v>
      </c>
      <c r="E70" s="118">
        <v>703</v>
      </c>
      <c r="F70" s="114">
        <v>0</v>
      </c>
      <c r="G70" s="113">
        <f t="shared" si="0"/>
        <v>0</v>
      </c>
      <c r="H70" s="114">
        <v>0</v>
      </c>
      <c r="I70" s="114">
        <v>0</v>
      </c>
      <c r="J70" s="114">
        <v>0</v>
      </c>
      <c r="K70" s="114">
        <v>0</v>
      </c>
      <c r="L70" s="113">
        <f t="shared" si="1"/>
        <v>0</v>
      </c>
      <c r="M70" s="114">
        <v>0</v>
      </c>
      <c r="N70" s="114">
        <v>0</v>
      </c>
      <c r="O70" s="118">
        <v>703</v>
      </c>
      <c r="P70" s="114">
        <v>0</v>
      </c>
      <c r="Q70" s="113">
        <f t="shared" si="2"/>
        <v>0</v>
      </c>
      <c r="R70" s="114">
        <v>0</v>
      </c>
      <c r="S70" s="114">
        <v>0</v>
      </c>
      <c r="T70" s="114">
        <v>703</v>
      </c>
      <c r="U70" s="114">
        <v>0</v>
      </c>
      <c r="V70" s="113">
        <f t="shared" si="3"/>
        <v>0</v>
      </c>
      <c r="W70" s="114">
        <v>0</v>
      </c>
      <c r="X70" s="114">
        <v>0</v>
      </c>
    </row>
    <row r="71">
      <c r="B71" s="112"/>
      <c r="C71" s="127" t="s">
        <v>151</v>
      </c>
      <c r="D71" s="42">
        <v>49</v>
      </c>
      <c r="E71" s="118">
        <v>705</v>
      </c>
      <c r="F71" s="114">
        <v>0</v>
      </c>
      <c r="G71" s="113">
        <f t="shared" si="0"/>
        <v>0</v>
      </c>
      <c r="H71" s="114">
        <v>0</v>
      </c>
      <c r="I71" s="114">
        <v>0</v>
      </c>
      <c r="J71" s="114">
        <v>0</v>
      </c>
      <c r="K71" s="114">
        <v>0</v>
      </c>
      <c r="L71" s="113">
        <f t="shared" si="1"/>
        <v>0</v>
      </c>
      <c r="M71" s="114">
        <v>0</v>
      </c>
      <c r="N71" s="114">
        <v>0</v>
      </c>
      <c r="O71" s="118">
        <v>705</v>
      </c>
      <c r="P71" s="114">
        <v>0</v>
      </c>
      <c r="Q71" s="113">
        <f t="shared" si="2"/>
        <v>0</v>
      </c>
      <c r="R71" s="114">
        <v>0</v>
      </c>
      <c r="S71" s="114">
        <v>0</v>
      </c>
      <c r="T71" s="114">
        <v>705</v>
      </c>
      <c r="U71" s="114">
        <v>0</v>
      </c>
      <c r="V71" s="113">
        <f t="shared" si="3"/>
        <v>0</v>
      </c>
      <c r="W71" s="114">
        <v>0</v>
      </c>
      <c r="X71" s="114">
        <v>0</v>
      </c>
    </row>
    <row r="72">
      <c r="B72" s="112">
        <v>9</v>
      </c>
      <c r="C72" s="128" t="s">
        <v>152</v>
      </c>
      <c r="D72" s="42">
        <v>50</v>
      </c>
      <c r="E72" s="115">
        <v>9</v>
      </c>
      <c r="F72" s="117">
        <f>SUM(F73:F78)</f>
        <v>0</v>
      </c>
      <c r="G72" s="113">
        <f t="shared" si="0"/>
        <v>0</v>
      </c>
      <c r="H72" s="117">
        <f ref="H72:N72" t="shared" si="31">SUM(H73:H78)</f>
        <v>0</v>
      </c>
      <c r="I72" s="117">
        <f t="shared" si="31"/>
        <v>0</v>
      </c>
      <c r="J72" s="117">
        <v>9</v>
      </c>
      <c r="K72" s="117">
        <f t="shared" si="31"/>
        <v>0</v>
      </c>
      <c r="L72" s="113">
        <f t="shared" si="1"/>
        <v>0</v>
      </c>
      <c r="M72" s="117">
        <f t="shared" si="31"/>
        <v>0</v>
      </c>
      <c r="N72" s="117">
        <f t="shared" si="31"/>
        <v>0</v>
      </c>
      <c r="O72" s="115">
        <v>9</v>
      </c>
      <c r="P72" s="117">
        <f>SUM(P73:P78)</f>
        <v>0</v>
      </c>
      <c r="Q72" s="113">
        <f t="shared" si="2"/>
        <v>0</v>
      </c>
      <c r="R72" s="117">
        <f ref="R72:S72" t="shared" si="32">SUM(R73:R78)</f>
        <v>0</v>
      </c>
      <c r="S72" s="117">
        <f t="shared" si="32"/>
        <v>0</v>
      </c>
      <c r="T72" s="117">
        <v>9</v>
      </c>
      <c r="U72" s="117">
        <f>SUM(U73:U78)</f>
        <v>0</v>
      </c>
      <c r="V72" s="113">
        <f t="shared" si="3"/>
        <v>0</v>
      </c>
      <c r="W72" s="117">
        <f ref="W72:X72" t="shared" si="34">SUM(W73:W78)</f>
        <v>0</v>
      </c>
      <c r="X72" s="117">
        <f t="shared" si="34"/>
        <v>0</v>
      </c>
    </row>
    <row r="73">
      <c r="B73" s="112"/>
      <c r="C73" s="127" t="s">
        <v>153</v>
      </c>
      <c r="D73" s="42">
        <v>51</v>
      </c>
      <c r="E73" s="118">
        <v>711</v>
      </c>
      <c r="F73" s="114">
        <v>0</v>
      </c>
      <c r="G73" s="113">
        <f t="shared" si="0"/>
        <v>0</v>
      </c>
      <c r="H73" s="114">
        <v>0</v>
      </c>
      <c r="I73" s="114">
        <v>0</v>
      </c>
      <c r="J73" s="114">
        <v>0</v>
      </c>
      <c r="K73" s="114">
        <v>0</v>
      </c>
      <c r="L73" s="113">
        <f t="shared" si="1"/>
        <v>0</v>
      </c>
      <c r="M73" s="114">
        <v>0</v>
      </c>
      <c r="N73" s="114">
        <v>0</v>
      </c>
      <c r="O73" s="118">
        <v>711</v>
      </c>
      <c r="P73" s="114">
        <v>0</v>
      </c>
      <c r="Q73" s="113">
        <f t="shared" si="2"/>
        <v>0</v>
      </c>
      <c r="R73" s="114">
        <v>0</v>
      </c>
      <c r="S73" s="114">
        <v>0</v>
      </c>
      <c r="T73" s="114">
        <v>711</v>
      </c>
      <c r="U73" s="114">
        <v>0</v>
      </c>
      <c r="V73" s="113">
        <f t="shared" si="3"/>
        <v>0</v>
      </c>
      <c r="W73" s="114">
        <v>0</v>
      </c>
      <c r="X73" s="114">
        <v>0</v>
      </c>
    </row>
    <row r="74">
      <c r="B74" s="112"/>
      <c r="C74" s="127" t="s">
        <v>154</v>
      </c>
      <c r="D74" s="42">
        <v>52</v>
      </c>
      <c r="E74" s="118">
        <v>713</v>
      </c>
      <c r="F74" s="114">
        <v>0</v>
      </c>
      <c r="G74" s="113">
        <f t="shared" si="0"/>
        <v>0</v>
      </c>
      <c r="H74" s="114">
        <v>0</v>
      </c>
      <c r="I74" s="114">
        <v>0</v>
      </c>
      <c r="J74" s="114">
        <v>0</v>
      </c>
      <c r="K74" s="114">
        <v>0</v>
      </c>
      <c r="L74" s="113">
        <f t="shared" si="1"/>
        <v>0</v>
      </c>
      <c r="M74" s="114">
        <v>0</v>
      </c>
      <c r="N74" s="114">
        <v>0</v>
      </c>
      <c r="O74" s="118">
        <v>713</v>
      </c>
      <c r="P74" s="114">
        <v>0</v>
      </c>
      <c r="Q74" s="113">
        <f t="shared" si="2"/>
        <v>0</v>
      </c>
      <c r="R74" s="114">
        <v>0</v>
      </c>
      <c r="S74" s="114">
        <v>0</v>
      </c>
      <c r="T74" s="114">
        <v>713</v>
      </c>
      <c r="U74" s="114">
        <v>0</v>
      </c>
      <c r="V74" s="113">
        <f t="shared" si="3"/>
        <v>0</v>
      </c>
      <c r="W74" s="114">
        <v>0</v>
      </c>
      <c r="X74" s="114">
        <v>0</v>
      </c>
    </row>
    <row r="75">
      <c r="B75" s="112"/>
      <c r="C75" s="127" t="s">
        <v>155</v>
      </c>
      <c r="D75" s="42">
        <v>53</v>
      </c>
      <c r="E75" s="118">
        <v>724</v>
      </c>
      <c r="F75" s="114">
        <v>0</v>
      </c>
      <c r="G75" s="113">
        <f t="shared" si="0"/>
        <v>0</v>
      </c>
      <c r="H75" s="114">
        <v>0</v>
      </c>
      <c r="I75" s="114">
        <v>0</v>
      </c>
      <c r="J75" s="114">
        <v>0</v>
      </c>
      <c r="K75" s="114">
        <v>0</v>
      </c>
      <c r="L75" s="113">
        <f t="shared" si="1"/>
        <v>0</v>
      </c>
      <c r="M75" s="114">
        <v>0</v>
      </c>
      <c r="N75" s="114">
        <v>0</v>
      </c>
      <c r="O75" s="118">
        <v>724</v>
      </c>
      <c r="P75" s="114">
        <v>0</v>
      </c>
      <c r="Q75" s="113">
        <f t="shared" si="2"/>
        <v>0</v>
      </c>
      <c r="R75" s="114">
        <v>0</v>
      </c>
      <c r="S75" s="114">
        <v>0</v>
      </c>
      <c r="T75" s="114">
        <v>724</v>
      </c>
      <c r="U75" s="114">
        <v>0</v>
      </c>
      <c r="V75" s="113">
        <f t="shared" si="3"/>
        <v>0</v>
      </c>
      <c r="W75" s="114">
        <v>0</v>
      </c>
      <c r="X75" s="114">
        <v>0</v>
      </c>
    </row>
    <row r="76">
      <c r="B76" s="112"/>
      <c r="C76" s="127" t="s">
        <v>156</v>
      </c>
      <c r="D76" s="42">
        <v>54</v>
      </c>
      <c r="E76" s="118">
        <v>725</v>
      </c>
      <c r="F76" s="114">
        <v>0</v>
      </c>
      <c r="G76" s="113">
        <f t="shared" si="0"/>
        <v>0</v>
      </c>
      <c r="H76" s="114">
        <v>0</v>
      </c>
      <c r="I76" s="114">
        <v>0</v>
      </c>
      <c r="J76" s="114">
        <v>0</v>
      </c>
      <c r="K76" s="114">
        <v>0</v>
      </c>
      <c r="L76" s="113">
        <f t="shared" si="1"/>
        <v>0</v>
      </c>
      <c r="M76" s="114">
        <v>0</v>
      </c>
      <c r="N76" s="114">
        <v>0</v>
      </c>
      <c r="O76" s="118">
        <v>725</v>
      </c>
      <c r="P76" s="114">
        <v>0</v>
      </c>
      <c r="Q76" s="113">
        <f t="shared" si="2"/>
        <v>0</v>
      </c>
      <c r="R76" s="114">
        <v>0</v>
      </c>
      <c r="S76" s="114">
        <v>0</v>
      </c>
      <c r="T76" s="114">
        <v>725</v>
      </c>
      <c r="U76" s="114">
        <v>0</v>
      </c>
      <c r="V76" s="113">
        <f t="shared" si="3"/>
        <v>0</v>
      </c>
      <c r="W76" s="114">
        <v>0</v>
      </c>
      <c r="X76" s="114">
        <v>0</v>
      </c>
    </row>
    <row r="77">
      <c r="B77" s="112"/>
      <c r="C77" s="127" t="s">
        <v>157</v>
      </c>
      <c r="D77" s="42">
        <v>55</v>
      </c>
      <c r="E77" s="118">
        <v>726</v>
      </c>
      <c r="F77" s="114">
        <v>0</v>
      </c>
      <c r="G77" s="113">
        <f ref="G77:G111" t="shared" si="35">IF(F77&lt;&gt;0,(H77/F77),0)</f>
        <v>0</v>
      </c>
      <c r="H77" s="114">
        <v>0</v>
      </c>
      <c r="I77" s="114">
        <v>0</v>
      </c>
      <c r="J77" s="114">
        <v>0</v>
      </c>
      <c r="K77" s="114">
        <v>0</v>
      </c>
      <c r="L77" s="113">
        <f ref="L77:L111" t="shared" si="36">IF(K77&lt;&gt;0,(M77/K77),0)</f>
        <v>0</v>
      </c>
      <c r="M77" s="114">
        <v>0</v>
      </c>
      <c r="N77" s="114">
        <v>0</v>
      </c>
      <c r="O77" s="118">
        <v>726</v>
      </c>
      <c r="P77" s="114">
        <v>0</v>
      </c>
      <c r="Q77" s="113">
        <f t="shared" si="2"/>
        <v>0</v>
      </c>
      <c r="R77" s="114">
        <v>0</v>
      </c>
      <c r="S77" s="114">
        <v>0</v>
      </c>
      <c r="T77" s="114">
        <v>726</v>
      </c>
      <c r="U77" s="114">
        <v>0</v>
      </c>
      <c r="V77" s="113">
        <f t="shared" si="3"/>
        <v>0</v>
      </c>
      <c r="W77" s="114">
        <v>0</v>
      </c>
      <c r="X77" s="114">
        <v>0</v>
      </c>
    </row>
    <row r="78">
      <c r="B78" s="112"/>
      <c r="C78" s="127" t="s">
        <v>158</v>
      </c>
      <c r="D78" s="42">
        <v>56</v>
      </c>
      <c r="E78" s="118">
        <v>730</v>
      </c>
      <c r="F78" s="114">
        <v>0</v>
      </c>
      <c r="G78" s="113">
        <f t="shared" si="35"/>
        <v>0</v>
      </c>
      <c r="H78" s="114">
        <v>0</v>
      </c>
      <c r="I78" s="114">
        <v>0</v>
      </c>
      <c r="J78" s="114">
        <v>0</v>
      </c>
      <c r="K78" s="114">
        <v>0</v>
      </c>
      <c r="L78" s="113">
        <f t="shared" si="36"/>
        <v>0</v>
      </c>
      <c r="M78" s="114">
        <v>0</v>
      </c>
      <c r="N78" s="114">
        <v>0</v>
      </c>
      <c r="O78" s="118">
        <v>730</v>
      </c>
      <c r="P78" s="114">
        <v>0</v>
      </c>
      <c r="Q78" s="113">
        <f t="shared" si="2"/>
        <v>0</v>
      </c>
      <c r="R78" s="114">
        <v>0</v>
      </c>
      <c r="S78" s="114">
        <v>0</v>
      </c>
      <c r="T78" s="114">
        <v>730</v>
      </c>
      <c r="U78" s="114">
        <v>0</v>
      </c>
      <c r="V78" s="113">
        <f t="shared" si="3"/>
        <v>0</v>
      </c>
      <c r="W78" s="114">
        <v>0</v>
      </c>
      <c r="X78" s="114">
        <v>0</v>
      </c>
    </row>
    <row r="79">
      <c r="B79" s="112">
        <v>10</v>
      </c>
      <c r="C79" s="128" t="s">
        <v>159</v>
      </c>
      <c r="D79" s="42">
        <v>57</v>
      </c>
      <c r="E79" s="115">
        <v>10</v>
      </c>
      <c r="F79" s="117">
        <f>SUM(F80:F86)</f>
        <v>0</v>
      </c>
      <c r="G79" s="113">
        <f t="shared" si="35"/>
        <v>0</v>
      </c>
      <c r="H79" s="117">
        <f ref="H79:N79" t="shared" si="37">SUM(H80:H86)</f>
        <v>0</v>
      </c>
      <c r="I79" s="117">
        <f t="shared" si="37"/>
        <v>0</v>
      </c>
      <c r="J79" s="117">
        <v>10</v>
      </c>
      <c r="K79" s="117">
        <f t="shared" si="37"/>
        <v>0</v>
      </c>
      <c r="L79" s="113">
        <f t="shared" si="36"/>
        <v>0</v>
      </c>
      <c r="M79" s="117">
        <f t="shared" si="37"/>
        <v>0</v>
      </c>
      <c r="N79" s="117">
        <f t="shared" si="37"/>
        <v>0</v>
      </c>
      <c r="O79" s="115">
        <v>10</v>
      </c>
      <c r="P79" s="117">
        <f>SUM(P80:P86)</f>
        <v>0</v>
      </c>
      <c r="Q79" s="113">
        <f t="shared" si="2"/>
        <v>0</v>
      </c>
      <c r="R79" s="117">
        <f ref="R79:S79" t="shared" si="38">SUM(R80:R86)</f>
        <v>0</v>
      </c>
      <c r="S79" s="117">
        <f t="shared" si="38"/>
        <v>0</v>
      </c>
      <c r="T79" s="117">
        <v>10</v>
      </c>
      <c r="U79" s="117">
        <f>SUM(U80:U86)</f>
        <v>0</v>
      </c>
      <c r="V79" s="113">
        <f t="shared" si="3"/>
        <v>0</v>
      </c>
      <c r="W79" s="117">
        <f ref="W79:X79" t="shared" si="40">SUM(W80:W86)</f>
        <v>0</v>
      </c>
      <c r="X79" s="117">
        <f t="shared" si="40"/>
        <v>0</v>
      </c>
    </row>
    <row r="80">
      <c r="B80" s="112"/>
      <c r="C80" s="127" t="s">
        <v>160</v>
      </c>
      <c r="D80" s="42">
        <v>58</v>
      </c>
      <c r="E80" s="118">
        <v>748</v>
      </c>
      <c r="F80" s="114">
        <v>0</v>
      </c>
      <c r="G80" s="113">
        <f t="shared" si="35"/>
        <v>0</v>
      </c>
      <c r="H80" s="114">
        <v>0</v>
      </c>
      <c r="I80" s="114">
        <v>0</v>
      </c>
      <c r="J80" s="114">
        <v>0</v>
      </c>
      <c r="K80" s="114">
        <v>0</v>
      </c>
      <c r="L80" s="113">
        <f t="shared" si="36"/>
        <v>0</v>
      </c>
      <c r="M80" s="114">
        <v>0</v>
      </c>
      <c r="N80" s="114">
        <v>0</v>
      </c>
      <c r="O80" s="118">
        <v>748</v>
      </c>
      <c r="P80" s="114">
        <v>0</v>
      </c>
      <c r="Q80" s="113">
        <f t="shared" si="2"/>
        <v>0</v>
      </c>
      <c r="R80" s="114">
        <v>0</v>
      </c>
      <c r="S80" s="114">
        <v>0</v>
      </c>
      <c r="T80" s="114">
        <v>748</v>
      </c>
      <c r="U80" s="114">
        <v>0</v>
      </c>
      <c r="V80" s="113">
        <f t="shared" si="3"/>
        <v>0</v>
      </c>
      <c r="W80" s="114">
        <v>0</v>
      </c>
      <c r="X80" s="114">
        <v>0</v>
      </c>
    </row>
    <row r="81">
      <c r="B81" s="112"/>
      <c r="C81" s="127" t="s">
        <v>161</v>
      </c>
      <c r="D81" s="42">
        <v>59</v>
      </c>
      <c r="E81" s="118">
        <v>750</v>
      </c>
      <c r="F81" s="114">
        <v>0</v>
      </c>
      <c r="G81" s="113">
        <f t="shared" si="35"/>
        <v>0</v>
      </c>
      <c r="H81" s="114">
        <v>0</v>
      </c>
      <c r="I81" s="114">
        <v>0</v>
      </c>
      <c r="J81" s="114">
        <v>0</v>
      </c>
      <c r="K81" s="114">
        <v>0</v>
      </c>
      <c r="L81" s="113">
        <f t="shared" si="36"/>
        <v>0</v>
      </c>
      <c r="M81" s="114">
        <v>0</v>
      </c>
      <c r="N81" s="114">
        <v>0</v>
      </c>
      <c r="O81" s="118">
        <v>750</v>
      </c>
      <c r="P81" s="114">
        <v>0</v>
      </c>
      <c r="Q81" s="113">
        <f t="shared" si="2"/>
        <v>0</v>
      </c>
      <c r="R81" s="114">
        <v>0</v>
      </c>
      <c r="S81" s="114">
        <v>0</v>
      </c>
      <c r="T81" s="114">
        <v>750</v>
      </c>
      <c r="U81" s="114">
        <v>0</v>
      </c>
      <c r="V81" s="113">
        <f t="shared" si="3"/>
        <v>0</v>
      </c>
      <c r="W81" s="114">
        <v>0</v>
      </c>
      <c r="X81" s="114">
        <v>0</v>
      </c>
    </row>
    <row r="82">
      <c r="B82" s="112"/>
      <c r="C82" s="127" t="s">
        <v>162</v>
      </c>
      <c r="D82" s="42">
        <v>60</v>
      </c>
      <c r="E82" s="118">
        <v>749</v>
      </c>
      <c r="F82" s="114">
        <v>0</v>
      </c>
      <c r="G82" s="113">
        <f t="shared" si="35"/>
        <v>0</v>
      </c>
      <c r="H82" s="114">
        <v>0</v>
      </c>
      <c r="I82" s="114">
        <v>0</v>
      </c>
      <c r="J82" s="114">
        <v>0</v>
      </c>
      <c r="K82" s="114">
        <v>0</v>
      </c>
      <c r="L82" s="113">
        <f t="shared" si="36"/>
        <v>0</v>
      </c>
      <c r="M82" s="114">
        <v>0</v>
      </c>
      <c r="N82" s="114">
        <v>0</v>
      </c>
      <c r="O82" s="118">
        <v>749</v>
      </c>
      <c r="P82" s="114">
        <v>0</v>
      </c>
      <c r="Q82" s="113">
        <f t="shared" si="2"/>
        <v>0</v>
      </c>
      <c r="R82" s="114">
        <v>0</v>
      </c>
      <c r="S82" s="114">
        <v>0</v>
      </c>
      <c r="T82" s="114">
        <v>749</v>
      </c>
      <c r="U82" s="114">
        <v>0</v>
      </c>
      <c r="V82" s="113">
        <f t="shared" si="3"/>
        <v>0</v>
      </c>
      <c r="W82" s="114">
        <v>0</v>
      </c>
      <c r="X82" s="114">
        <v>0</v>
      </c>
    </row>
    <row r="83">
      <c r="B83" s="112"/>
      <c r="C83" s="127" t="s">
        <v>163</v>
      </c>
      <c r="D83" s="42">
        <v>61</v>
      </c>
      <c r="E83" s="118">
        <v>770</v>
      </c>
      <c r="F83" s="114">
        <v>0</v>
      </c>
      <c r="G83" s="113">
        <f t="shared" si="35"/>
        <v>0</v>
      </c>
      <c r="H83" s="114">
        <v>0</v>
      </c>
      <c r="I83" s="114">
        <v>0</v>
      </c>
      <c r="J83" s="114">
        <v>0</v>
      </c>
      <c r="K83" s="114">
        <v>0</v>
      </c>
      <c r="L83" s="113">
        <f t="shared" si="36"/>
        <v>0</v>
      </c>
      <c r="M83" s="114">
        <v>0</v>
      </c>
      <c r="N83" s="114">
        <v>0</v>
      </c>
      <c r="O83" s="118">
        <v>770</v>
      </c>
      <c r="P83" s="114">
        <v>0</v>
      </c>
      <c r="Q83" s="113">
        <f t="shared" si="2"/>
        <v>0</v>
      </c>
      <c r="R83" s="114">
        <v>0</v>
      </c>
      <c r="S83" s="114">
        <v>0</v>
      </c>
      <c r="T83" s="114">
        <v>770</v>
      </c>
      <c r="U83" s="114">
        <v>0</v>
      </c>
      <c r="V83" s="113">
        <f t="shared" si="3"/>
        <v>0</v>
      </c>
      <c r="W83" s="114">
        <v>0</v>
      </c>
      <c r="X83" s="114">
        <v>0</v>
      </c>
    </row>
    <row r="84">
      <c r="B84" s="112"/>
      <c r="C84" s="127" t="s">
        <v>164</v>
      </c>
      <c r="D84" s="42">
        <v>62</v>
      </c>
      <c r="E84" s="118">
        <v>772</v>
      </c>
      <c r="F84" s="114">
        <v>0</v>
      </c>
      <c r="G84" s="113">
        <f t="shared" si="35"/>
        <v>0</v>
      </c>
      <c r="H84" s="114">
        <v>0</v>
      </c>
      <c r="I84" s="114">
        <v>0</v>
      </c>
      <c r="J84" s="114">
        <v>0</v>
      </c>
      <c r="K84" s="114">
        <v>0</v>
      </c>
      <c r="L84" s="113">
        <f t="shared" si="36"/>
        <v>0</v>
      </c>
      <c r="M84" s="114">
        <v>0</v>
      </c>
      <c r="N84" s="114">
        <v>0</v>
      </c>
      <c r="O84" s="118">
        <v>772</v>
      </c>
      <c r="P84" s="114">
        <v>0</v>
      </c>
      <c r="Q84" s="113">
        <f t="shared" si="2"/>
        <v>0</v>
      </c>
      <c r="R84" s="114">
        <v>0</v>
      </c>
      <c r="S84" s="114">
        <v>0</v>
      </c>
      <c r="T84" s="114">
        <v>772</v>
      </c>
      <c r="U84" s="114">
        <v>0</v>
      </c>
      <c r="V84" s="113">
        <f t="shared" si="3"/>
        <v>0</v>
      </c>
      <c r="W84" s="114">
        <v>0</v>
      </c>
      <c r="X84" s="114">
        <v>0</v>
      </c>
    </row>
    <row r="85">
      <c r="B85" s="112"/>
      <c r="C85" s="127" t="s">
        <v>165</v>
      </c>
      <c r="D85" s="42">
        <v>63</v>
      </c>
      <c r="E85" s="118">
        <v>775</v>
      </c>
      <c r="F85" s="114">
        <v>0</v>
      </c>
      <c r="G85" s="113">
        <f t="shared" si="35"/>
        <v>0</v>
      </c>
      <c r="H85" s="114">
        <v>0</v>
      </c>
      <c r="I85" s="114">
        <v>0</v>
      </c>
      <c r="J85" s="114">
        <v>0</v>
      </c>
      <c r="K85" s="114">
        <v>0</v>
      </c>
      <c r="L85" s="113">
        <f t="shared" si="36"/>
        <v>0</v>
      </c>
      <c r="M85" s="114">
        <v>0</v>
      </c>
      <c r="N85" s="114">
        <v>0</v>
      </c>
      <c r="O85" s="118">
        <v>775</v>
      </c>
      <c r="P85" s="114">
        <v>0</v>
      </c>
      <c r="Q85" s="113">
        <f t="shared" si="2"/>
        <v>0</v>
      </c>
      <c r="R85" s="114">
        <v>0</v>
      </c>
      <c r="S85" s="114">
        <v>0</v>
      </c>
      <c r="T85" s="114">
        <v>775</v>
      </c>
      <c r="U85" s="114">
        <v>0</v>
      </c>
      <c r="V85" s="113">
        <f t="shared" si="3"/>
        <v>0</v>
      </c>
      <c r="W85" s="114">
        <v>0</v>
      </c>
      <c r="X85" s="114">
        <v>0</v>
      </c>
    </row>
    <row r="86">
      <c r="B86" s="112"/>
      <c r="C86" s="127" t="s">
        <v>166</v>
      </c>
      <c r="D86" s="42">
        <v>64</v>
      </c>
      <c r="E86" s="118">
        <v>766</v>
      </c>
      <c r="F86" s="114">
        <v>0</v>
      </c>
      <c r="G86" s="113">
        <f t="shared" si="35"/>
        <v>0</v>
      </c>
      <c r="H86" s="114">
        <v>0</v>
      </c>
      <c r="I86" s="114">
        <v>0</v>
      </c>
      <c r="J86" s="114">
        <v>0</v>
      </c>
      <c r="K86" s="114">
        <v>0</v>
      </c>
      <c r="L86" s="113">
        <f t="shared" si="36"/>
        <v>0</v>
      </c>
      <c r="M86" s="114">
        <v>0</v>
      </c>
      <c r="N86" s="114">
        <v>0</v>
      </c>
      <c r="O86" s="118">
        <v>766</v>
      </c>
      <c r="P86" s="114">
        <v>0</v>
      </c>
      <c r="Q86" s="113">
        <f t="shared" si="2"/>
        <v>0</v>
      </c>
      <c r="R86" s="114">
        <v>0</v>
      </c>
      <c r="S86" s="114">
        <v>0</v>
      </c>
      <c r="T86" s="114">
        <v>766</v>
      </c>
      <c r="U86" s="114">
        <v>0</v>
      </c>
      <c r="V86" s="113">
        <f t="shared" si="3"/>
        <v>0</v>
      </c>
      <c r="W86" s="114">
        <v>0</v>
      </c>
      <c r="X86" s="114">
        <v>0</v>
      </c>
    </row>
    <row r="87">
      <c r="B87" s="112">
        <v>11</v>
      </c>
      <c r="C87" s="128" t="s">
        <v>167</v>
      </c>
      <c r="D87" s="42">
        <v>65</v>
      </c>
      <c r="E87" s="115">
        <v>11</v>
      </c>
      <c r="F87" s="117">
        <f>SUM(F88:F91)</f>
        <v>0</v>
      </c>
      <c r="G87" s="113">
        <f t="shared" si="35"/>
        <v>0</v>
      </c>
      <c r="H87" s="117">
        <f ref="H87:N87" t="shared" si="41">SUM(H88:H91)</f>
        <v>0</v>
      </c>
      <c r="I87" s="117">
        <f t="shared" si="41"/>
        <v>0</v>
      </c>
      <c r="J87" s="117">
        <v>11</v>
      </c>
      <c r="K87" s="117">
        <f t="shared" si="41"/>
        <v>0</v>
      </c>
      <c r="L87" s="113">
        <f t="shared" si="36"/>
        <v>0</v>
      </c>
      <c r="M87" s="117">
        <f t="shared" si="41"/>
        <v>0</v>
      </c>
      <c r="N87" s="117">
        <f t="shared" si="41"/>
        <v>0</v>
      </c>
      <c r="O87" s="115">
        <v>11</v>
      </c>
      <c r="P87" s="117">
        <f>SUM(P88:P91)</f>
        <v>0</v>
      </c>
      <c r="Q87" s="113">
        <f t="shared" si="2"/>
        <v>0</v>
      </c>
      <c r="R87" s="117">
        <f ref="R87:S87" t="shared" si="42">SUM(R88:R91)</f>
        <v>0</v>
      </c>
      <c r="S87" s="117">
        <f t="shared" si="42"/>
        <v>0</v>
      </c>
      <c r="T87" s="117">
        <v>11</v>
      </c>
      <c r="U87" s="117">
        <f>SUM(U88:U91)</f>
        <v>0</v>
      </c>
      <c r="V87" s="113">
        <f t="shared" si="3"/>
        <v>0</v>
      </c>
      <c r="W87" s="117">
        <f ref="W87:X87" t="shared" si="44">SUM(W88:W91)</f>
        <v>0</v>
      </c>
      <c r="X87" s="117">
        <f t="shared" si="44"/>
        <v>0</v>
      </c>
    </row>
    <row r="88">
      <c r="B88" s="112"/>
      <c r="C88" s="124" t="s">
        <v>168</v>
      </c>
      <c r="D88" s="42">
        <v>66</v>
      </c>
      <c r="E88" s="119">
        <v>8</v>
      </c>
      <c r="F88" s="114">
        <v>0</v>
      </c>
      <c r="G88" s="113">
        <f t="shared" si="35"/>
        <v>0</v>
      </c>
      <c r="H88" s="114">
        <v>0</v>
      </c>
      <c r="I88" s="114">
        <v>0</v>
      </c>
      <c r="J88" s="114">
        <v>0</v>
      </c>
      <c r="K88" s="114">
        <v>0</v>
      </c>
      <c r="L88" s="113">
        <f t="shared" si="36"/>
        <v>0</v>
      </c>
      <c r="M88" s="114">
        <v>0</v>
      </c>
      <c r="N88" s="114">
        <v>0</v>
      </c>
      <c r="O88" s="119">
        <v>8</v>
      </c>
      <c r="P88" s="114">
        <v>0</v>
      </c>
      <c r="Q88" s="113">
        <f ref="Q88:Q111" t="shared" si="45">IF(P88&lt;&gt;0,(R88/P88),0)</f>
        <v>0</v>
      </c>
      <c r="R88" s="114">
        <v>0</v>
      </c>
      <c r="S88" s="114">
        <v>0</v>
      </c>
      <c r="T88" s="114">
        <v>8</v>
      </c>
      <c r="U88" s="114">
        <v>0</v>
      </c>
      <c r="V88" s="113">
        <f ref="V88:V111" t="shared" si="46">IF(U88&lt;&gt;0,(W88/U88),0)</f>
        <v>0</v>
      </c>
      <c r="W88" s="114">
        <v>0</v>
      </c>
      <c r="X88" s="114">
        <v>0</v>
      </c>
    </row>
    <row r="89">
      <c r="B89" s="112"/>
      <c r="C89" s="122" t="s">
        <v>169</v>
      </c>
      <c r="D89" s="42">
        <v>67</v>
      </c>
      <c r="E89" s="119">
        <v>9</v>
      </c>
      <c r="F89" s="114">
        <v>0</v>
      </c>
      <c r="G89" s="113">
        <f t="shared" si="35"/>
        <v>0</v>
      </c>
      <c r="H89" s="114">
        <v>0</v>
      </c>
      <c r="I89" s="114">
        <v>0</v>
      </c>
      <c r="J89" s="114">
        <v>0</v>
      </c>
      <c r="K89" s="114">
        <v>0</v>
      </c>
      <c r="L89" s="113">
        <f t="shared" si="36"/>
        <v>0</v>
      </c>
      <c r="M89" s="114">
        <v>0</v>
      </c>
      <c r="N89" s="114">
        <v>0</v>
      </c>
      <c r="O89" s="119">
        <v>9</v>
      </c>
      <c r="P89" s="114">
        <v>0</v>
      </c>
      <c r="Q89" s="113">
        <f t="shared" si="45"/>
        <v>0</v>
      </c>
      <c r="R89" s="114">
        <v>0</v>
      </c>
      <c r="S89" s="114">
        <v>0</v>
      </c>
      <c r="T89" s="114">
        <v>9</v>
      </c>
      <c r="U89" s="114">
        <v>0</v>
      </c>
      <c r="V89" s="113">
        <f t="shared" si="46"/>
        <v>0</v>
      </c>
      <c r="W89" s="114">
        <v>0</v>
      </c>
      <c r="X89" s="114">
        <v>0</v>
      </c>
    </row>
    <row r="90">
      <c r="B90" s="112"/>
      <c r="C90" s="127" t="s">
        <v>170</v>
      </c>
      <c r="D90" s="42">
        <v>68</v>
      </c>
      <c r="E90" s="119">
        <v>804</v>
      </c>
      <c r="F90" s="114">
        <v>0</v>
      </c>
      <c r="G90" s="113">
        <f t="shared" si="35"/>
        <v>0</v>
      </c>
      <c r="H90" s="114">
        <v>0</v>
      </c>
      <c r="I90" s="114">
        <v>0</v>
      </c>
      <c r="J90" s="114">
        <v>0</v>
      </c>
      <c r="K90" s="114">
        <v>0</v>
      </c>
      <c r="L90" s="113">
        <f t="shared" si="36"/>
        <v>0</v>
      </c>
      <c r="M90" s="114">
        <v>0</v>
      </c>
      <c r="N90" s="114">
        <v>0</v>
      </c>
      <c r="O90" s="119">
        <v>804</v>
      </c>
      <c r="P90" s="114">
        <v>0</v>
      </c>
      <c r="Q90" s="113">
        <f t="shared" si="45"/>
        <v>0</v>
      </c>
      <c r="R90" s="114">
        <v>0</v>
      </c>
      <c r="S90" s="114">
        <v>0</v>
      </c>
      <c r="T90" s="114">
        <v>804</v>
      </c>
      <c r="U90" s="114">
        <v>0</v>
      </c>
      <c r="V90" s="113">
        <f t="shared" si="46"/>
        <v>0</v>
      </c>
      <c r="W90" s="114">
        <v>0</v>
      </c>
      <c r="X90" s="114">
        <v>0</v>
      </c>
    </row>
    <row r="91">
      <c r="B91" s="112"/>
      <c r="C91" s="127" t="s">
        <v>171</v>
      </c>
      <c r="D91" s="42">
        <v>69</v>
      </c>
      <c r="E91" s="119">
        <v>868</v>
      </c>
      <c r="F91" s="114">
        <v>0</v>
      </c>
      <c r="G91" s="113">
        <f t="shared" si="35"/>
        <v>0</v>
      </c>
      <c r="H91" s="114">
        <v>0</v>
      </c>
      <c r="I91" s="114">
        <v>0</v>
      </c>
      <c r="J91" s="114">
        <v>0</v>
      </c>
      <c r="K91" s="114">
        <v>0</v>
      </c>
      <c r="L91" s="113">
        <f t="shared" si="36"/>
        <v>0</v>
      </c>
      <c r="M91" s="114">
        <v>0</v>
      </c>
      <c r="N91" s="114">
        <v>0</v>
      </c>
      <c r="O91" s="119">
        <v>868</v>
      </c>
      <c r="P91" s="114">
        <v>0</v>
      </c>
      <c r="Q91" s="113">
        <f t="shared" si="45"/>
        <v>0</v>
      </c>
      <c r="R91" s="114">
        <v>0</v>
      </c>
      <c r="S91" s="114">
        <v>0</v>
      </c>
      <c r="T91" s="114">
        <v>868</v>
      </c>
      <c r="U91" s="114">
        <v>0</v>
      </c>
      <c r="V91" s="113">
        <f t="shared" si="46"/>
        <v>0</v>
      </c>
      <c r="W91" s="114">
        <v>0</v>
      </c>
      <c r="X91" s="114">
        <v>0</v>
      </c>
    </row>
    <row r="92">
      <c r="B92" s="112">
        <v>12</v>
      </c>
      <c r="C92" s="128" t="s">
        <v>172</v>
      </c>
      <c r="D92" s="42">
        <v>70</v>
      </c>
      <c r="E92" s="116">
        <v>12</v>
      </c>
      <c r="F92" s="116">
        <f>SUM(F93:F98)</f>
        <v>0</v>
      </c>
      <c r="G92" s="113">
        <f t="shared" si="35"/>
        <v>0</v>
      </c>
      <c r="H92" s="116">
        <f ref="H92:N92" t="shared" si="47">SUM(H93:H98)</f>
        <v>0</v>
      </c>
      <c r="I92" s="116">
        <f t="shared" si="47"/>
        <v>0</v>
      </c>
      <c r="J92" s="116">
        <v>12</v>
      </c>
      <c r="K92" s="116">
        <f t="shared" si="47"/>
        <v>0</v>
      </c>
      <c r="L92" s="113">
        <f t="shared" si="36"/>
        <v>0</v>
      </c>
      <c r="M92" s="116">
        <f t="shared" si="47"/>
        <v>0</v>
      </c>
      <c r="N92" s="116">
        <f t="shared" si="47"/>
        <v>0</v>
      </c>
      <c r="O92" s="116">
        <v>12</v>
      </c>
      <c r="P92" s="116">
        <f>SUM(P93:P98)</f>
        <v>0</v>
      </c>
      <c r="Q92" s="113">
        <f t="shared" si="45"/>
        <v>0</v>
      </c>
      <c r="R92" s="116">
        <f ref="R92:S92" t="shared" si="48">SUM(R93:R98)</f>
        <v>0</v>
      </c>
      <c r="S92" s="116">
        <f t="shared" si="48"/>
        <v>0</v>
      </c>
      <c r="T92" s="116">
        <v>12</v>
      </c>
      <c r="U92" s="116">
        <f>SUM(U93:U98)</f>
        <v>0</v>
      </c>
      <c r="V92" s="113">
        <f t="shared" si="46"/>
        <v>0</v>
      </c>
      <c r="W92" s="116">
        <f ref="W92:X92" t="shared" si="50">SUM(W93:W98)</f>
        <v>0</v>
      </c>
      <c r="X92" s="116">
        <f t="shared" si="50"/>
        <v>0</v>
      </c>
    </row>
    <row r="93">
      <c r="B93" s="112"/>
      <c r="C93" s="127" t="s">
        <v>173</v>
      </c>
      <c r="D93" s="42">
        <v>71</v>
      </c>
      <c r="E93" s="120">
        <v>859</v>
      </c>
      <c r="F93" s="114">
        <v>0</v>
      </c>
      <c r="G93" s="113">
        <f t="shared" si="35"/>
        <v>0</v>
      </c>
      <c r="H93" s="114">
        <v>0</v>
      </c>
      <c r="I93" s="114">
        <v>0</v>
      </c>
      <c r="J93" s="114">
        <v>0</v>
      </c>
      <c r="K93" s="114">
        <v>0</v>
      </c>
      <c r="L93" s="113">
        <f t="shared" si="36"/>
        <v>0</v>
      </c>
      <c r="M93" s="114">
        <v>0</v>
      </c>
      <c r="N93" s="114">
        <v>0</v>
      </c>
      <c r="O93" s="120">
        <v>859</v>
      </c>
      <c r="P93" s="114">
        <v>0</v>
      </c>
      <c r="Q93" s="113">
        <f t="shared" si="45"/>
        <v>0</v>
      </c>
      <c r="R93" s="114">
        <v>0</v>
      </c>
      <c r="S93" s="114">
        <v>0</v>
      </c>
      <c r="T93" s="114">
        <v>859</v>
      </c>
      <c r="U93" s="114">
        <v>0</v>
      </c>
      <c r="V93" s="113">
        <f t="shared" si="46"/>
        <v>0</v>
      </c>
      <c r="W93" s="114">
        <v>0</v>
      </c>
      <c r="X93" s="114">
        <v>0</v>
      </c>
    </row>
    <row r="94">
      <c r="B94" s="112"/>
      <c r="C94" s="127" t="s">
        <v>174</v>
      </c>
      <c r="D94" s="42">
        <v>72</v>
      </c>
      <c r="E94" s="120">
        <v>867</v>
      </c>
      <c r="F94" s="114">
        <v>0</v>
      </c>
      <c r="G94" s="113">
        <f t="shared" si="35"/>
        <v>0</v>
      </c>
      <c r="H94" s="114">
        <v>0</v>
      </c>
      <c r="I94" s="114">
        <v>0</v>
      </c>
      <c r="J94" s="114">
        <v>0</v>
      </c>
      <c r="K94" s="114">
        <v>0</v>
      </c>
      <c r="L94" s="113">
        <f t="shared" si="36"/>
        <v>0</v>
      </c>
      <c r="M94" s="114">
        <v>0</v>
      </c>
      <c r="N94" s="114">
        <v>0</v>
      </c>
      <c r="O94" s="120">
        <v>867</v>
      </c>
      <c r="P94" s="114">
        <v>0</v>
      </c>
      <c r="Q94" s="113">
        <f t="shared" si="45"/>
        <v>0</v>
      </c>
      <c r="R94" s="114">
        <v>0</v>
      </c>
      <c r="S94" s="114">
        <v>0</v>
      </c>
      <c r="T94" s="114">
        <v>867</v>
      </c>
      <c r="U94" s="114">
        <v>0</v>
      </c>
      <c r="V94" s="113">
        <f t="shared" si="46"/>
        <v>0</v>
      </c>
      <c r="W94" s="114">
        <v>0</v>
      </c>
      <c r="X94" s="114">
        <v>0</v>
      </c>
    </row>
    <row r="95">
      <c r="B95" s="112"/>
      <c r="C95" s="127" t="s">
        <v>175</v>
      </c>
      <c r="D95" s="42">
        <v>73</v>
      </c>
      <c r="E95" s="120">
        <v>814</v>
      </c>
      <c r="F95" s="114">
        <v>0</v>
      </c>
      <c r="G95" s="113">
        <f t="shared" si="35"/>
        <v>0</v>
      </c>
      <c r="H95" s="114">
        <v>0</v>
      </c>
      <c r="I95" s="114">
        <v>0</v>
      </c>
      <c r="J95" s="114">
        <v>0</v>
      </c>
      <c r="K95" s="114">
        <v>0</v>
      </c>
      <c r="L95" s="113">
        <f t="shared" si="36"/>
        <v>0</v>
      </c>
      <c r="M95" s="114">
        <v>0</v>
      </c>
      <c r="N95" s="114">
        <v>0</v>
      </c>
      <c r="O95" s="120">
        <v>814</v>
      </c>
      <c r="P95" s="114">
        <v>0</v>
      </c>
      <c r="Q95" s="113">
        <f t="shared" si="45"/>
        <v>0</v>
      </c>
      <c r="R95" s="114">
        <v>0</v>
      </c>
      <c r="S95" s="114">
        <v>0</v>
      </c>
      <c r="T95" s="114">
        <v>814</v>
      </c>
      <c r="U95" s="114">
        <v>0</v>
      </c>
      <c r="V95" s="113">
        <f t="shared" si="46"/>
        <v>0</v>
      </c>
      <c r="W95" s="114">
        <v>0</v>
      </c>
      <c r="X95" s="114">
        <v>0</v>
      </c>
    </row>
    <row r="96">
      <c r="B96" s="112"/>
      <c r="C96" s="127" t="s">
        <v>176</v>
      </c>
      <c r="D96" s="42">
        <v>74</v>
      </c>
      <c r="E96" s="119">
        <v>819</v>
      </c>
      <c r="F96" s="114">
        <v>0</v>
      </c>
      <c r="G96" s="113">
        <f t="shared" si="35"/>
        <v>0</v>
      </c>
      <c r="H96" s="114">
        <v>0</v>
      </c>
      <c r="I96" s="114">
        <v>0</v>
      </c>
      <c r="J96" s="114">
        <v>0</v>
      </c>
      <c r="K96" s="114">
        <v>0</v>
      </c>
      <c r="L96" s="113">
        <f t="shared" si="36"/>
        <v>0</v>
      </c>
      <c r="M96" s="114">
        <v>0</v>
      </c>
      <c r="N96" s="114">
        <v>0</v>
      </c>
      <c r="O96" s="119">
        <v>819</v>
      </c>
      <c r="P96" s="114">
        <v>0</v>
      </c>
      <c r="Q96" s="113">
        <f t="shared" si="45"/>
        <v>0</v>
      </c>
      <c r="R96" s="114">
        <v>0</v>
      </c>
      <c r="S96" s="114">
        <v>0</v>
      </c>
      <c r="T96" s="114">
        <v>819</v>
      </c>
      <c r="U96" s="114">
        <v>0</v>
      </c>
      <c r="V96" s="113">
        <f t="shared" si="46"/>
        <v>0</v>
      </c>
      <c r="W96" s="114">
        <v>0</v>
      </c>
      <c r="X96" s="114">
        <v>0</v>
      </c>
    </row>
    <row r="97">
      <c r="B97" s="112"/>
      <c r="C97" s="127" t="s">
        <v>177</v>
      </c>
      <c r="D97" s="42">
        <v>75</v>
      </c>
      <c r="E97" s="120">
        <v>856</v>
      </c>
      <c r="F97" s="114">
        <v>0</v>
      </c>
      <c r="G97" s="113">
        <f t="shared" si="35"/>
        <v>0</v>
      </c>
      <c r="H97" s="114">
        <v>0</v>
      </c>
      <c r="I97" s="114">
        <v>0</v>
      </c>
      <c r="J97" s="114">
        <v>0</v>
      </c>
      <c r="K97" s="114">
        <v>0</v>
      </c>
      <c r="L97" s="113">
        <f t="shared" si="36"/>
        <v>0</v>
      </c>
      <c r="M97" s="114">
        <v>0</v>
      </c>
      <c r="N97" s="114">
        <v>0</v>
      </c>
      <c r="O97" s="120">
        <v>856</v>
      </c>
      <c r="P97" s="114">
        <v>0</v>
      </c>
      <c r="Q97" s="113">
        <f t="shared" si="45"/>
        <v>0</v>
      </c>
      <c r="R97" s="114">
        <v>0</v>
      </c>
      <c r="S97" s="114">
        <v>0</v>
      </c>
      <c r="T97" s="114">
        <v>856</v>
      </c>
      <c r="U97" s="114">
        <v>0</v>
      </c>
      <c r="V97" s="113">
        <f t="shared" si="46"/>
        <v>0</v>
      </c>
      <c r="W97" s="114">
        <v>0</v>
      </c>
      <c r="X97" s="114">
        <v>0</v>
      </c>
    </row>
    <row r="98">
      <c r="B98" s="42"/>
      <c r="C98" s="124" t="s">
        <v>178</v>
      </c>
      <c r="D98" s="42">
        <v>76</v>
      </c>
      <c r="E98" s="119">
        <v>9</v>
      </c>
      <c r="F98" s="114">
        <v>0</v>
      </c>
      <c r="G98" s="113">
        <f t="shared" si="35"/>
        <v>0</v>
      </c>
      <c r="H98" s="114">
        <v>0</v>
      </c>
      <c r="I98" s="114">
        <v>0</v>
      </c>
      <c r="J98" s="114">
        <v>0</v>
      </c>
      <c r="K98" s="114">
        <v>0</v>
      </c>
      <c r="L98" s="113">
        <f t="shared" si="36"/>
        <v>0</v>
      </c>
      <c r="M98" s="114">
        <v>0</v>
      </c>
      <c r="N98" s="114">
        <v>0</v>
      </c>
      <c r="O98" s="119">
        <v>9</v>
      </c>
      <c r="P98" s="114">
        <v>0</v>
      </c>
      <c r="Q98" s="113">
        <f t="shared" si="45"/>
        <v>0</v>
      </c>
      <c r="R98" s="114">
        <v>0</v>
      </c>
      <c r="S98" s="114">
        <v>0</v>
      </c>
      <c r="T98" s="114">
        <v>9</v>
      </c>
      <c r="U98" s="114">
        <v>0</v>
      </c>
      <c r="V98" s="113">
        <f t="shared" si="46"/>
        <v>0</v>
      </c>
      <c r="W98" s="114">
        <v>0</v>
      </c>
      <c r="X98" s="114">
        <v>0</v>
      </c>
    </row>
    <row r="99">
      <c r="B99" s="112">
        <v>13</v>
      </c>
      <c r="C99" s="129" t="s">
        <v>179</v>
      </c>
      <c r="D99" s="42">
        <v>77</v>
      </c>
      <c r="E99" s="117">
        <v>13</v>
      </c>
      <c r="F99" s="117">
        <f>SUM(F100:F104)</f>
        <v>0</v>
      </c>
      <c r="G99" s="113">
        <f t="shared" si="35"/>
        <v>0</v>
      </c>
      <c r="H99" s="117">
        <f ref="H99:N99" t="shared" si="51">SUM(H100:H104)</f>
        <v>0</v>
      </c>
      <c r="I99" s="117">
        <f t="shared" si="51"/>
        <v>0</v>
      </c>
      <c r="J99" s="117">
        <v>13</v>
      </c>
      <c r="K99" s="117">
        <f t="shared" si="51"/>
        <v>0</v>
      </c>
      <c r="L99" s="113">
        <f t="shared" si="36"/>
        <v>0</v>
      </c>
      <c r="M99" s="117">
        <f t="shared" si="51"/>
        <v>0</v>
      </c>
      <c r="N99" s="117">
        <f t="shared" si="51"/>
        <v>0</v>
      </c>
      <c r="O99" s="117">
        <v>13</v>
      </c>
      <c r="P99" s="117">
        <f>SUM(P100:P104)</f>
        <v>0</v>
      </c>
      <c r="Q99" s="113">
        <f t="shared" si="45"/>
        <v>0</v>
      </c>
      <c r="R99" s="117">
        <f ref="R99:S99" t="shared" si="52">SUM(R100:R104)</f>
        <v>0</v>
      </c>
      <c r="S99" s="117">
        <f t="shared" si="52"/>
        <v>0</v>
      </c>
      <c r="T99" s="117">
        <v>13</v>
      </c>
      <c r="U99" s="117">
        <f>SUM(U100:U104)</f>
        <v>0</v>
      </c>
      <c r="V99" s="113">
        <f t="shared" si="46"/>
        <v>0</v>
      </c>
      <c r="W99" s="117">
        <f ref="W99:X99" t="shared" si="54">SUM(W100:W104)</f>
        <v>0</v>
      </c>
      <c r="X99" s="117">
        <f t="shared" si="54"/>
        <v>0</v>
      </c>
    </row>
    <row r="100">
      <c r="B100" s="112"/>
      <c r="C100" s="127" t="s">
        <v>180</v>
      </c>
      <c r="D100" s="42">
        <v>78</v>
      </c>
      <c r="E100" s="120">
        <v>928</v>
      </c>
      <c r="F100" s="114">
        <v>0</v>
      </c>
      <c r="G100" s="113">
        <f t="shared" si="35"/>
        <v>0</v>
      </c>
      <c r="H100" s="114">
        <v>0</v>
      </c>
      <c r="I100" s="114">
        <v>0</v>
      </c>
      <c r="J100" s="114">
        <v>0</v>
      </c>
      <c r="K100" s="114">
        <v>0</v>
      </c>
      <c r="L100" s="113">
        <f t="shared" si="36"/>
        <v>0</v>
      </c>
      <c r="M100" s="114">
        <v>0</v>
      </c>
      <c r="N100" s="114">
        <v>0</v>
      </c>
      <c r="O100" s="120">
        <v>928</v>
      </c>
      <c r="P100" s="114">
        <v>0</v>
      </c>
      <c r="Q100" s="113">
        <f t="shared" si="45"/>
        <v>0</v>
      </c>
      <c r="R100" s="114">
        <v>0</v>
      </c>
      <c r="S100" s="114">
        <v>0</v>
      </c>
      <c r="T100" s="114">
        <v>928</v>
      </c>
      <c r="U100" s="114">
        <v>0</v>
      </c>
      <c r="V100" s="113">
        <f t="shared" si="46"/>
        <v>0</v>
      </c>
      <c r="W100" s="114">
        <v>0</v>
      </c>
      <c r="X100" s="114">
        <v>0</v>
      </c>
    </row>
    <row r="101">
      <c r="B101" s="112"/>
      <c r="C101" s="127" t="s">
        <v>181</v>
      </c>
      <c r="D101" s="42">
        <v>79</v>
      </c>
      <c r="E101" s="120">
        <v>931</v>
      </c>
      <c r="F101" s="114">
        <v>0</v>
      </c>
      <c r="G101" s="113">
        <f t="shared" si="35"/>
        <v>0</v>
      </c>
      <c r="H101" s="114">
        <v>0</v>
      </c>
      <c r="I101" s="114">
        <v>0</v>
      </c>
      <c r="J101" s="114">
        <v>0</v>
      </c>
      <c r="K101" s="114">
        <v>0</v>
      </c>
      <c r="L101" s="113">
        <f t="shared" si="36"/>
        <v>0</v>
      </c>
      <c r="M101" s="114">
        <v>0</v>
      </c>
      <c r="N101" s="114">
        <v>0</v>
      </c>
      <c r="O101" s="120">
        <v>931</v>
      </c>
      <c r="P101" s="114">
        <v>0</v>
      </c>
      <c r="Q101" s="113">
        <f t="shared" si="45"/>
        <v>0</v>
      </c>
      <c r="R101" s="114">
        <v>0</v>
      </c>
      <c r="S101" s="114">
        <v>0</v>
      </c>
      <c r="T101" s="114">
        <v>931</v>
      </c>
      <c r="U101" s="114">
        <v>0</v>
      </c>
      <c r="V101" s="113">
        <f t="shared" si="46"/>
        <v>0</v>
      </c>
      <c r="W101" s="114">
        <v>0</v>
      </c>
      <c r="X101" s="114">
        <v>0</v>
      </c>
    </row>
    <row r="102">
      <c r="B102" s="42"/>
      <c r="C102" s="127" t="s">
        <v>182</v>
      </c>
      <c r="D102" s="42">
        <v>80</v>
      </c>
      <c r="E102" s="120">
        <v>974</v>
      </c>
      <c r="F102" s="114">
        <v>0</v>
      </c>
      <c r="G102" s="113">
        <f t="shared" si="35"/>
        <v>0</v>
      </c>
      <c r="H102" s="114">
        <v>0</v>
      </c>
      <c r="I102" s="114">
        <v>0</v>
      </c>
      <c r="J102" s="114">
        <v>0</v>
      </c>
      <c r="K102" s="114">
        <v>0</v>
      </c>
      <c r="L102" s="113">
        <f t="shared" si="36"/>
        <v>0</v>
      </c>
      <c r="M102" s="114">
        <v>0</v>
      </c>
      <c r="N102" s="114">
        <v>0</v>
      </c>
      <c r="O102" s="120">
        <v>974</v>
      </c>
      <c r="P102" s="114">
        <v>0</v>
      </c>
      <c r="Q102" s="113">
        <f t="shared" si="45"/>
        <v>0</v>
      </c>
      <c r="R102" s="114">
        <v>0</v>
      </c>
      <c r="S102" s="114">
        <v>0</v>
      </c>
      <c r="T102" s="114">
        <v>974</v>
      </c>
      <c r="U102" s="114">
        <v>0</v>
      </c>
      <c r="V102" s="113">
        <f t="shared" si="46"/>
        <v>0</v>
      </c>
      <c r="W102" s="114">
        <v>0</v>
      </c>
      <c r="X102" s="114">
        <v>0</v>
      </c>
    </row>
    <row r="103">
      <c r="B103" s="42"/>
      <c r="C103" s="127" t="s">
        <v>183</v>
      </c>
      <c r="D103" s="42">
        <v>81</v>
      </c>
      <c r="E103" s="120">
        <v>946</v>
      </c>
      <c r="F103" s="114">
        <v>0</v>
      </c>
      <c r="G103" s="113">
        <f t="shared" si="35"/>
        <v>0</v>
      </c>
      <c r="H103" s="114">
        <v>0</v>
      </c>
      <c r="I103" s="114">
        <v>0</v>
      </c>
      <c r="J103" s="114">
        <v>0</v>
      </c>
      <c r="K103" s="114">
        <v>0</v>
      </c>
      <c r="L103" s="113">
        <f t="shared" si="36"/>
        <v>0</v>
      </c>
      <c r="M103" s="114">
        <v>0</v>
      </c>
      <c r="N103" s="114">
        <v>0</v>
      </c>
      <c r="O103" s="120">
        <v>946</v>
      </c>
      <c r="P103" s="114">
        <v>0</v>
      </c>
      <c r="Q103" s="113">
        <f t="shared" si="45"/>
        <v>0</v>
      </c>
      <c r="R103" s="114">
        <v>0</v>
      </c>
      <c r="S103" s="114">
        <v>0</v>
      </c>
      <c r="T103" s="114">
        <v>946</v>
      </c>
      <c r="U103" s="114">
        <v>0</v>
      </c>
      <c r="V103" s="113">
        <f t="shared" si="46"/>
        <v>0</v>
      </c>
      <c r="W103" s="114">
        <v>0</v>
      </c>
      <c r="X103" s="114">
        <v>0</v>
      </c>
    </row>
    <row r="104">
      <c r="B104" s="42"/>
      <c r="C104" s="130" t="s">
        <v>184</v>
      </c>
      <c r="D104" s="42">
        <v>82</v>
      </c>
      <c r="E104" s="119">
        <v>10</v>
      </c>
      <c r="F104" s="114">
        <v>0</v>
      </c>
      <c r="G104" s="113">
        <f t="shared" si="35"/>
        <v>0</v>
      </c>
      <c r="H104" s="114">
        <v>0</v>
      </c>
      <c r="I104" s="114">
        <v>0</v>
      </c>
      <c r="J104" s="114">
        <v>0</v>
      </c>
      <c r="K104" s="114">
        <v>0</v>
      </c>
      <c r="L104" s="113">
        <f t="shared" si="36"/>
        <v>0</v>
      </c>
      <c r="M104" s="114">
        <v>0</v>
      </c>
      <c r="N104" s="114">
        <v>0</v>
      </c>
      <c r="O104" s="119">
        <v>10</v>
      </c>
      <c r="P104" s="114">
        <v>0</v>
      </c>
      <c r="Q104" s="113">
        <f t="shared" si="45"/>
        <v>0</v>
      </c>
      <c r="R104" s="114">
        <v>0</v>
      </c>
      <c r="S104" s="114">
        <v>0</v>
      </c>
      <c r="T104" s="114">
        <v>10</v>
      </c>
      <c r="U104" s="114">
        <v>0</v>
      </c>
      <c r="V104" s="113">
        <f t="shared" si="46"/>
        <v>0</v>
      </c>
      <c r="W104" s="114">
        <v>0</v>
      </c>
      <c r="X104" s="114">
        <v>0</v>
      </c>
    </row>
    <row r="105">
      <c r="B105" s="42">
        <v>14</v>
      </c>
      <c r="C105" s="131" t="s">
        <v>185</v>
      </c>
      <c r="D105" s="42">
        <v>83</v>
      </c>
      <c r="E105" s="117">
        <v>14</v>
      </c>
      <c r="F105" s="117">
        <f>SUM(F106:F110)</f>
        <v>0</v>
      </c>
      <c r="G105" s="113">
        <f t="shared" si="35"/>
        <v>0</v>
      </c>
      <c r="H105" s="117">
        <f ref="H105:N105" t="shared" si="55">SUM(H106:H110)</f>
        <v>0</v>
      </c>
      <c r="I105" s="117">
        <f t="shared" si="55"/>
        <v>0</v>
      </c>
      <c r="J105" s="117">
        <v>14</v>
      </c>
      <c r="K105" s="117">
        <f t="shared" si="55"/>
        <v>0</v>
      </c>
      <c r="L105" s="113">
        <f t="shared" si="36"/>
        <v>0</v>
      </c>
      <c r="M105" s="117">
        <f t="shared" si="55"/>
        <v>0</v>
      </c>
      <c r="N105" s="117">
        <f t="shared" si="55"/>
        <v>0</v>
      </c>
      <c r="O105" s="117">
        <v>14</v>
      </c>
      <c r="P105" s="117">
        <f>SUM(P106:P110)</f>
        <v>0</v>
      </c>
      <c r="Q105" s="113">
        <f t="shared" si="45"/>
        <v>0</v>
      </c>
      <c r="R105" s="117">
        <f ref="R105:S105" t="shared" si="56">SUM(R106:R110)</f>
        <v>0</v>
      </c>
      <c r="S105" s="117">
        <f t="shared" si="56"/>
        <v>0</v>
      </c>
      <c r="T105" s="117">
        <v>14</v>
      </c>
      <c r="U105" s="117">
        <f>SUM(U106:U110)</f>
        <v>0</v>
      </c>
      <c r="V105" s="113">
        <f t="shared" si="46"/>
        <v>0</v>
      </c>
      <c r="W105" s="117">
        <f ref="W105:X105" t="shared" si="58">SUM(W106:W110)</f>
        <v>0</v>
      </c>
      <c r="X105" s="117">
        <f t="shared" si="58"/>
        <v>0</v>
      </c>
    </row>
    <row r="106">
      <c r="B106" s="42"/>
      <c r="C106" s="127" t="s">
        <v>186</v>
      </c>
      <c r="D106" s="42">
        <v>84</v>
      </c>
      <c r="E106" s="118">
        <v>1007</v>
      </c>
      <c r="F106" s="114">
        <v>0</v>
      </c>
      <c r="G106" s="113">
        <f t="shared" si="35"/>
        <v>0</v>
      </c>
      <c r="H106" s="114">
        <v>0</v>
      </c>
      <c r="I106" s="114">
        <v>0</v>
      </c>
      <c r="J106" s="114">
        <v>0</v>
      </c>
      <c r="K106" s="114">
        <v>0</v>
      </c>
      <c r="L106" s="113">
        <f t="shared" si="36"/>
        <v>0</v>
      </c>
      <c r="M106" s="114">
        <v>0</v>
      </c>
      <c r="N106" s="114">
        <v>0</v>
      </c>
      <c r="O106" s="118">
        <v>1007</v>
      </c>
      <c r="P106" s="114">
        <v>0</v>
      </c>
      <c r="Q106" s="113">
        <f t="shared" si="45"/>
        <v>0</v>
      </c>
      <c r="R106" s="114">
        <v>0</v>
      </c>
      <c r="S106" s="114">
        <v>0</v>
      </c>
      <c r="T106" s="114">
        <v>1007</v>
      </c>
      <c r="U106" s="114">
        <v>0</v>
      </c>
      <c r="V106" s="113">
        <f t="shared" si="46"/>
        <v>0</v>
      </c>
      <c r="W106" s="114">
        <v>0</v>
      </c>
      <c r="X106" s="114">
        <v>0</v>
      </c>
    </row>
    <row r="107">
      <c r="B107" s="42"/>
      <c r="C107" s="127" t="s">
        <v>187</v>
      </c>
      <c r="D107" s="42">
        <v>85</v>
      </c>
      <c r="E107" s="118">
        <v>1027</v>
      </c>
      <c r="F107" s="114">
        <v>0</v>
      </c>
      <c r="G107" s="113">
        <f t="shared" si="35"/>
        <v>0</v>
      </c>
      <c r="H107" s="114">
        <v>0</v>
      </c>
      <c r="I107" s="114">
        <v>0</v>
      </c>
      <c r="J107" s="114">
        <v>0</v>
      </c>
      <c r="K107" s="114">
        <v>0</v>
      </c>
      <c r="L107" s="113">
        <f t="shared" si="36"/>
        <v>0</v>
      </c>
      <c r="M107" s="114">
        <v>0</v>
      </c>
      <c r="N107" s="114">
        <v>0</v>
      </c>
      <c r="O107" s="118">
        <v>1027</v>
      </c>
      <c r="P107" s="114">
        <v>0</v>
      </c>
      <c r="Q107" s="113">
        <f t="shared" si="45"/>
        <v>0</v>
      </c>
      <c r="R107" s="114">
        <v>0</v>
      </c>
      <c r="S107" s="114">
        <v>0</v>
      </c>
      <c r="T107" s="114">
        <v>1027</v>
      </c>
      <c r="U107" s="114">
        <v>0</v>
      </c>
      <c r="V107" s="113">
        <f t="shared" si="46"/>
        <v>0</v>
      </c>
      <c r="W107" s="114">
        <v>0</v>
      </c>
      <c r="X107" s="114">
        <v>0</v>
      </c>
    </row>
    <row r="108">
      <c r="B108" s="42"/>
      <c r="C108" s="127" t="s">
        <v>188</v>
      </c>
      <c r="D108" s="42">
        <v>86</v>
      </c>
      <c r="E108" s="118">
        <v>1044</v>
      </c>
      <c r="F108" s="114">
        <v>0</v>
      </c>
      <c r="G108" s="113">
        <f t="shared" si="35"/>
        <v>0</v>
      </c>
      <c r="H108" s="114">
        <v>0</v>
      </c>
      <c r="I108" s="114">
        <v>0</v>
      </c>
      <c r="J108" s="114">
        <v>0</v>
      </c>
      <c r="K108" s="114">
        <v>0</v>
      </c>
      <c r="L108" s="113">
        <f t="shared" si="36"/>
        <v>0</v>
      </c>
      <c r="M108" s="114">
        <v>0</v>
      </c>
      <c r="N108" s="114">
        <v>0</v>
      </c>
      <c r="O108" s="118">
        <v>1044</v>
      </c>
      <c r="P108" s="114">
        <v>0</v>
      </c>
      <c r="Q108" s="113">
        <f t="shared" si="45"/>
        <v>0</v>
      </c>
      <c r="R108" s="114">
        <v>0</v>
      </c>
      <c r="S108" s="114">
        <v>0</v>
      </c>
      <c r="T108" s="114">
        <v>1044</v>
      </c>
      <c r="U108" s="114">
        <v>0</v>
      </c>
      <c r="V108" s="113">
        <f t="shared" si="46"/>
        <v>0</v>
      </c>
      <c r="W108" s="114">
        <v>0</v>
      </c>
      <c r="X108" s="114">
        <v>0</v>
      </c>
    </row>
    <row r="109">
      <c r="B109" s="42"/>
      <c r="C109" s="127" t="s">
        <v>189</v>
      </c>
      <c r="D109" s="42">
        <v>87</v>
      </c>
      <c r="E109" s="118">
        <v>1062</v>
      </c>
      <c r="F109" s="114">
        <v>0</v>
      </c>
      <c r="G109" s="113">
        <f t="shared" si="35"/>
        <v>0</v>
      </c>
      <c r="H109" s="114">
        <v>0</v>
      </c>
      <c r="I109" s="114">
        <v>0</v>
      </c>
      <c r="J109" s="114">
        <v>0</v>
      </c>
      <c r="K109" s="114">
        <v>0</v>
      </c>
      <c r="L109" s="113">
        <f t="shared" si="36"/>
        <v>0</v>
      </c>
      <c r="M109" s="114">
        <v>0</v>
      </c>
      <c r="N109" s="114">
        <v>0</v>
      </c>
      <c r="O109" s="118">
        <v>1062</v>
      </c>
      <c r="P109" s="114">
        <v>0</v>
      </c>
      <c r="Q109" s="113">
        <f t="shared" si="45"/>
        <v>0</v>
      </c>
      <c r="R109" s="114">
        <v>0</v>
      </c>
      <c r="S109" s="114">
        <v>0</v>
      </c>
      <c r="T109" s="114">
        <v>1062</v>
      </c>
      <c r="U109" s="114">
        <v>0</v>
      </c>
      <c r="V109" s="113">
        <f t="shared" si="46"/>
        <v>0</v>
      </c>
      <c r="W109" s="114">
        <v>0</v>
      </c>
      <c r="X109" s="114">
        <v>0</v>
      </c>
    </row>
    <row r="110">
      <c r="B110" s="42"/>
      <c r="C110" s="132" t="s">
        <v>190</v>
      </c>
      <c r="D110" s="42">
        <v>88</v>
      </c>
      <c r="E110" s="119">
        <v>11</v>
      </c>
      <c r="F110" s="114">
        <v>0</v>
      </c>
      <c r="G110" s="113">
        <f t="shared" si="35"/>
        <v>0</v>
      </c>
      <c r="H110" s="114">
        <v>0</v>
      </c>
      <c r="I110" s="114">
        <v>0</v>
      </c>
      <c r="J110" s="114">
        <v>0</v>
      </c>
      <c r="K110" s="114">
        <v>0</v>
      </c>
      <c r="L110" s="113">
        <f t="shared" si="36"/>
        <v>0</v>
      </c>
      <c r="M110" s="114">
        <v>0</v>
      </c>
      <c r="N110" s="114">
        <v>0</v>
      </c>
      <c r="O110" s="119">
        <v>11</v>
      </c>
      <c r="P110" s="114">
        <v>0</v>
      </c>
      <c r="Q110" s="113">
        <f t="shared" si="45"/>
        <v>0</v>
      </c>
      <c r="R110" s="114">
        <v>0</v>
      </c>
      <c r="S110" s="114">
        <v>0</v>
      </c>
      <c r="T110" s="114">
        <v>11</v>
      </c>
      <c r="U110" s="114">
        <v>0</v>
      </c>
      <c r="V110" s="113">
        <f t="shared" si="46"/>
        <v>0</v>
      </c>
      <c r="W110" s="114">
        <v>0</v>
      </c>
      <c r="X110" s="114">
        <v>0</v>
      </c>
    </row>
    <row r="111">
      <c r="B111" s="43"/>
      <c r="C111" s="44" t="s">
        <v>191</v>
      </c>
      <c r="D111" s="42">
        <v>89</v>
      </c>
      <c r="E111" s="113">
        <f>E23+E25+E34+E38+E43+E50+E60+E66+E72+E79+E87+E92+E99+E105</f>
        <v>105</v>
      </c>
      <c r="F111" s="113">
        <f>F23+F25+F34+F38+F43+F50+F60+F66+F72+F79+F87+F92+F99+F105</f>
        <v>0</v>
      </c>
      <c r="G111" s="113">
        <f t="shared" si="35"/>
        <v>0</v>
      </c>
      <c r="H111" s="113">
        <f>H23+H25+H34+H38+H43+H50+H60+H66+H72+H79+H87+H92+H99+H105</f>
        <v>0</v>
      </c>
      <c r="I111" s="113">
        <f>I23+I25+I34+I38+I43+I50+I60+I66+I72+I79+I87+I92+I99+I105</f>
        <v>0</v>
      </c>
      <c r="J111" s="113">
        <f>J23+J25+J34+J38+J43+J50+J60+J66+J72+J79+J87+J92+J99+J105</f>
        <v>105</v>
      </c>
      <c r="K111" s="113">
        <f>K23+K25+K34+K38+K43+K50+K60+K66+K72+K79+K87+K92+K99+K105</f>
        <v>0</v>
      </c>
      <c r="L111" s="113">
        <f t="shared" si="36"/>
        <v>0</v>
      </c>
      <c r="M111" s="113">
        <f>M23+M25+M34+M38+M43+M50+M60+M66+M72+M79+M87+M92+M99+M105</f>
        <v>0</v>
      </c>
      <c r="N111" s="113">
        <f>N23+N25+N34+N38+N43+N50+N60+N66+N72+N79+N87+N92+N99+N105</f>
        <v>0</v>
      </c>
      <c r="O111" s="113">
        <v>105</v>
      </c>
      <c r="P111" s="113">
        <f>P23+P25+P34+P38+P43+P50+P60+P66+P72+P79+P87+P92+P99+P105</f>
        <v>0</v>
      </c>
      <c r="Q111" s="113">
        <f t="shared" si="45"/>
        <v>0</v>
      </c>
      <c r="R111" s="113">
        <f>R23+R25+R34+R38+R43+R50+R60+R66+R72+R79+R87+R92+R99+R105</f>
        <v>0</v>
      </c>
      <c r="S111" s="113">
        <f>S23+S25+S34+S38+S43+S50+S60+S66+S72+S79+S87+S92+S99+S105</f>
        <v>0</v>
      </c>
      <c r="T111" s="113">
        <v>105</v>
      </c>
      <c r="U111" s="113">
        <f>U23+U25+U34+U38+U43+U50+U60+U66+U72+U79+U87+U92+U99+U105</f>
        <v>0</v>
      </c>
      <c r="V111" s="113">
        <f t="shared" si="46"/>
        <v>0</v>
      </c>
      <c r="W111" s="113">
        <f>W23+W25+W34+W38+W43+W50+W60+W66+W72+W79+W87+W92+W99+W105</f>
        <v>0</v>
      </c>
      <c r="X111" s="113">
        <f>X23+X25+X34+X38+X43+X50+X60+X66+X72+X79+X87+X92+X99+X105</f>
        <v>0</v>
      </c>
    </row>
  </sheetData>
  <sheetProtection algorithmName="SHA-512" hashValue="i4Eh395cvqocfDjXYNxK+E8PVXIYLFSQzaMpQLYgWYf7jb7+1MdFIBzXBkoS39nVTirQjsp4PluAj4SuhPfLAQ==" saltValue="rhocg0uTW2z5GRErzeFUFw==" spinCount="100000" sheet="1" objects="1" scenarios="1" selectLockedCells="1"/>
  <mergeCells>
    <mergeCell ref="O18:X19"/>
    <mergeCell ref="O20:X21"/>
    <mergeCell ref="B18:B22"/>
    <mergeCell ref="C18:C22"/>
    <mergeCell ref="D18:D22"/>
    <mergeCell ref="D16:E16"/>
    <mergeCell ref="E20:N21"/>
    <mergeCell ref="J16:K16"/>
    <mergeCell ref="E18:N19"/>
    <mergeCell ref="C13:M13"/>
    <mergeCell ref="D11:J11"/>
    <mergeCell ref="C12:L12"/>
    <mergeCell ref="G5:L5"/>
    <mergeCell ref="G6:L6"/>
    <mergeCell ref="G7:L7"/>
    <mergeCell ref="G8:L8"/>
    <mergeCell ref="D10:J10"/>
  </mergeCells>
  <conditionalFormatting sqref="E24:F25 H51:K59 H44:K49 H39:K42 H35:K37 J26:K33 H25:I33 H93:K98 H88:K91 H80:K86 H73:K78 H67:K71 H61:K65 H106:K110 H100:K104">
    <cfRule type="containsBlanks" dxfId="62" priority="161" stopIfTrue="1">
      <formula>LEN(TRIM(E24))=0</formula>
    </cfRule>
  </conditionalFormatting>
  <conditionalFormatting sqref="F34 H34:I34 F38 H38:I38 F43 H43:I43">
    <cfRule type="containsBlanks" dxfId="62" priority="160" stopIfTrue="1">
      <formula>LEN(TRIM(F34))=0</formula>
    </cfRule>
  </conditionalFormatting>
  <conditionalFormatting sqref="F50 H50:I50">
    <cfRule type="containsBlanks" dxfId="62" priority="159" stopIfTrue="1">
      <formula>LEN(TRIM(F50))=0</formula>
    </cfRule>
  </conditionalFormatting>
  <conditionalFormatting sqref="F60 H60:I60">
    <cfRule type="containsBlanks" dxfId="62" priority="158" stopIfTrue="1">
      <formula>LEN(TRIM(F60))=0</formula>
    </cfRule>
  </conditionalFormatting>
  <conditionalFormatting sqref="F66 H66:I66">
    <cfRule type="containsBlanks" dxfId="62" priority="157" stopIfTrue="1">
      <formula>LEN(TRIM(F66))=0</formula>
    </cfRule>
  </conditionalFormatting>
  <conditionalFormatting sqref="F72 H72:I72 F79 H79:I79 F87 H87:I87">
    <cfRule type="containsBlanks" dxfId="62" priority="156" stopIfTrue="1">
      <formula>LEN(TRIM(F72))=0</formula>
    </cfRule>
  </conditionalFormatting>
  <conditionalFormatting sqref="F92 H92:I92">
    <cfRule type="containsBlanks" dxfId="62" priority="155" stopIfTrue="1">
      <formula>LEN(TRIM(F92))=0</formula>
    </cfRule>
  </conditionalFormatting>
  <conditionalFormatting sqref="K25 M25:N25">
    <cfRule type="containsBlanks" dxfId="62" priority="152" stopIfTrue="1">
      <formula>LEN(TRIM(K25))=0</formula>
    </cfRule>
  </conditionalFormatting>
  <conditionalFormatting sqref="K34 M34:N34 K38 M38:N38 K43 M43:N43">
    <cfRule type="containsBlanks" dxfId="62" priority="151" stopIfTrue="1">
      <formula>LEN(TRIM(K34))=0</formula>
    </cfRule>
  </conditionalFormatting>
  <conditionalFormatting sqref="K50 M50:N50">
    <cfRule type="containsBlanks" dxfId="62" priority="150" stopIfTrue="1">
      <formula>LEN(TRIM(K50))=0</formula>
    </cfRule>
  </conditionalFormatting>
  <conditionalFormatting sqref="K60 M60:N60">
    <cfRule type="containsBlanks" dxfId="62" priority="149" stopIfTrue="1">
      <formula>LEN(TRIM(K60))=0</formula>
    </cfRule>
  </conditionalFormatting>
  <conditionalFormatting sqref="K66 M66:N66">
    <cfRule type="containsBlanks" dxfId="62" priority="148" stopIfTrue="1">
      <formula>LEN(TRIM(K66))=0</formula>
    </cfRule>
  </conditionalFormatting>
  <conditionalFormatting sqref="K72 M72:N72 K79 M79:N79 K87 M87:N87">
    <cfRule type="containsBlanks" dxfId="62" priority="147" stopIfTrue="1">
      <formula>LEN(TRIM(K72))=0</formula>
    </cfRule>
  </conditionalFormatting>
  <conditionalFormatting sqref="K92 M92:N92">
    <cfRule type="containsBlanks" dxfId="62" priority="146" stopIfTrue="1">
      <formula>LEN(TRIM(K92))=0</formula>
    </cfRule>
  </conditionalFormatting>
  <conditionalFormatting sqref="E34:E44">
    <cfRule type="containsBlanks" dxfId="62" priority="141" stopIfTrue="1">
      <formula>LEN(TRIM(E34))=0</formula>
    </cfRule>
  </conditionalFormatting>
  <conditionalFormatting sqref="E47:E52">
    <cfRule type="containsBlanks" dxfId="62" priority="140" stopIfTrue="1">
      <formula>LEN(TRIM(E47))=0</formula>
    </cfRule>
  </conditionalFormatting>
  <conditionalFormatting sqref="E55:E60">
    <cfRule type="containsBlanks" dxfId="62" priority="139" stopIfTrue="1">
      <formula>LEN(TRIM(E55))=0</formula>
    </cfRule>
  </conditionalFormatting>
  <conditionalFormatting sqref="E63:E67">
    <cfRule type="containsBlanks" dxfId="62" priority="138" stopIfTrue="1">
      <formula>LEN(TRIM(E63))=0</formula>
    </cfRule>
  </conditionalFormatting>
  <conditionalFormatting sqref="E70:E87">
    <cfRule type="containsBlanks" dxfId="62" priority="137" stopIfTrue="1">
      <formula>LEN(TRIM(E70))=0</formula>
    </cfRule>
  </conditionalFormatting>
  <conditionalFormatting sqref="E90:E97">
    <cfRule type="containsBlanks" dxfId="62" priority="136" stopIfTrue="1">
      <formula>LEN(TRIM(E90))=0</formula>
    </cfRule>
  </conditionalFormatting>
  <conditionalFormatting sqref="E100:E103">
    <cfRule type="containsBlanks" dxfId="62" priority="135" stopIfTrue="1">
      <formula>LEN(TRIM(E100))=0</formula>
    </cfRule>
  </conditionalFormatting>
  <conditionalFormatting sqref="E106:E109">
    <cfRule type="containsBlanks" dxfId="62" priority="134" stopIfTrue="1">
      <formula>LEN(TRIM(E106))=0</formula>
    </cfRule>
  </conditionalFormatting>
  <conditionalFormatting sqref="J25">
    <cfRule type="containsBlanks" dxfId="62" priority="133" stopIfTrue="1">
      <formula>LEN(TRIM(J25))=0</formula>
    </cfRule>
  </conditionalFormatting>
  <conditionalFormatting sqref="J34 J38 J43">
    <cfRule type="containsBlanks" dxfId="62" priority="132" stopIfTrue="1">
      <formula>LEN(TRIM(J34))=0</formula>
    </cfRule>
  </conditionalFormatting>
  <conditionalFormatting sqref="J50">
    <cfRule type="containsBlanks" dxfId="62" priority="131" stopIfTrue="1">
      <formula>LEN(TRIM(J50))=0</formula>
    </cfRule>
  </conditionalFormatting>
  <conditionalFormatting sqref="J60">
    <cfRule type="containsBlanks" dxfId="62" priority="130" stopIfTrue="1">
      <formula>LEN(TRIM(J60))=0</formula>
    </cfRule>
  </conditionalFormatting>
  <conditionalFormatting sqref="J66">
    <cfRule type="containsBlanks" dxfId="62" priority="129" stopIfTrue="1">
      <formula>LEN(TRIM(J66))=0</formula>
    </cfRule>
  </conditionalFormatting>
  <conditionalFormatting sqref="J72 J79 J87">
    <cfRule type="containsBlanks" dxfId="62" priority="128" stopIfTrue="1">
      <formula>LEN(TRIM(J72))=0</formula>
    </cfRule>
  </conditionalFormatting>
  <conditionalFormatting sqref="J92">
    <cfRule type="containsBlanks" dxfId="62" priority="127" stopIfTrue="1">
      <formula>LEN(TRIM(J92))=0</formula>
    </cfRule>
  </conditionalFormatting>
  <conditionalFormatting sqref="H24:K35">
    <cfRule type="containsBlanks" dxfId="62" priority="83" stopIfTrue="1">
      <formula>LEN(TRIM(H24))=0</formula>
    </cfRule>
  </conditionalFormatting>
  <conditionalFormatting sqref="M24:N24">
    <cfRule type="containsBlanks" dxfId="62" priority="82" stopIfTrue="1">
      <formula>LEN(TRIM(M24))=0</formula>
    </cfRule>
  </conditionalFormatting>
  <conditionalFormatting sqref="M51:N59 F51:F59 M44:N49 F44:F49 M39:N42 F39:F42 M35:N37 F35:F37 M26:N33 F26:F33">
    <cfRule type="containsBlanks" dxfId="62" priority="81" stopIfTrue="1">
      <formula>LEN(TRIM(F26))=0</formula>
    </cfRule>
  </conditionalFormatting>
  <conditionalFormatting sqref="M93:N98 F93:F98 M88:N91 F88:F91 M80:N86 F80:F86 M73:N78 F73:F78 M67:N71 F67:F71 M61:N65 F61:F65">
    <cfRule type="containsBlanks" dxfId="62" priority="80" stopIfTrue="1">
      <formula>LEN(TRIM(F61))=0</formula>
    </cfRule>
  </conditionalFormatting>
  <conditionalFormatting sqref="M106:N110 F106:F110 M100:N104 F100:F104">
    <cfRule type="containsBlanks" dxfId="62" priority="79" stopIfTrue="1">
      <formula>LEN(TRIM(F100))=0</formula>
    </cfRule>
  </conditionalFormatting>
  <conditionalFormatting sqref="O24:P25 R51:S59 R44:S49 R39:S42 R35:S37 R25:S33 R93:S98 R88:S91 R80:S86 R73:S78 R67:S71 R61:S65 R106:S110 R100:S104">
    <cfRule type="containsBlanks" dxfId="62" priority="39" stopIfTrue="1">
      <formula>LEN(TRIM(O24))=0</formula>
    </cfRule>
  </conditionalFormatting>
  <conditionalFormatting sqref="P34 R34:S34 P38 R38:S38 P43 R43:S43">
    <cfRule type="containsBlanks" dxfId="62" priority="38" stopIfTrue="1">
      <formula>LEN(TRIM(P34))=0</formula>
    </cfRule>
  </conditionalFormatting>
  <conditionalFormatting sqref="P50 R50:S50">
    <cfRule type="containsBlanks" dxfId="62" priority="37" stopIfTrue="1">
      <formula>LEN(TRIM(P50))=0</formula>
    </cfRule>
  </conditionalFormatting>
  <conditionalFormatting sqref="P60 R60:S60">
    <cfRule type="containsBlanks" dxfId="62" priority="36" stopIfTrue="1">
      <formula>LEN(TRIM(P60))=0</formula>
    </cfRule>
  </conditionalFormatting>
  <conditionalFormatting sqref="P66 R66:S66">
    <cfRule type="containsBlanks" dxfId="62" priority="35" stopIfTrue="1">
      <formula>LEN(TRIM(P66))=0</formula>
    </cfRule>
  </conditionalFormatting>
  <conditionalFormatting sqref="P72 R72:S72 P79 R79:S79 P87 R87:S87">
    <cfRule type="containsBlanks" dxfId="62" priority="34" stopIfTrue="1">
      <formula>LEN(TRIM(P72))=0</formula>
    </cfRule>
  </conditionalFormatting>
  <conditionalFormatting sqref="P92 R92:S92">
    <cfRule type="containsBlanks" dxfId="62" priority="33" stopIfTrue="1">
      <formula>LEN(TRIM(P92))=0</formula>
    </cfRule>
  </conditionalFormatting>
  <conditionalFormatting sqref="O34:O44">
    <cfRule type="containsBlanks" dxfId="62" priority="32" stopIfTrue="1">
      <formula>LEN(TRIM(O34))=0</formula>
    </cfRule>
  </conditionalFormatting>
  <conditionalFormatting sqref="O47:O52">
    <cfRule type="containsBlanks" dxfId="62" priority="31" stopIfTrue="1">
      <formula>LEN(TRIM(O47))=0</formula>
    </cfRule>
  </conditionalFormatting>
  <conditionalFormatting sqref="O55:O60">
    <cfRule type="containsBlanks" dxfId="62" priority="30" stopIfTrue="1">
      <formula>LEN(TRIM(O55))=0</formula>
    </cfRule>
  </conditionalFormatting>
  <conditionalFormatting sqref="O63:O67">
    <cfRule type="containsBlanks" dxfId="62" priority="29" stopIfTrue="1">
      <formula>LEN(TRIM(O63))=0</formula>
    </cfRule>
  </conditionalFormatting>
  <conditionalFormatting sqref="O70:O87">
    <cfRule type="containsBlanks" dxfId="62" priority="28" stopIfTrue="1">
      <formula>LEN(TRIM(O70))=0</formula>
    </cfRule>
  </conditionalFormatting>
  <conditionalFormatting sqref="O90:O97">
    <cfRule type="containsBlanks" dxfId="62" priority="27" stopIfTrue="1">
      <formula>LEN(TRIM(O90))=0</formula>
    </cfRule>
  </conditionalFormatting>
  <conditionalFormatting sqref="O100:O103">
    <cfRule type="containsBlanks" dxfId="62" priority="26" stopIfTrue="1">
      <formula>LEN(TRIM(O100))=0</formula>
    </cfRule>
  </conditionalFormatting>
  <conditionalFormatting sqref="O106:O109">
    <cfRule type="containsBlanks" dxfId="62" priority="25" stopIfTrue="1">
      <formula>LEN(TRIM(O106))=0</formula>
    </cfRule>
  </conditionalFormatting>
  <conditionalFormatting sqref="R24:S35">
    <cfRule type="containsBlanks" dxfId="62" priority="24" stopIfTrue="1">
      <formula>LEN(TRIM(R24))=0</formula>
    </cfRule>
  </conditionalFormatting>
  <conditionalFormatting sqref="P51:P59 P44:P49 P39:P42 P35:P37 P26:P33">
    <cfRule type="containsBlanks" dxfId="62" priority="23" stopIfTrue="1">
      <formula>LEN(TRIM(P26))=0</formula>
    </cfRule>
  </conditionalFormatting>
  <conditionalFormatting sqref="P93:P98 P88:P91 P80:P86 P73:P78 P67:P71 P61:P65">
    <cfRule type="containsBlanks" dxfId="62" priority="22" stopIfTrue="1">
      <formula>LEN(TRIM(P61))=0</formula>
    </cfRule>
  </conditionalFormatting>
  <conditionalFormatting sqref="P106:P110 P100:P104">
    <cfRule type="containsBlanks" dxfId="62" priority="21" stopIfTrue="1">
      <formula>LEN(TRIM(P100))=0</formula>
    </cfRule>
  </conditionalFormatting>
  <conditionalFormatting sqref="T51:U59 T44:U49 T39:U42 T35:U37 T26:U33 T93:U98 T88:U91 T80:U86 T73:U78 T67:U71 T61:U65 T106:U110 T100:U104">
    <cfRule type="containsBlanks" dxfId="62" priority="20" stopIfTrue="1">
      <formula>LEN(TRIM(T26))=0</formula>
    </cfRule>
  </conditionalFormatting>
  <conditionalFormatting sqref="U25 W25:X25">
    <cfRule type="containsBlanks" dxfId="62" priority="19" stopIfTrue="1">
      <formula>LEN(TRIM(U25))=0</formula>
    </cfRule>
  </conditionalFormatting>
  <conditionalFormatting sqref="U34 W34:X34 U38 W38:X38 U43 W43:X43">
    <cfRule type="containsBlanks" dxfId="62" priority="18" stopIfTrue="1">
      <formula>LEN(TRIM(U34))=0</formula>
    </cfRule>
  </conditionalFormatting>
  <conditionalFormatting sqref="U50 W50:X50">
    <cfRule type="containsBlanks" dxfId="62" priority="17" stopIfTrue="1">
      <formula>LEN(TRIM(U50))=0</formula>
    </cfRule>
  </conditionalFormatting>
  <conditionalFormatting sqref="U60 W60:X60">
    <cfRule type="containsBlanks" dxfId="62" priority="16" stopIfTrue="1">
      <formula>LEN(TRIM(U60))=0</formula>
    </cfRule>
  </conditionalFormatting>
  <conditionalFormatting sqref="U66 W66:X66">
    <cfRule type="containsBlanks" dxfId="62" priority="15" stopIfTrue="1">
      <formula>LEN(TRIM(U66))=0</formula>
    </cfRule>
  </conditionalFormatting>
  <conditionalFormatting sqref="U72 W72:X72 U79 W79:X79 U87 W87:X87">
    <cfRule type="containsBlanks" dxfId="62" priority="14" stopIfTrue="1">
      <formula>LEN(TRIM(U72))=0</formula>
    </cfRule>
  </conditionalFormatting>
  <conditionalFormatting sqref="U92 W92:X92">
    <cfRule type="containsBlanks" dxfId="62" priority="13" stopIfTrue="1">
      <formula>LEN(TRIM(U92))=0</formula>
    </cfRule>
  </conditionalFormatting>
  <conditionalFormatting sqref="T25">
    <cfRule type="containsBlanks" dxfId="62" priority="12" stopIfTrue="1">
      <formula>LEN(TRIM(T25))=0</formula>
    </cfRule>
  </conditionalFormatting>
  <conditionalFormatting sqref="T34 T38 T43">
    <cfRule type="containsBlanks" dxfId="62" priority="11" stopIfTrue="1">
      <formula>LEN(TRIM(T34))=0</formula>
    </cfRule>
  </conditionalFormatting>
  <conditionalFormatting sqref="T50">
    <cfRule type="containsBlanks" dxfId="62" priority="10" stopIfTrue="1">
      <formula>LEN(TRIM(T50))=0</formula>
    </cfRule>
  </conditionalFormatting>
  <conditionalFormatting sqref="T60">
    <cfRule type="containsBlanks" dxfId="62" priority="9" stopIfTrue="1">
      <formula>LEN(TRIM(T60))=0</formula>
    </cfRule>
  </conditionalFormatting>
  <conditionalFormatting sqref="T66">
    <cfRule type="containsBlanks" dxfId="62" priority="8" stopIfTrue="1">
      <formula>LEN(TRIM(T66))=0</formula>
    </cfRule>
  </conditionalFormatting>
  <conditionalFormatting sqref="T72 T79 T87">
    <cfRule type="containsBlanks" dxfId="62" priority="7" stopIfTrue="1">
      <formula>LEN(TRIM(T72))=0</formula>
    </cfRule>
  </conditionalFormatting>
  <conditionalFormatting sqref="T92">
    <cfRule type="containsBlanks" dxfId="62" priority="6" stopIfTrue="1">
      <formula>LEN(TRIM(T92))=0</formula>
    </cfRule>
  </conditionalFormatting>
  <conditionalFormatting sqref="T24:U35">
    <cfRule type="containsBlanks" dxfId="62" priority="5" stopIfTrue="1">
      <formula>LEN(TRIM(T24))=0</formula>
    </cfRule>
  </conditionalFormatting>
  <conditionalFormatting sqref="W24:X24">
    <cfRule type="containsBlanks" dxfId="62" priority="4" stopIfTrue="1">
      <formula>LEN(TRIM(W24))=0</formula>
    </cfRule>
  </conditionalFormatting>
  <conditionalFormatting sqref="W51:X59 W44:X49 W39:X42 W35:X37 W26:X33">
    <cfRule type="containsBlanks" dxfId="62" priority="3" stopIfTrue="1">
      <formula>LEN(TRIM(W26))=0</formula>
    </cfRule>
  </conditionalFormatting>
  <conditionalFormatting sqref="W93:X98 W88:X91 W80:X86 W73:X78 W67:X71 W61:X65">
    <cfRule type="containsBlanks" dxfId="62" priority="2" stopIfTrue="1">
      <formula>LEN(TRIM(W61))=0</formula>
    </cfRule>
  </conditionalFormatting>
  <conditionalFormatting sqref="W106:X110 W100:X104">
    <cfRule type="containsBlanks" dxfId="62" priority="1" stopIfTrue="1">
      <formula>LEN(TRIM(W100))=0</formula>
    </cfRule>
  </conditionalFormatting>
  <dataValidations count="1">
    <dataValidation type="custom" allowBlank="1" showInputMessage="1" showErrorMessage="1" sqref="M100:N104 F26:F98 F106:F110 F100:F104 E47:E52 E34:E44 E55:E60 E63:E67 E70:E87 E90:E97 E100:E103 E106:E109 M106:N110 E24:F25 H106:K110 H100:K104 H24:K98 M24:N98 P26:P98 P106:P110 P100:P104 O47:O52 O34:O44 O55:O60 O63:O67 O70:O87 O90:O97 O100:O103 O106:O109 O24:P25 R106:U110 R100:U104 R24:U98 W100:X104 W106:X110 W24:X98" xr:uid="{A27A7456-42DE-4CE9-8746-38EA4F4DFA39}">
      <formula1>IF(AND(INT(E24)=E24,E24&gt;-1),TRUE,IF(LEN(RIGHT(E24,LEN(E24)-FIND(".",E24)))&lt;=2,TRUE,FALSE))</formula1>
    </dataValidation>
  </dataValidations>
  <pageMargins left="0.7" right="0.7" top="0.75" bottom="0.75" header="0.3" footer="0.3"/>
  <pageSetup paperSize="9" orientation="landscape" horizontalDpi="3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AddCurrencyTable_Click">
                <anchor moveWithCells="1" sizeWithCells="1">
                  <from>
                    <xdr:col>2</xdr:col>
                    <xdr:colOff>1123950</xdr:colOff>
                    <xdr:row>15</xdr:row>
                    <xdr:rowOff>9525</xdr:rowOff>
                  </from>
                  <to>
                    <xdr:col>5</xdr:col>
                    <xdr:colOff>762000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DeleteCurrencyTable_Click">
                <anchor moveWithCells="1" sizeWithCells="1">
                  <from>
                    <xdr:col>11</xdr:col>
                    <xdr:colOff>19050</xdr:colOff>
                    <xdr:row>15</xdr:row>
                    <xdr:rowOff>19050</xdr:rowOff>
                  </from>
                  <to>
                    <xdr:col>12</xdr:col>
                    <xdr:colOff>819150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utton 8">
              <controlPr defaultSize="0" print="0" autoFill="0" autoPict="0" macro="[0]!Nxv1ACalculateSum_Click">
                <anchor moveWithCells="1" siz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9</xdr:col>
                    <xdr:colOff>0</xdr:colOff>
                    <xdr:row>15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I42"/>
  <sheetViews>
    <sheetView topLeftCell="A19" zoomScale="115" zoomScaleNormal="115" workbookViewId="0">
      <selection activeCell="E40" sqref="E40"/>
    </sheetView>
  </sheetViews>
  <sheetFormatPr defaultColWidth="9.140625" defaultRowHeight="15" x14ac:dyDescent="0.25"/>
  <cols>
    <col min="1" max="1" width="11.7109375" customWidth="1" style="15"/>
    <col min="2" max="2" width="10.28515625" customWidth="1" style="15"/>
    <col min="3" max="3" width="127.28515625" customWidth="1" style="15"/>
    <col min="4" max="4" width="11.28515625" customWidth="1" style="15"/>
    <col min="5" max="5" width="13.140625" customWidth="1" style="15"/>
    <col min="6" max="6" width="9.140625" customWidth="1" style="15"/>
    <col min="7" max="7" hidden="1" width="0.140625" customWidth="1" style="15"/>
    <col min="8" max="8" hidden="1" width="9.140625" customWidth="1" style="15"/>
    <col min="9" max="9" width="13" customWidth="1" style="15"/>
    <col min="10" max="16384" width="9.140625" customWidth="1" style="15"/>
  </cols>
  <sheetData>
    <row r="1" s="2" customFormat="1">
      <c r="C1" s="2" t="s">
        <v>41</v>
      </c>
    </row>
    <row r="2" ht="15" customHeight="1" s="2" customFormat="1">
      <c r="C2" s="67" t="s">
        <v>42</v>
      </c>
    </row>
    <row r="3" ht="12.75" customHeight="1" s="2" customFormat="1">
      <c r="C3" s="66" t="s">
        <v>43</v>
      </c>
    </row>
    <row r="4" s="2" customFormat="1">
      <c r="C4" s="57" t="s">
        <v>44</v>
      </c>
    </row>
    <row r="5" s="2" customFormat="1">
      <c r="C5" s="58" t="s">
        <v>45</v>
      </c>
    </row>
    <row r="6" s="2" customFormat="1">
      <c r="C6" s="59" t="s">
        <v>5</v>
      </c>
    </row>
    <row r="7" s="2" customFormat="1">
      <c r="C7" s="60" t="s">
        <v>46</v>
      </c>
    </row>
    <row r="8" s="2" customFormat="1">
      <c r="C8" s="60" t="s">
        <v>7</v>
      </c>
    </row>
    <row r="9" s="2" customFormat="1">
      <c r="B9" s="8"/>
    </row>
    <row r="10" ht="16.15" customHeight="1" s="2" customFormat="1">
      <c r="B10" s="46" t="s">
        <v>9</v>
      </c>
      <c r="C10" s="68" t="s">
        <v>10</v>
      </c>
    </row>
    <row r="11" ht="13.9" customHeight="1" s="2" customFormat="1">
      <c r="B11" s="14" t="s">
        <v>11</v>
      </c>
      <c r="C11" s="98" t="s">
        <v>12</v>
      </c>
    </row>
    <row r="12" ht="13.9" customHeight="1" s="2" customFormat="1">
      <c r="B12" s="14"/>
      <c r="C12" s="69"/>
    </row>
    <row r="13" ht="18.6" customHeight="1" s="2" customFormat="1">
      <c r="C13" s="61" t="s">
        <v>13</v>
      </c>
    </row>
    <row r="14" ht="28.15" customHeight="1" s="2" customFormat="1">
      <c r="C14" s="62" t="s">
        <v>47</v>
      </c>
    </row>
    <row r="15" ht="13.9" customHeight="1">
      <c r="F15" s="56"/>
    </row>
    <row r="16" ht="45.6" customHeight="1">
      <c r="B16" s="178" t="s">
        <v>48</v>
      </c>
      <c r="C16" s="178"/>
      <c r="D16" s="70" t="s">
        <v>49</v>
      </c>
      <c r="E16" s="71" t="s">
        <v>50</v>
      </c>
    </row>
    <row r="17">
      <c r="B17" s="55" t="s">
        <v>51</v>
      </c>
      <c r="C17" s="53"/>
      <c r="D17" s="54">
        <v>1</v>
      </c>
      <c r="E17" s="105">
        <v>2596.79737</v>
      </c>
    </row>
    <row r="18">
      <c r="B18" s="53" t="s">
        <v>52</v>
      </c>
      <c r="C18" s="88"/>
      <c r="D18" s="54">
        <v>2</v>
      </c>
      <c r="E18" s="91">
        <f>E19+E20+E21+E22+E25+E26+E27+E28+E29</f>
        <v>0</v>
      </c>
      <c r="G18" s="15">
        <v>2</v>
      </c>
      <c r="H18" s="15" t="s">
        <v>53</v>
      </c>
    </row>
    <row r="19">
      <c r="B19" s="72">
        <v>1</v>
      </c>
      <c r="C19" s="75" t="s">
        <v>54</v>
      </c>
      <c r="D19" s="87">
        <v>3</v>
      </c>
      <c r="E19" s="134">
        <v>0</v>
      </c>
      <c r="I19" s="40"/>
    </row>
    <row r="20">
      <c r="B20" s="73">
        <v>2</v>
      </c>
      <c r="C20" s="76" t="s">
        <v>55</v>
      </c>
      <c r="D20" s="28">
        <v>4</v>
      </c>
      <c r="E20" s="133">
        <v>0</v>
      </c>
    </row>
    <row r="21">
      <c r="B21" s="73">
        <v>3</v>
      </c>
      <c r="C21" s="76" t="s">
        <v>56</v>
      </c>
      <c r="D21" s="28">
        <v>5</v>
      </c>
      <c r="E21" s="133">
        <v>549.44388</v>
      </c>
    </row>
    <row r="22">
      <c r="B22" s="73">
        <v>4</v>
      </c>
      <c r="C22" s="76" t="s">
        <v>57</v>
      </c>
      <c r="D22" s="28">
        <v>6</v>
      </c>
      <c r="E22" s="133">
        <v>0</v>
      </c>
    </row>
    <row r="23">
      <c r="B23" s="73">
        <v>5</v>
      </c>
      <c r="C23" s="76" t="s">
        <v>58</v>
      </c>
      <c r="D23" s="28">
        <v>7</v>
      </c>
      <c r="E23" s="133">
        <v>0</v>
      </c>
    </row>
    <row r="24">
      <c r="B24" s="73">
        <v>6</v>
      </c>
      <c r="C24" s="76" t="s">
        <v>59</v>
      </c>
      <c r="D24" s="28">
        <v>8</v>
      </c>
      <c r="E24" s="133">
        <v>0</v>
      </c>
    </row>
    <row r="25">
      <c r="B25" s="73">
        <v>7</v>
      </c>
      <c r="C25" s="76" t="s">
        <v>60</v>
      </c>
      <c r="D25" s="28">
        <v>9</v>
      </c>
      <c r="E25" s="133">
        <v>0</v>
      </c>
    </row>
    <row r="26">
      <c r="B26" s="73">
        <v>8</v>
      </c>
      <c r="C26" s="76" t="s">
        <v>61</v>
      </c>
      <c r="D26" s="28">
        <v>10</v>
      </c>
      <c r="E26" s="133">
        <v>13.57392</v>
      </c>
    </row>
    <row r="27">
      <c r="B27" s="73">
        <v>9</v>
      </c>
      <c r="C27" s="76" t="s">
        <v>62</v>
      </c>
      <c r="D27" s="28">
        <v>11</v>
      </c>
      <c r="E27" s="133">
        <v>0</v>
      </c>
    </row>
    <row r="28">
      <c r="B28" s="73">
        <v>10</v>
      </c>
      <c r="C28" s="76" t="s">
        <v>63</v>
      </c>
      <c r="D28" s="28">
        <v>12</v>
      </c>
      <c r="E28" s="133">
        <v>0</v>
      </c>
      <c r="G28" s="15">
        <v>9</v>
      </c>
      <c r="H28" s="15" t="s">
        <v>64</v>
      </c>
    </row>
    <row r="29">
      <c r="B29" s="74">
        <v>11</v>
      </c>
      <c r="C29" s="77" t="s">
        <v>65</v>
      </c>
      <c r="D29" s="54">
        <v>13</v>
      </c>
      <c r="E29" s="135">
        <v>29.10017</v>
      </c>
      <c r="G29" s="15">
        <v>10</v>
      </c>
      <c r="H29" s="15" t="s">
        <v>66</v>
      </c>
    </row>
    <row r="30">
      <c r="B30" s="92" t="s">
        <v>67</v>
      </c>
      <c r="C30" s="89"/>
      <c r="D30" s="81">
        <v>14</v>
      </c>
      <c r="E30" s="93">
        <f>E31+E32+E33+E34+E37+E38+E39+E40+E41</f>
        <v>0</v>
      </c>
    </row>
    <row r="31">
      <c r="B31" s="78">
        <v>1</v>
      </c>
      <c r="C31" s="65" t="s">
        <v>68</v>
      </c>
      <c r="D31" s="82">
        <v>15</v>
      </c>
      <c r="E31" s="103">
        <v>0</v>
      </c>
    </row>
    <row r="32">
      <c r="B32" s="79">
        <v>2</v>
      </c>
      <c r="C32" s="63" t="s">
        <v>69</v>
      </c>
      <c r="D32" s="82">
        <v>16</v>
      </c>
      <c r="E32" s="103">
        <v>0</v>
      </c>
    </row>
    <row r="33">
      <c r="B33" s="79">
        <v>3</v>
      </c>
      <c r="C33" s="63" t="s">
        <v>70</v>
      </c>
      <c r="D33" s="82">
        <v>17</v>
      </c>
      <c r="E33" s="103">
        <v>170.6905665</v>
      </c>
    </row>
    <row r="34">
      <c r="B34" s="79">
        <v>4</v>
      </c>
      <c r="C34" s="63" t="s">
        <v>71</v>
      </c>
      <c r="D34" s="82">
        <v>18</v>
      </c>
      <c r="E34" s="133">
        <v>0</v>
      </c>
    </row>
    <row r="35">
      <c r="B35" s="79">
        <v>5</v>
      </c>
      <c r="C35" s="63" t="s">
        <v>72</v>
      </c>
      <c r="D35" s="82">
        <v>19</v>
      </c>
      <c r="E35" s="133">
        <v>0</v>
      </c>
    </row>
    <row r="36">
      <c r="B36" s="79">
        <v>6</v>
      </c>
      <c r="C36" s="63" t="s">
        <v>73</v>
      </c>
      <c r="D36" s="82">
        <v>20</v>
      </c>
      <c r="E36" s="103">
        <v>0</v>
      </c>
    </row>
    <row r="37">
      <c r="B37" s="79">
        <v>7</v>
      </c>
      <c r="C37" s="63" t="s">
        <v>74</v>
      </c>
      <c r="D37" s="82">
        <v>21</v>
      </c>
      <c r="E37" s="103">
        <v>0</v>
      </c>
    </row>
    <row r="38">
      <c r="B38" s="79">
        <v>8</v>
      </c>
      <c r="C38" s="63" t="s">
        <v>75</v>
      </c>
      <c r="D38" s="82">
        <v>22</v>
      </c>
      <c r="E38" s="103">
        <v>175.24</v>
      </c>
    </row>
    <row r="39">
      <c r="B39" s="79">
        <v>9</v>
      </c>
      <c r="C39" s="63" t="s">
        <v>76</v>
      </c>
      <c r="D39" s="82">
        <v>23</v>
      </c>
      <c r="E39" s="103">
        <v>0</v>
      </c>
    </row>
    <row r="40">
      <c r="B40" s="79">
        <v>10</v>
      </c>
      <c r="C40" s="63" t="s">
        <v>77</v>
      </c>
      <c r="D40" s="82">
        <v>24</v>
      </c>
      <c r="E40" s="103">
        <v>0</v>
      </c>
    </row>
    <row r="41">
      <c r="B41" s="80">
        <v>11</v>
      </c>
      <c r="C41" s="64" t="s">
        <v>78</v>
      </c>
      <c r="D41" s="82">
        <v>25</v>
      </c>
      <c r="E41" s="104">
        <v>31.2805635</v>
      </c>
    </row>
    <row r="42">
      <c r="B42" s="92" t="s">
        <v>79</v>
      </c>
      <c r="C42" s="89"/>
      <c r="D42" s="81">
        <v>26</v>
      </c>
      <c r="E42" s="94">
        <f>E17+E18-E30</f>
        <v>0</v>
      </c>
    </row>
  </sheetData>
  <sheetProtection algorithmName="SHA-512" hashValue="g0QFeNASQAbX7+ITr8o3n+2IxHQ4bVXr4nxBeZaJBSUI9m8G2Kg28FOMdzlelNgojvMhQIUyiC8LsBjWokLOVw==" saltValue="jWmoBUchAGu4Vj1gVyeyOQ==" spinCount="100000" sheet="1" objects="1" scenarios="1" selectLockedCells="1"/>
  <protectedRanges>
    <protectedRange sqref="E17 E31:E41 E19:E29" name="Range1"/>
  </protectedRanges>
  <dataConsolidate/>
  <mergeCells>
    <mergeCell ref="B16:C16"/>
  </mergeCells>
  <conditionalFormatting sqref="E42">
    <cfRule type="cellIs" dxfId="62" priority="2" stopIfTrue="1" operator="lessThan">
      <formula>0</formula>
    </cfRule>
  </conditionalFormatting>
  <dataValidations count="8">
    <dataValidation type="custom" allowBlank="1" showInputMessage="1" showErrorMessage="1" error="&quot;-&quot; göstərici daxil etmək olmaz və vergüldən sonra 5 rəqəm yazıla bilər!" sqref="E17" xr:uid="{1FE6326B-95E2-4E17-8B16-343D44CF0B86}">
      <formula1>IF(AND( INT(E17)=E17, E17&gt;-1 ),TRUE,IF(LEN(RIGHT(E17,LEN(E17)-FIND(".",E17)))&lt;=5,TRUE,FALSE))</formula1>
    </dataValidation>
    <dataValidation type="custom" allowBlank="1" showInputMessage="1" showErrorMessage="1" error="&quot;-&quot;  işarəsi qəbul edilmir və vergüldən sonra 5 rəqəm yazıla bilər!" sqref="E19:E21 E31:E33 E37:E41 E25:E29" xr:uid="{4359AFC5-E88A-4D21-AC03-3459FBB89274}">
      <formula1>IF(AND( INT(E19)=E19, E19&gt;-1 ),TRUE,IF(LEN(RIGHT(E19,LEN(E19)-FIND(".",E19)))&lt;=5,TRUE,FALSE))</formula1>
    </dataValidation>
    <dataValidation type="custom" allowBlank="1" showInputMessage="1" showErrorMessage="1" error="7 və ya 8 nömrəli şifrəyə daxil edilən məbləğdən kiçik ola bilməz! və vergüldən sonra max 5  rəqəm yazıla bilər!" prompt="7 və ya 8 nömrəli şifrəyə daxil edilən məbləğdən kiçik ola bilməz!" sqref="E22" xr:uid="{BFCFD434-AC20-4369-AC63-79378D8AB050}">
      <formula1>IF(AND( INT(E22)=E22, E22&gt;-1,E23&lt;=E22 ),TRUE,AND(LEN(RIGHT(E22,LEN(E22)-FIND(".",E22)))&lt;=5,E23&lt;=E22 ))</formula1>
    </dataValidation>
    <dataValidation type="custom" allowBlank="1" showInputMessage="1" showErrorMessage="1" error="19 və ya 20 nömrəli şifrəyə daxil edilən məbləğdən kiçik ola bilməz! və vergüldən sonra 5 rəqəm yazıla bilər!" prompt="19 və ya 20 nömrəli şifrəyə daxil edilən məbləğdən kiçik ola bilməz!" sqref="E34" xr:uid="{51404AAF-56A0-435E-89A6-FEDAD7A07105}">
      <formula1>IF(AND( INT(E34)=E34, E34&gt;-1,E35&lt;=E34,E36&lt;=E34 ),TRUE,AND(LEN(RIGHT(E34,LEN(E34)-FIND(".",E34)))&lt;=5,E35&lt;=E34,E36&lt;=E34 ))</formula1>
    </dataValidation>
    <dataValidation type="custom" allowBlank="1" showInputMessage="1" showErrorMessage="1" error="18 nömrəli şifrəyə daxil edilən məbləğdən böyük ola bilməz! və vergüldən sonra 5 rəqəm yazıla bilər!" prompt="18 nömrəli şifrəyə daxil edilən məbləğdən böyük ola bilməz!" sqref="E35" xr:uid="{D4F874E7-90B0-470A-9245-F2056ACA7F74}">
      <formula1>IF(AND( INT(E35)=E35, E35&gt;-1,E35&lt;=E34 ),TRUE,AND(LEN(RIGHT(E35,LEN(E35)-FIND(".",E35)))&lt;=5,E35&lt;=E34 ))</formula1>
    </dataValidation>
    <dataValidation type="custom" allowBlank="1" showInputMessage="1" showErrorMessage="1" error="6 nömrəli şifrəyə daxil edilən məbləğdən böyük ola bilməz! və vergüldən sonra 5 rəqəm yazıla bilər!" prompt="6 nömrəli şifrəyə daxil edilən məbləğdən böyük ola bilməz!" sqref="E23" xr:uid="{70B9AE49-97FB-404B-BE25-9F19552E12A3}">
      <formula1>IF(AND( INT(E23)=E23, E23&gt;-1,E23&lt;=E22 ),TRUE,AND(LEN(RIGHT(E23,LEN(E23)-FIND(".",E23)))&lt;=5,E23&lt;=E22 ))</formula1>
    </dataValidation>
    <dataValidation type="custom" allowBlank="1" showInputMessage="1" showErrorMessage="1" error="6 nömrəli şifrəyə daxil edilən məbləğdən böyük ola bilməz! və vergüldən sonra 5 rəqəm yazıla bilər!" prompt="6 nömrəli şifrəyə daxil edilən məbləğdən böyük ola bilməz!" sqref="E24" xr:uid="{2565FE50-0306-4DE6-8005-94779D993267}">
      <formula1>IF(AND( INT(E24)=E24, E24&gt;-1,E24&lt;=E22 ),TRUE,AND(LEN(RIGHT(E24,LEN(E24)-FIND(".",E24)))&lt;=5,E24&lt;=E22 ))</formula1>
    </dataValidation>
    <dataValidation type="custom" allowBlank="1" showInputMessage="1" showErrorMessage="1" error="18 nömrəli şifrəyə daxil edilən məbləğdən böyük ola bilməz! və vergüldən sonra 5 rəqəm yazıla bilər!" prompt="18 nömrəli şifrəyə daxil edilən məbləğdən böyük ola bilməz!" sqref="E36" xr:uid="{882D37C5-AD02-44DC-BB74-F271E57A5CB1}">
      <formula1>IF(AND( INT(E36)=E36, E36&gt;-1,E36&lt;=E34 ),TRUE,AND(LEN(RIGHT(E36,LEN(E36)-FIND(".",E36)))&lt;=5,E36&lt;=E34 ))</formula1>
    </dataValidation>
  </dataValidations>
  <pageMargins left="0.25" right="0.25" top="0.75" bottom="0.75" header="0.3" footer="0.3"/>
  <pageSetup scale="70" orientation="landscape" horizontalDpi="4294967295" verticalDpi="4294967295"/>
  <headerFooter/>
  <colBreaks count="1" manualBreakCount="1">
    <brk id="6" max="16383" man="1"/>
  </colBreaks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3"/>
  <dimension ref="A1:X24"/>
  <sheetViews>
    <sheetView zoomScale="85" zoomScaleNormal="85" workbookViewId="0">
      <selection activeCell="F20" sqref="F20"/>
    </sheetView>
  </sheetViews>
  <sheetFormatPr defaultColWidth="13.7109375" defaultRowHeight="12.75" x14ac:dyDescent="0.2"/>
  <cols>
    <col min="1" max="1" width="4.7109375" customWidth="1" style="2"/>
    <col min="2" max="2" width="13.7109375" customWidth="1" style="2"/>
    <col min="3" max="3" width="17.5703125" customWidth="1" style="2"/>
    <col min="4" max="4" width="16.28515625" customWidth="1" style="2"/>
    <col min="5" max="5" width="16.140625" customWidth="1" style="2"/>
    <col min="6" max="6" bestFit="1" width="18.5703125" customWidth="1" style="2"/>
    <col min="7" max="7" width="13.7109375" customWidth="1" style="2"/>
    <col min="8" max="8" width="21.28515625" customWidth="1" style="2"/>
    <col min="9" max="9" width="13.7109375" customWidth="1" style="9"/>
    <col min="10" max="10" width="16.42578125" customWidth="1" style="2"/>
    <col min="11" max="11" width="16.7109375" customWidth="1" style="2"/>
    <col min="12" max="12" width="16.85546875" customWidth="1" style="2"/>
    <col min="13" max="14" width="13.7109375" customWidth="1" style="2"/>
    <col min="15" max="15" width="20.7109375" customWidth="1" style="2"/>
    <col min="16" max="16" width="13.7109375" customWidth="1" style="2"/>
    <col min="17" max="16384" width="13.7109375" customWidth="1" style="2"/>
  </cols>
  <sheetData>
    <row r="1">
      <c r="I1" s="2"/>
    </row>
    <row r="2" ht="15" customHeight="1">
      <c r="H2" s="7" t="s">
        <v>0</v>
      </c>
      <c r="K2" s="8"/>
      <c r="M2" s="8"/>
      <c r="N2" s="8"/>
    </row>
    <row r="3" ht="12.75" customHeight="1">
      <c r="H3" s="2" t="s">
        <v>1</v>
      </c>
      <c r="K3" s="8"/>
      <c r="M3" s="8"/>
      <c r="N3" s="8"/>
    </row>
    <row r="4">
      <c r="I4" s="2"/>
      <c r="L4" s="2" t="s">
        <v>2</v>
      </c>
      <c r="M4" s="2" t="s">
        <v>3</v>
      </c>
    </row>
    <row r="5" ht="15">
      <c r="I5" s="2"/>
      <c r="K5" s="8"/>
      <c r="L5" s="11"/>
      <c r="M5" s="156" t="s">
        <v>4</v>
      </c>
      <c r="N5" s="156"/>
      <c r="O5" s="11"/>
    </row>
    <row r="6" ht="15">
      <c r="I6" s="2"/>
      <c r="K6" s="8"/>
      <c r="L6" s="11"/>
      <c r="M6" s="156" t="s">
        <v>5</v>
      </c>
      <c r="N6" s="156"/>
      <c r="O6" s="11"/>
    </row>
    <row r="7" ht="15">
      <c r="I7" s="2"/>
      <c r="K7" s="8"/>
      <c r="L7" s="157" t="s">
        <v>6</v>
      </c>
      <c r="M7" s="157"/>
      <c r="N7" s="157"/>
      <c r="O7" s="157"/>
      <c r="S7" s="157"/>
      <c r="T7" s="157"/>
      <c r="U7" s="157"/>
      <c r="V7" s="157"/>
      <c r="W7" s="157"/>
      <c r="X7" s="157"/>
    </row>
    <row r="8" ht="15">
      <c r="I8" s="2"/>
      <c r="K8" s="8"/>
      <c r="L8" s="157" t="s">
        <v>7</v>
      </c>
      <c r="M8" s="157"/>
      <c r="N8" s="157"/>
      <c r="O8" s="157"/>
      <c r="S8" s="157" t="s">
        <v>8</v>
      </c>
      <c r="T8" s="157"/>
      <c r="U8" s="157"/>
      <c r="V8" s="157"/>
      <c r="W8" s="157"/>
      <c r="X8" s="157"/>
    </row>
    <row r="9" ht="15">
      <c r="B9" s="8"/>
      <c r="C9" s="8"/>
      <c r="D9" s="8"/>
      <c r="E9" s="8"/>
      <c r="F9" s="8"/>
      <c r="G9" s="8"/>
      <c r="H9" s="8"/>
      <c r="I9" s="2"/>
    </row>
    <row r="10" ht="15">
      <c r="C10" s="13" t="s">
        <v>9</v>
      </c>
      <c r="D10" s="184" t="s">
        <v>10</v>
      </c>
      <c r="E10" s="185"/>
      <c r="F10" s="186"/>
      <c r="G10" s="187"/>
      <c r="H10" s="187"/>
      <c r="I10" s="187"/>
      <c r="J10" s="187"/>
    </row>
    <row r="11" ht="15">
      <c r="C11" s="14" t="s">
        <v>11</v>
      </c>
      <c r="D11" s="188" t="s">
        <v>12</v>
      </c>
      <c r="E11" s="189"/>
      <c r="F11" s="190"/>
      <c r="G11" s="191"/>
      <c r="H11" s="191"/>
      <c r="I11" s="191"/>
      <c r="J11" s="191"/>
    </row>
    <row r="12" ht="26.25" customHeight="1">
      <c r="B12" s="8"/>
      <c r="C12" s="154" t="s">
        <v>13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</row>
    <row r="13" ht="39" customHeight="1">
      <c r="B13" s="8"/>
      <c r="C13" s="179" t="s">
        <v>14</v>
      </c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</row>
    <row r="14">
      <c r="I14" s="29"/>
      <c r="N14" s="195"/>
      <c r="O14" s="195"/>
    </row>
    <row r="15" ht="40.5" customHeight="1">
      <c r="B15" s="180"/>
      <c r="C15" s="181"/>
      <c r="D15" s="181"/>
      <c r="E15" s="181"/>
      <c r="F15" s="181"/>
      <c r="G15" s="181"/>
      <c r="H15" s="181"/>
      <c r="I15" s="182"/>
      <c r="J15" s="181"/>
      <c r="K15" s="181"/>
      <c r="L15" s="181"/>
      <c r="M15" s="181"/>
      <c r="N15" s="181"/>
      <c r="O15" s="183"/>
    </row>
    <row r="16" ht="40.5" customHeight="1">
      <c r="B16" s="192" t="s">
        <v>15</v>
      </c>
      <c r="C16" s="193"/>
      <c r="D16" s="193"/>
      <c r="E16" s="193"/>
      <c r="F16" s="193"/>
      <c r="G16" s="193"/>
      <c r="H16" s="194"/>
      <c r="I16" s="192" t="s">
        <v>16</v>
      </c>
      <c r="J16" s="193"/>
      <c r="K16" s="193"/>
      <c r="L16" s="193"/>
      <c r="M16" s="193"/>
      <c r="N16" s="193"/>
      <c r="O16" s="194"/>
    </row>
    <row r="17" ht="76.5" customHeight="1">
      <c r="B17" s="16" t="s">
        <v>17</v>
      </c>
      <c r="C17" s="16" t="s">
        <v>18</v>
      </c>
      <c r="D17" s="16" t="s">
        <v>19</v>
      </c>
      <c r="E17" s="16" t="s">
        <v>20</v>
      </c>
      <c r="F17" s="16" t="s">
        <v>21</v>
      </c>
      <c r="G17" s="16" t="s">
        <v>22</v>
      </c>
      <c r="H17" s="18" t="s">
        <v>23</v>
      </c>
      <c r="I17" s="16" t="s">
        <v>17</v>
      </c>
      <c r="J17" s="16" t="s">
        <v>18</v>
      </c>
      <c r="K17" s="16" t="s">
        <v>24</v>
      </c>
      <c r="L17" s="30" t="s">
        <v>20</v>
      </c>
      <c r="M17" s="30" t="s">
        <v>21</v>
      </c>
      <c r="N17" s="16" t="s">
        <v>22</v>
      </c>
      <c r="O17" s="16" t="s">
        <v>23</v>
      </c>
    </row>
    <row r="18">
      <c r="B18" s="31" t="s">
        <v>25</v>
      </c>
      <c r="C18" s="32" t="s">
        <v>26</v>
      </c>
      <c r="D18" s="32" t="s">
        <v>27</v>
      </c>
      <c r="E18" s="32" t="s">
        <v>28</v>
      </c>
      <c r="F18" s="32" t="s">
        <v>29</v>
      </c>
      <c r="G18" s="32" t="s">
        <v>30</v>
      </c>
      <c r="H18" s="33" t="s">
        <v>31</v>
      </c>
      <c r="I18" s="32" t="s">
        <v>32</v>
      </c>
      <c r="J18" s="32" t="s">
        <v>33</v>
      </c>
      <c r="K18" s="32" t="s">
        <v>34</v>
      </c>
      <c r="L18" s="32" t="s">
        <v>35</v>
      </c>
      <c r="M18" s="32" t="s">
        <v>36</v>
      </c>
      <c r="N18" s="32" t="s">
        <v>37</v>
      </c>
      <c r="O18" s="33" t="s">
        <v>38</v>
      </c>
    </row>
    <row r="19">
      <c r="B19" s="107"/>
      <c r="C19" s="108"/>
      <c r="D19" s="109"/>
      <c r="E19" s="109"/>
      <c r="F19" s="109"/>
      <c r="G19" s="109"/>
      <c r="H19" s="110">
        <f>E19*F19</f>
        <v>0</v>
      </c>
      <c r="I19" s="107"/>
      <c r="J19" s="108"/>
      <c r="K19" s="109"/>
      <c r="L19" s="109"/>
      <c r="M19" s="109"/>
      <c r="N19" s="109"/>
      <c r="O19" s="110">
        <f>L19*M19</f>
        <v>0</v>
      </c>
    </row>
    <row r="20">
      <c r="B20" s="107"/>
      <c r="C20" s="108"/>
      <c r="D20" s="109"/>
      <c r="E20" s="109"/>
      <c r="F20" s="109"/>
      <c r="G20" s="109"/>
      <c r="H20" s="110">
        <f>E20*F20</f>
        <v>0</v>
      </c>
      <c r="I20" s="107"/>
      <c r="J20" s="108"/>
      <c r="K20" s="109"/>
      <c r="L20" s="109"/>
      <c r="M20" s="109"/>
      <c r="N20" s="109"/>
      <c r="O20" s="110">
        <f>L20*M20</f>
        <v>0</v>
      </c>
    </row>
    <row r="21">
      <c r="B21" s="107"/>
      <c r="C21" s="108"/>
      <c r="D21" s="109"/>
      <c r="E21" s="109"/>
      <c r="F21" s="109"/>
      <c r="G21" s="109"/>
      <c r="H21" s="110">
        <f>E21*F21</f>
        <v>0</v>
      </c>
      <c r="I21" s="107"/>
      <c r="J21" s="108"/>
      <c r="K21" s="109"/>
      <c r="L21" s="109"/>
      <c r="M21" s="109"/>
      <c r="N21" s="109"/>
      <c r="O21" s="110">
        <f>L21*M21</f>
        <v>0</v>
      </c>
    </row>
    <row r="22">
      <c r="B22" s="107"/>
      <c r="C22" s="108"/>
      <c r="D22" s="109"/>
      <c r="E22" s="109"/>
      <c r="F22" s="109"/>
      <c r="G22" s="109"/>
      <c r="H22" s="110">
        <f>E22*F22</f>
        <v>0</v>
      </c>
      <c r="I22" s="107"/>
      <c r="J22" s="108"/>
      <c r="K22" s="109"/>
      <c r="L22" s="109"/>
      <c r="M22" s="109"/>
      <c r="N22" s="109"/>
      <c r="O22" s="110">
        <f>L22*M22</f>
        <v>0</v>
      </c>
    </row>
    <row r="23">
      <c r="B23" s="37"/>
      <c r="C23" s="35"/>
      <c r="D23" s="35"/>
      <c r="E23" s="35"/>
      <c r="F23" s="35"/>
      <c r="G23" s="35"/>
      <c r="H23" s="38" t="s">
        <v>39</v>
      </c>
      <c r="I23" s="34" t="s">
        <v>40</v>
      </c>
      <c r="J23" s="35"/>
      <c r="K23" s="35"/>
      <c r="L23" s="35"/>
      <c r="M23" s="35"/>
      <c r="N23" s="35"/>
      <c r="O23" s="36"/>
    </row>
    <row r="24" ht="15">
      <c r="B24" s="99"/>
      <c r="C24" s="100"/>
      <c r="D24" s="100"/>
      <c r="E24" s="101"/>
      <c r="F24" s="102"/>
      <c r="G24" s="100"/>
      <c r="H24" s="106" t="str">
        <f>IF(ISBLANK(G24),"",SUMIFS('Forma-NXVS-3'!$H$19:$H$22,'Forma-NXVS-3'!$G$19:$G$22,G24))</f>
      </c>
      <c r="I24" s="84"/>
      <c r="J24" s="85"/>
      <c r="K24" s="85"/>
      <c r="L24" s="86"/>
      <c r="M24" s="86"/>
      <c r="N24" s="85"/>
      <c r="O24" s="111" t="str">
        <f>IF(ISBLANK(N24),"",SUMIFS('Forma-NXVS-3'!$O$19:$O$22,'Forma-NXVS-3'!$N$19:$N$22,N24))</f>
      </c>
    </row>
  </sheetData>
  <sheetProtection algorithmName="SHA-512" hashValue="SlK8DNv28rvEx6aS7gdS8POm26C/NGyjnuOWSlG9913Ekr+w3qES4XyCXDZyl4wJLup5prSkBUI26QwJo3OU9Q==" saltValue="2yGYM/kFkQVxn2jOtfdmhA==" spinCount="100000" sheet="1" objects="1" scenarios="1" selectLockedCells="1"/>
  <dataConsolidate/>
  <mergeCells>
    <mergeCell ref="B16:H16"/>
    <mergeCell ref="I16:O16"/>
    <mergeCell ref="C12:O12"/>
    <mergeCell ref="L8:O8"/>
    <mergeCell ref="L7:O7"/>
    <mergeCell ref="N14:O14"/>
    <mergeCell ref="S7:X7"/>
    <mergeCell ref="S8:X8"/>
    <mergeCell ref="C13:O13"/>
    <mergeCell ref="B15:O15"/>
    <mergeCell ref="M5:N5"/>
    <mergeCell ref="M6:N6"/>
    <mergeCell ref="D10:J10"/>
    <mergeCell ref="D11:J11"/>
  </mergeCells>
  <conditionalFormatting sqref="B19:B22 I19:I22">
    <cfRule type="expression" dxfId="62" priority="48">
      <formula>IF(NOT(ISBLANK(B19)), OR(MONTH(B19)&lt;&gt;MONTH(selectDate),YEAR(B19)&lt;&gt;YEAR(selectDate)),FALSE)</formula>
    </cfRule>
  </conditionalFormatting>
  <dataValidations count="8">
    <dataValidation type="list" allowBlank="1" showInputMessage="1" showErrorMessage="1" sqref="IT65512:IT65528" xr:uid="{A8AC3BDC-B5AA-45B3-B545-54591E52B9B7}">
      <formula1>#REF!</formula1>
    </dataValidation>
    <dataValidation type="list" allowBlank="1" showInputMessage="1" showErrorMessage="1" sqref="G19:G22 N19:N22" xr:uid="{360E2E05-F832-413A-A482-C884B7980C33}">
      <formula1>CurrencyList</formula1>
    </dataValidation>
    <dataValidation type="list" allowBlank="1" showInputMessage="1" showErrorMessage="1" sqref="D19:D22 K19:K22" xr:uid="{5FB13E7D-6633-4368-8BCF-6FFA229AA451}">
      <formula1>SikkeList</formula1>
    </dataValidation>
    <dataValidation type="custom" operator="greaterThan" allowBlank="1" showInputMessage="1" showErrorMessage="1" error="&quot;-&quot;  işarəsi, '0' və kəsr ədədlər qəbul edilmir" prompt="&quot;-&quot;  işarəsi, '0' və kəsr ədədlər qəbul edilmir" sqref="F19:F22 L19:M22" xr:uid="{A440860A-5E0F-43AE-990B-5BA62D7EDD11}">
      <formula1>AND(INT(F19)=F19,F19&gt;0)</formula1>
    </dataValidation>
    <dataValidation operator="greaterThan" allowBlank="1" showInputMessage="1" showErrorMessage="1" sqref="E24" xr:uid="{E6CA810D-576E-4361-AC0B-C0778576F1E5}"/>
    <dataValidation type="date" allowBlank="1" showInputMessage="1" errorTitle="Səhv" error="Tarix yalniz &quot;Hesabat Dövrü&quot; aralığında ola biler!" prompt="Tarix &quot;Hesabat Dövrü&quot; aralığında və _x000a_&quot;gün.ay.il&quot;, &quot;gün/ay/il&quot;, &quot;gün\ay\il&quot;, &quot;gün-ay-il&quot;_x000a_formatlarından birində daxil edilməlidir!" sqref="B19:B22" xr:uid="{3CF95AA9-AFD1-450E-AD65-7E1B644F653D}">
      <formula1>selectDate</formula1>
      <formula2>EndDate</formula2>
    </dataValidation>
    <dataValidation type="custom" allowBlank="1" showInputMessage="1" showErrorMessage="1" error="&quot;-&quot;  işarəsi, '0' və kəsr ədədlər qəbul edilmir" prompt="&quot;-&quot;  işarəsi, '0' və kəsr ədədlər qəbul edilmir" sqref="E19:E22" xr:uid="{8C7399A0-B332-4865-8D49-F8376DC007DD}">
      <formula1>AND(INT(E19)=E19,E19&gt;0)</formula1>
    </dataValidation>
    <dataValidation type="date" allowBlank="1" showInputMessage="1" error="Tarix yalniz &quot;Hesabat Dövrü&quot; aralığında ola biler!" prompt="Tarix &quot;Hesabat Dövrü&quot; aralığında və _x000a_&quot;gün.ay.il&quot;, &quot;gün/ay/il&quot;, &quot;gün\ay\il&quot;, &quot;gün-ay-il&quot;_x000a_formatlarından birində daxil edilməlidir!" sqref="I19:I22" xr:uid="{F04307AA-83F8-47F9-85E8-39FE1BF93963}">
      <formula1>selectDate</formula1>
      <formula2>EndDate</formula2>
    </dataValidation>
  </dataValidations>
  <pageMargins left="0.25" right="0.25" top="0.75" bottom="0.75" header="0.3" footer="0.3"/>
  <pageSetup scale="47" orientation="landscape" horizontalDpi="4294967295" verticalDpi="4294967295"/>
  <headerFooter/>
  <colBreaks count="1" manualBreakCount="1">
    <brk id="16" max="1638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2" r:id="rId4" name="Button 18">
              <controlPr defaultSize="0" print="0" autoFill="0" autoPict="0" macro="[0]!btnCalculateNXVS3_Click">
                <anchor>
                  <from>
                    <xdr:col>7</xdr:col>
                    <xdr:colOff>447675</xdr:colOff>
                    <xdr:row>14</xdr:row>
                    <xdr:rowOff>76200</xdr:rowOff>
                  </from>
                  <to>
                    <xdr:col>9</xdr:col>
                    <xdr:colOff>66675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5" name="Button 19">
              <controlPr defaultSize="0" print="0" autoFill="0" autoPict="0" macro="[0]!btnDeleteSelectedRowNXVS3_Click">
                <anchor>
                  <from>
                    <xdr:col>9</xdr:col>
                    <xdr:colOff>476250</xdr:colOff>
                    <xdr:row>14</xdr:row>
                    <xdr:rowOff>76200</xdr:rowOff>
                  </from>
                  <to>
                    <xdr:col>10</xdr:col>
                    <xdr:colOff>647700</xdr:colOff>
                    <xdr:row>14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6" name="Button 20">
              <controlPr defaultSize="0" print="0" autoFill="0" autoPict="0" macro="[0]!btnAddNewRowNXVS3_Click">
                <anchor>
                  <from>
                    <xdr:col>5</xdr:col>
                    <xdr:colOff>590550</xdr:colOff>
                    <xdr:row>14</xdr:row>
                    <xdr:rowOff>76200</xdr:rowOff>
                  </from>
                  <to>
                    <xdr:col>7</xdr:col>
                    <xdr:colOff>28575</xdr:colOff>
                    <xdr:row>14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46"/>
  <sheetViews>
    <sheetView topLeftCell="B1" workbookViewId="0">
      <selection activeCell="K2" sqref="K2"/>
    </sheetView>
  </sheetViews>
  <sheetFormatPr defaultRowHeight="15" x14ac:dyDescent="0.25"/>
  <cols>
    <col min="1" max="1" bestFit="1" width="54.28515625" customWidth="1"/>
    <col min="2" max="2" width="32.140625" customWidth="1"/>
    <col min="3" max="3" width="17.7109375" customWidth="1"/>
    <col min="4" max="4" width="30.7109375" customWidth="1"/>
    <col min="5" max="5" width="15.28515625" customWidth="1"/>
    <col min="7" max="7" bestFit="1" width="15.140625" customWidth="1"/>
    <col min="9" max="9" width="19.140625" customWidth="1"/>
  </cols>
  <sheetData>
    <row r="1">
      <c r="A1" s="6" t="s">
        <v>201</v>
      </c>
      <c r="B1" s="6" t="s">
        <v>202</v>
      </c>
      <c r="C1" s="5">
        <v>45323</v>
      </c>
      <c r="E1" s="0" t="s">
        <v>92</v>
      </c>
      <c r="G1" s="0" t="s">
        <v>203</v>
      </c>
      <c r="I1" s="51" t="s">
        <v>204</v>
      </c>
    </row>
    <row r="2">
      <c r="A2" s="6" t="s">
        <v>205</v>
      </c>
      <c r="B2" s="6" t="s">
        <v>206</v>
      </c>
      <c r="C2" s="5">
        <v>45351</v>
      </c>
      <c r="E2" s="0" t="s">
        <v>93</v>
      </c>
      <c r="G2" s="0" t="s">
        <v>207</v>
      </c>
      <c r="I2" s="52" t="s">
        <v>92</v>
      </c>
      <c r="K2" s="51" t="s">
        <v>208</v>
      </c>
    </row>
    <row r="3">
      <c r="A3" s="6" t="s">
        <v>209</v>
      </c>
      <c r="B3" s="6" t="s">
        <v>210</v>
      </c>
      <c r="C3" s="0" t="s">
        <v>211</v>
      </c>
      <c r="E3" s="0" t="s">
        <v>212</v>
      </c>
      <c r="I3" s="52" t="s">
        <v>93</v>
      </c>
    </row>
    <row r="4">
      <c r="A4" s="6" t="s">
        <v>213</v>
      </c>
      <c r="B4" s="6" t="s">
        <v>214</v>
      </c>
      <c r="E4" s="0" t="s">
        <v>215</v>
      </c>
    </row>
    <row r="5">
      <c r="A5" s="6" t="s">
        <v>205</v>
      </c>
      <c r="B5" s="6" t="s">
        <v>216</v>
      </c>
      <c r="E5" s="0" t="s">
        <v>217</v>
      </c>
    </row>
    <row r="6">
      <c r="A6" s="6" t="s">
        <v>218</v>
      </c>
      <c r="B6" s="6" t="s">
        <v>219</v>
      </c>
      <c r="E6" s="0" t="s">
        <v>220</v>
      </c>
    </row>
    <row r="7">
      <c r="A7" s="6" t="s">
        <v>221</v>
      </c>
      <c r="B7" s="6" t="s">
        <v>222</v>
      </c>
      <c r="E7" s="0" t="s">
        <v>223</v>
      </c>
    </row>
    <row r="8">
      <c r="A8" s="6" t="s">
        <v>224</v>
      </c>
      <c r="B8" s="6" t="s">
        <v>225</v>
      </c>
      <c r="E8" s="0" t="s">
        <v>226</v>
      </c>
    </row>
    <row r="9">
      <c r="A9" s="6" t="s">
        <v>227</v>
      </c>
      <c r="B9" s="6" t="s">
        <v>228</v>
      </c>
      <c r="E9" s="0" t="s">
        <v>229</v>
      </c>
    </row>
    <row r="10">
      <c r="A10" s="6" t="s">
        <v>230</v>
      </c>
      <c r="B10" s="6" t="s">
        <v>231</v>
      </c>
      <c r="D10" s="0" t="s">
        <v>210</v>
      </c>
      <c r="E10" s="0" t="s">
        <v>232</v>
      </c>
    </row>
    <row r="11">
      <c r="A11" s="6" t="s">
        <v>233</v>
      </c>
      <c r="B11" s="6" t="s">
        <v>234</v>
      </c>
      <c r="E11" s="0" t="s">
        <v>235</v>
      </c>
    </row>
    <row r="12">
      <c r="A12" s="6" t="s">
        <v>236</v>
      </c>
      <c r="B12" s="6" t="s">
        <v>237</v>
      </c>
      <c r="E12" s="0" t="s">
        <v>238</v>
      </c>
    </row>
    <row r="13">
      <c r="A13" s="6" t="s">
        <v>239</v>
      </c>
      <c r="B13" s="6" t="s">
        <v>240</v>
      </c>
      <c r="E13" s="0" t="s">
        <v>241</v>
      </c>
    </row>
    <row r="14">
      <c r="A14" s="6" t="s">
        <v>242</v>
      </c>
      <c r="B14" s="6" t="s">
        <v>243</v>
      </c>
      <c r="E14" s="0" t="s">
        <v>244</v>
      </c>
    </row>
    <row r="15">
      <c r="A15" s="6" t="s">
        <v>245</v>
      </c>
      <c r="B15" s="6" t="s">
        <v>246</v>
      </c>
      <c r="E15" s="0" t="s">
        <v>247</v>
      </c>
    </row>
    <row r="16">
      <c r="A16" s="6" t="s">
        <v>248</v>
      </c>
      <c r="B16" s="6" t="s">
        <v>249</v>
      </c>
      <c r="E16" s="0" t="s">
        <v>250</v>
      </c>
    </row>
    <row r="17">
      <c r="A17" s="6" t="s">
        <v>251</v>
      </c>
      <c r="B17" s="6" t="s">
        <v>252</v>
      </c>
      <c r="E17" s="0" t="s">
        <v>253</v>
      </c>
    </row>
    <row r="18">
      <c r="A18" s="6" t="s">
        <v>254</v>
      </c>
      <c r="B18" s="6" t="s">
        <v>255</v>
      </c>
      <c r="E18" s="0" t="s">
        <v>256</v>
      </c>
    </row>
    <row r="19">
      <c r="A19" s="6" t="s">
        <v>257</v>
      </c>
      <c r="B19" s="6" t="s">
        <v>10</v>
      </c>
      <c r="E19" s="0" t="s">
        <v>258</v>
      </c>
    </row>
    <row r="20">
      <c r="A20" s="6" t="s">
        <v>259</v>
      </c>
      <c r="B20" s="6" t="s">
        <v>260</v>
      </c>
      <c r="E20" s="0" t="s">
        <v>261</v>
      </c>
    </row>
    <row r="21">
      <c r="A21" s="6" t="s">
        <v>262</v>
      </c>
      <c r="B21" s="6" t="s">
        <v>263</v>
      </c>
      <c r="E21" s="0" t="s">
        <v>264</v>
      </c>
    </row>
    <row r="22">
      <c r="A22" s="6" t="s">
        <v>265</v>
      </c>
      <c r="B22" s="6" t="s">
        <v>266</v>
      </c>
      <c r="E22" s="0" t="s">
        <v>267</v>
      </c>
    </row>
    <row r="23">
      <c r="A23" s="6" t="s">
        <v>268</v>
      </c>
      <c r="B23" s="6" t="s">
        <v>269</v>
      </c>
      <c r="E23" s="0" t="s">
        <v>270</v>
      </c>
    </row>
    <row r="24">
      <c r="A24" s="6" t="s">
        <v>271</v>
      </c>
      <c r="B24" s="6" t="s">
        <v>272</v>
      </c>
      <c r="E24" s="0" t="s">
        <v>273</v>
      </c>
    </row>
    <row r="25">
      <c r="A25" s="6" t="s">
        <v>274</v>
      </c>
      <c r="B25" s="6" t="s">
        <v>275</v>
      </c>
      <c r="E25" s="0" t="s">
        <v>276</v>
      </c>
    </row>
    <row r="26">
      <c r="A26" s="6" t="s">
        <v>277</v>
      </c>
      <c r="B26" s="6" t="s">
        <v>278</v>
      </c>
      <c r="E26" s="0" t="s">
        <v>279</v>
      </c>
    </row>
    <row r="27">
      <c r="A27" s="6" t="s">
        <v>280</v>
      </c>
      <c r="B27" s="6" t="s">
        <v>281</v>
      </c>
      <c r="E27" s="0" t="s">
        <v>282</v>
      </c>
    </row>
    <row r="28">
      <c r="A28" s="6" t="s">
        <v>283</v>
      </c>
      <c r="B28" s="6" t="s">
        <v>284</v>
      </c>
      <c r="E28" s="0" t="s">
        <v>285</v>
      </c>
    </row>
    <row r="29">
      <c r="A29" s="6" t="s">
        <v>286</v>
      </c>
      <c r="B29" s="6" t="s">
        <v>287</v>
      </c>
      <c r="E29" s="0" t="s">
        <v>288</v>
      </c>
    </row>
    <row r="30">
      <c r="A30" s="6" t="s">
        <v>289</v>
      </c>
      <c r="B30" s="6" t="s">
        <v>290</v>
      </c>
      <c r="E30" s="0" t="s">
        <v>291</v>
      </c>
    </row>
    <row r="31">
      <c r="A31" s="6" t="s">
        <v>292</v>
      </c>
      <c r="B31" s="6" t="s">
        <v>293</v>
      </c>
      <c r="E31" s="0" t="s">
        <v>294</v>
      </c>
    </row>
    <row r="32">
      <c r="A32" s="6" t="s">
        <v>295</v>
      </c>
      <c r="B32" s="6" t="s">
        <v>296</v>
      </c>
      <c r="E32" s="0" t="s">
        <v>297</v>
      </c>
    </row>
    <row r="33">
      <c r="A33" s="3" t="s">
        <v>298</v>
      </c>
      <c r="E33" s="0" t="s">
        <v>299</v>
      </c>
    </row>
    <row r="34">
      <c r="A34" s="3" t="s">
        <v>300</v>
      </c>
      <c r="E34" s="0" t="s">
        <v>301</v>
      </c>
    </row>
    <row r="35">
      <c r="A35" s="3" t="s">
        <v>302</v>
      </c>
      <c r="E35" s="0" t="s">
        <v>303</v>
      </c>
    </row>
    <row r="36">
      <c r="A36" s="3" t="s">
        <v>304</v>
      </c>
      <c r="E36" s="0" t="s">
        <v>305</v>
      </c>
    </row>
    <row r="37">
      <c r="A37" s="3" t="s">
        <v>306</v>
      </c>
      <c r="E37" s="0" t="s">
        <v>307</v>
      </c>
    </row>
    <row r="38">
      <c r="A38" s="3" t="s">
        <v>308</v>
      </c>
      <c r="E38" s="0" t="s">
        <v>309</v>
      </c>
    </row>
    <row r="39">
      <c r="A39" s="3" t="s">
        <v>310</v>
      </c>
      <c r="E39" s="0" t="s">
        <v>311</v>
      </c>
    </row>
    <row r="40">
      <c r="A40" s="3" t="s">
        <v>312</v>
      </c>
      <c r="E40" s="0" t="s">
        <v>313</v>
      </c>
    </row>
    <row r="41">
      <c r="A41" s="3" t="s">
        <v>314</v>
      </c>
      <c r="E41" s="0" t="s">
        <v>315</v>
      </c>
    </row>
    <row r="42">
      <c r="A42" s="3" t="s">
        <v>316</v>
      </c>
      <c r="E42" s="0" t="s">
        <v>317</v>
      </c>
    </row>
    <row r="43">
      <c r="A43" s="3" t="s">
        <v>318</v>
      </c>
      <c r="E43" s="0" t="s">
        <v>319</v>
      </c>
    </row>
    <row r="44">
      <c r="A44" s="3" t="s">
        <v>320</v>
      </c>
      <c r="E44" s="0" t="s">
        <v>321</v>
      </c>
    </row>
    <row r="45">
      <c r="A45" s="3" t="s">
        <v>322</v>
      </c>
      <c r="E45" s="0" t="s">
        <v>323</v>
      </c>
    </row>
    <row r="46">
      <c r="A46" s="3" t="s">
        <v>324</v>
      </c>
    </row>
    <row r="47">
      <c r="A47" s="3" t="s">
        <v>325</v>
      </c>
    </row>
    <row r="48">
      <c r="A48" s="4" t="s">
        <v>326</v>
      </c>
    </row>
    <row r="49">
      <c r="A49" s="1" t="s">
        <v>327</v>
      </c>
    </row>
    <row r="50">
      <c r="A50" s="0" t="s">
        <v>328</v>
      </c>
    </row>
    <row r="51">
      <c r="A51" s="0" t="s">
        <v>329</v>
      </c>
    </row>
    <row r="52">
      <c r="A52" s="0" t="s">
        <v>330</v>
      </c>
    </row>
    <row r="53">
      <c r="A53" s="0" t="s">
        <v>331</v>
      </c>
    </row>
    <row r="54">
      <c r="A54" s="0" t="s">
        <v>332</v>
      </c>
    </row>
    <row r="55">
      <c r="A55" s="0" t="s">
        <v>333</v>
      </c>
    </row>
    <row r="56">
      <c r="A56" s="0" t="s">
        <v>334</v>
      </c>
    </row>
    <row r="57">
      <c r="A57" s="0" t="s">
        <v>335</v>
      </c>
    </row>
    <row r="58">
      <c r="A58" s="0" t="s">
        <v>336</v>
      </c>
    </row>
    <row r="59">
      <c r="A59" s="0" t="s">
        <v>337</v>
      </c>
    </row>
    <row r="60">
      <c r="A60" s="0" t="s">
        <v>338</v>
      </c>
    </row>
    <row r="61">
      <c r="A61" s="0" t="s">
        <v>339</v>
      </c>
    </row>
    <row r="62">
      <c r="A62" s="0" t="s">
        <v>340</v>
      </c>
    </row>
    <row r="63">
      <c r="A63" s="0" t="s">
        <v>341</v>
      </c>
    </row>
    <row r="64">
      <c r="A64" s="0" t="s">
        <v>342</v>
      </c>
    </row>
    <row r="65">
      <c r="A65" s="0" t="s">
        <v>343</v>
      </c>
    </row>
    <row r="66">
      <c r="A66" s="0" t="s">
        <v>344</v>
      </c>
    </row>
    <row r="67">
      <c r="A67" s="0" t="s">
        <v>345</v>
      </c>
    </row>
    <row r="68">
      <c r="A68" s="0" t="s">
        <v>346</v>
      </c>
    </row>
    <row r="69">
      <c r="A69" s="0" t="s">
        <v>347</v>
      </c>
    </row>
    <row r="70">
      <c r="A70" s="0" t="s">
        <v>348</v>
      </c>
    </row>
    <row r="71">
      <c r="A71" s="0" t="s">
        <v>349</v>
      </c>
    </row>
    <row r="72">
      <c r="A72" s="0" t="s">
        <v>350</v>
      </c>
    </row>
    <row r="73">
      <c r="A73" s="0" t="s">
        <v>351</v>
      </c>
    </row>
    <row r="74">
      <c r="A74" s="0" t="s">
        <v>352</v>
      </c>
    </row>
    <row r="75">
      <c r="A75" s="0" t="s">
        <v>353</v>
      </c>
    </row>
    <row r="76">
      <c r="A76" s="0" t="s">
        <v>354</v>
      </c>
    </row>
    <row r="77">
      <c r="A77" s="0" t="s">
        <v>355</v>
      </c>
    </row>
    <row r="78">
      <c r="A78" s="0" t="s">
        <v>356</v>
      </c>
    </row>
    <row r="79">
      <c r="A79" s="0" t="s">
        <v>357</v>
      </c>
    </row>
    <row r="80">
      <c r="A80" s="0" t="s">
        <v>358</v>
      </c>
    </row>
    <row r="81">
      <c r="A81" s="0" t="s">
        <v>359</v>
      </c>
    </row>
    <row r="82">
      <c r="A82" s="0" t="s">
        <v>360</v>
      </c>
    </row>
    <row r="83">
      <c r="A83" s="0" t="s">
        <v>361</v>
      </c>
    </row>
    <row r="84">
      <c r="A84" s="0" t="s">
        <v>362</v>
      </c>
    </row>
    <row r="85">
      <c r="A85" s="0" t="s">
        <v>363</v>
      </c>
    </row>
    <row r="86">
      <c r="A86" s="0" t="s">
        <v>364</v>
      </c>
    </row>
    <row r="87">
      <c r="A87" s="0" t="s">
        <v>365</v>
      </c>
    </row>
    <row r="88">
      <c r="A88" s="0" t="s">
        <v>366</v>
      </c>
    </row>
    <row r="89">
      <c r="A89" s="0" t="s">
        <v>367</v>
      </c>
    </row>
    <row r="90">
      <c r="A90" s="0" t="s">
        <v>368</v>
      </c>
    </row>
    <row r="91">
      <c r="A91" s="0" t="s">
        <v>369</v>
      </c>
    </row>
    <row r="92">
      <c r="A92" s="0" t="s">
        <v>370</v>
      </c>
    </row>
    <row r="93">
      <c r="A93" s="0" t="s">
        <v>371</v>
      </c>
    </row>
    <row r="94">
      <c r="A94" s="0" t="s">
        <v>372</v>
      </c>
    </row>
    <row r="95">
      <c r="A95" s="0" t="s">
        <v>373</v>
      </c>
    </row>
    <row r="96">
      <c r="A96" s="0" t="s">
        <v>374</v>
      </c>
    </row>
    <row r="97">
      <c r="A97" s="0" t="s">
        <v>375</v>
      </c>
    </row>
    <row r="98">
      <c r="A98" s="0" t="s">
        <v>376</v>
      </c>
    </row>
    <row r="99">
      <c r="A99" s="0" t="s">
        <v>377</v>
      </c>
    </row>
    <row r="100">
      <c r="A100" s="0" t="s">
        <v>378</v>
      </c>
    </row>
    <row r="101">
      <c r="A101" s="0" t="s">
        <v>379</v>
      </c>
    </row>
    <row r="102">
      <c r="A102" s="0" t="s">
        <v>380</v>
      </c>
    </row>
    <row r="103">
      <c r="A103" s="0" t="s">
        <v>381</v>
      </c>
    </row>
    <row r="104">
      <c r="A104" s="0" t="s">
        <v>382</v>
      </c>
    </row>
    <row r="105">
      <c r="A105" s="0" t="s">
        <v>383</v>
      </c>
    </row>
    <row r="106">
      <c r="A106" s="0" t="s">
        <v>384</v>
      </c>
    </row>
    <row r="107">
      <c r="A107" s="0" t="s">
        <v>385</v>
      </c>
    </row>
    <row r="108">
      <c r="A108" s="0" t="s">
        <v>386</v>
      </c>
    </row>
    <row r="109">
      <c r="A109" s="0" t="s">
        <v>387</v>
      </c>
    </row>
    <row r="110">
      <c r="A110" s="0" t="s">
        <v>388</v>
      </c>
    </row>
    <row r="111">
      <c r="A111" s="0" t="s">
        <v>389</v>
      </c>
    </row>
    <row r="112">
      <c r="A112" s="0" t="s">
        <v>390</v>
      </c>
    </row>
    <row r="113">
      <c r="A113" s="0" t="s">
        <v>391</v>
      </c>
    </row>
    <row r="114">
      <c r="A114" s="0" t="s">
        <v>392</v>
      </c>
    </row>
    <row r="115">
      <c r="A115" s="0" t="s">
        <v>393</v>
      </c>
    </row>
    <row r="116">
      <c r="A116" s="0" t="s">
        <v>394</v>
      </c>
    </row>
    <row r="117">
      <c r="A117" s="0" t="s">
        <v>395</v>
      </c>
    </row>
    <row r="118">
      <c r="A118" s="0" t="s">
        <v>396</v>
      </c>
    </row>
    <row r="119">
      <c r="A119" s="0" t="s">
        <v>397</v>
      </c>
    </row>
    <row r="120">
      <c r="A120" s="0" t="s">
        <v>398</v>
      </c>
    </row>
    <row r="121">
      <c r="A121" s="0" t="s">
        <v>399</v>
      </c>
    </row>
    <row r="122">
      <c r="A122" s="0" t="s">
        <v>400</v>
      </c>
    </row>
    <row r="123">
      <c r="A123" s="0" t="s">
        <v>401</v>
      </c>
    </row>
    <row r="124">
      <c r="A124" s="0" t="s">
        <v>402</v>
      </c>
    </row>
    <row r="125">
      <c r="A125" s="0" t="s">
        <v>403</v>
      </c>
    </row>
    <row r="126">
      <c r="A126" s="0" t="s">
        <v>404</v>
      </c>
    </row>
    <row r="127">
      <c r="A127" s="0" t="s">
        <v>405</v>
      </c>
    </row>
    <row r="128">
      <c r="A128" s="0" t="s">
        <v>406</v>
      </c>
    </row>
    <row r="129">
      <c r="A129" s="0" t="s">
        <v>407</v>
      </c>
    </row>
    <row r="130">
      <c r="A130" s="0" t="s">
        <v>408</v>
      </c>
    </row>
    <row r="131">
      <c r="A131" s="0" t="s">
        <v>409</v>
      </c>
    </row>
    <row r="132">
      <c r="A132" s="0" t="s">
        <v>410</v>
      </c>
    </row>
    <row r="133">
      <c r="A133" s="0" t="s">
        <v>411</v>
      </c>
    </row>
    <row r="134">
      <c r="A134" s="0" t="s">
        <v>412</v>
      </c>
    </row>
    <row r="135">
      <c r="A135" s="0" t="s">
        <v>413</v>
      </c>
    </row>
    <row r="136">
      <c r="A136" s="0" t="s">
        <v>414</v>
      </c>
    </row>
    <row r="137">
      <c r="A137" s="0" t="s">
        <v>415</v>
      </c>
    </row>
    <row r="138">
      <c r="A138" s="0" t="s">
        <v>416</v>
      </c>
    </row>
    <row r="139">
      <c r="A139" s="0" t="s">
        <v>417</v>
      </c>
    </row>
    <row r="140">
      <c r="A140" s="0" t="s">
        <v>418</v>
      </c>
    </row>
    <row r="141">
      <c r="A141" s="0" t="s">
        <v>419</v>
      </c>
    </row>
    <row r="142">
      <c r="A142" s="0" t="s">
        <v>420</v>
      </c>
    </row>
    <row r="143">
      <c r="A143" s="0" t="s">
        <v>421</v>
      </c>
    </row>
    <row r="144">
      <c r="A144" s="0" t="s">
        <v>422</v>
      </c>
    </row>
    <row r="145">
      <c r="A145" s="0" t="s">
        <v>423</v>
      </c>
    </row>
    <row r="146">
      <c r="A146" s="0" t="s">
        <v>424</v>
      </c>
    </row>
    <row r="147">
      <c r="A147" s="0" t="s">
        <v>425</v>
      </c>
    </row>
    <row r="148">
      <c r="A148" s="0" t="s">
        <v>426</v>
      </c>
    </row>
    <row r="149">
      <c r="A149" s="0" t="s">
        <v>427</v>
      </c>
    </row>
    <row r="150">
      <c r="A150" s="0" t="s">
        <v>428</v>
      </c>
    </row>
    <row r="151">
      <c r="A151" s="0" t="s">
        <v>429</v>
      </c>
    </row>
    <row r="152">
      <c r="A152" s="0" t="s">
        <v>430</v>
      </c>
    </row>
    <row r="153">
      <c r="A153" s="0" t="s">
        <v>431</v>
      </c>
    </row>
    <row r="154">
      <c r="A154" s="0" t="s">
        <v>432</v>
      </c>
    </row>
    <row r="155">
      <c r="A155" s="0" t="s">
        <v>433</v>
      </c>
    </row>
    <row r="156">
      <c r="A156" s="0" t="s">
        <v>434</v>
      </c>
    </row>
    <row r="157">
      <c r="A157" s="0" t="s">
        <v>435</v>
      </c>
    </row>
    <row r="158">
      <c r="A158" s="0" t="s">
        <v>436</v>
      </c>
    </row>
    <row r="159">
      <c r="A159" s="0" t="s">
        <v>437</v>
      </c>
    </row>
    <row r="160">
      <c r="A160" s="0" t="s">
        <v>438</v>
      </c>
    </row>
    <row r="161">
      <c r="A161" s="0" t="s">
        <v>439</v>
      </c>
    </row>
    <row r="162">
      <c r="A162" s="0" t="s">
        <v>440</v>
      </c>
    </row>
    <row r="163">
      <c r="A163" s="0" t="s">
        <v>441</v>
      </c>
    </row>
    <row r="164">
      <c r="A164" s="0" t="s">
        <v>442</v>
      </c>
    </row>
    <row r="165">
      <c r="A165" s="0" t="s">
        <v>443</v>
      </c>
    </row>
    <row r="166">
      <c r="A166" s="0" t="s">
        <v>444</v>
      </c>
    </row>
    <row r="167">
      <c r="A167" s="0" t="s">
        <v>445</v>
      </c>
    </row>
    <row r="168">
      <c r="A168" s="0" t="s">
        <v>446</v>
      </c>
    </row>
    <row r="169">
      <c r="A169" s="0" t="s">
        <v>447</v>
      </c>
    </row>
    <row r="170">
      <c r="A170" s="0" t="s">
        <v>448</v>
      </c>
    </row>
    <row r="171">
      <c r="A171" s="0" t="s">
        <v>449</v>
      </c>
    </row>
    <row r="172">
      <c r="A172" s="0" t="s">
        <v>450</v>
      </c>
    </row>
    <row r="173">
      <c r="A173" s="0" t="s">
        <v>451</v>
      </c>
    </row>
    <row r="174">
      <c r="A174" s="0" t="s">
        <v>452</v>
      </c>
    </row>
    <row r="175">
      <c r="A175" s="0" t="s">
        <v>453</v>
      </c>
    </row>
    <row r="176">
      <c r="A176" s="0" t="s">
        <v>454</v>
      </c>
    </row>
    <row r="177">
      <c r="A177" s="0" t="s">
        <v>455</v>
      </c>
    </row>
    <row r="178">
      <c r="A178" s="0" t="s">
        <v>456</v>
      </c>
    </row>
    <row r="179">
      <c r="A179" s="0" t="s">
        <v>457</v>
      </c>
    </row>
    <row r="180">
      <c r="A180" s="0" t="s">
        <v>458</v>
      </c>
    </row>
    <row r="181">
      <c r="A181" s="0" t="s">
        <v>459</v>
      </c>
    </row>
    <row r="182">
      <c r="A182" s="0" t="s">
        <v>460</v>
      </c>
    </row>
    <row r="183">
      <c r="A183" s="0" t="s">
        <v>461</v>
      </c>
    </row>
    <row r="184">
      <c r="A184" s="0" t="s">
        <v>462</v>
      </c>
    </row>
    <row r="185">
      <c r="A185" s="0" t="s">
        <v>463</v>
      </c>
    </row>
    <row r="186">
      <c r="A186" s="0" t="s">
        <v>464</v>
      </c>
    </row>
    <row r="187">
      <c r="A187" s="0" t="s">
        <v>465</v>
      </c>
    </row>
    <row r="188">
      <c r="A188" s="0" t="s">
        <v>466</v>
      </c>
    </row>
    <row r="189">
      <c r="A189" s="0" t="s">
        <v>467</v>
      </c>
    </row>
    <row r="190">
      <c r="A190" s="0" t="s">
        <v>468</v>
      </c>
    </row>
    <row r="191">
      <c r="A191" s="0" t="s">
        <v>469</v>
      </c>
    </row>
    <row r="192">
      <c r="A192" s="0" t="s">
        <v>470</v>
      </c>
    </row>
    <row r="193">
      <c r="A193" s="0" t="s">
        <v>471</v>
      </c>
    </row>
    <row r="194">
      <c r="A194" s="0" t="s">
        <v>472</v>
      </c>
    </row>
    <row r="195">
      <c r="A195" s="0" t="s">
        <v>473</v>
      </c>
    </row>
    <row r="196">
      <c r="A196" s="0" t="s">
        <v>474</v>
      </c>
    </row>
    <row r="197">
      <c r="A197" s="0" t="s">
        <v>475</v>
      </c>
    </row>
    <row r="198">
      <c r="A198" s="0" t="s">
        <v>476</v>
      </c>
    </row>
    <row r="199">
      <c r="A199" s="0" t="s">
        <v>477</v>
      </c>
    </row>
    <row r="200">
      <c r="A200" s="0" t="s">
        <v>478</v>
      </c>
    </row>
    <row r="201">
      <c r="A201" s="0" t="s">
        <v>479</v>
      </c>
    </row>
    <row r="202">
      <c r="A202" s="0" t="s">
        <v>480</v>
      </c>
    </row>
    <row r="203">
      <c r="A203" s="0" t="s">
        <v>481</v>
      </c>
    </row>
    <row r="204">
      <c r="A204" s="0" t="s">
        <v>482</v>
      </c>
    </row>
    <row r="205">
      <c r="A205" s="0" t="s">
        <v>483</v>
      </c>
    </row>
    <row r="206">
      <c r="A206" s="0" t="s">
        <v>484</v>
      </c>
    </row>
    <row r="207">
      <c r="A207" s="0" t="s">
        <v>485</v>
      </c>
    </row>
    <row r="208">
      <c r="A208" s="0" t="s">
        <v>486</v>
      </c>
    </row>
    <row r="209">
      <c r="A209" s="0" t="s">
        <v>487</v>
      </c>
    </row>
    <row r="210">
      <c r="A210" s="0" t="s">
        <v>488</v>
      </c>
    </row>
    <row r="211">
      <c r="A211" s="0" t="s">
        <v>489</v>
      </c>
    </row>
    <row r="212">
      <c r="A212" s="0" t="s">
        <v>490</v>
      </c>
    </row>
    <row r="213">
      <c r="A213" s="0" t="s">
        <v>491</v>
      </c>
    </row>
    <row r="214">
      <c r="A214" s="0" t="s">
        <v>492</v>
      </c>
    </row>
    <row r="215">
      <c r="A215" s="0" t="s">
        <v>493</v>
      </c>
    </row>
    <row r="216">
      <c r="A216" s="0" t="s">
        <v>494</v>
      </c>
    </row>
    <row r="217">
      <c r="A217" s="0" t="s">
        <v>495</v>
      </c>
    </row>
    <row r="218">
      <c r="A218" s="0" t="s">
        <v>496</v>
      </c>
    </row>
    <row r="219">
      <c r="A219" s="0" t="s">
        <v>497</v>
      </c>
    </row>
    <row r="220">
      <c r="A220" s="0" t="s">
        <v>498</v>
      </c>
    </row>
    <row r="221">
      <c r="A221" s="0" t="s">
        <v>499</v>
      </c>
    </row>
    <row r="222">
      <c r="A222" s="0" t="s">
        <v>500</v>
      </c>
    </row>
    <row r="223">
      <c r="A223" s="0" t="s">
        <v>501</v>
      </c>
    </row>
    <row r="224">
      <c r="A224" s="0" t="s">
        <v>502</v>
      </c>
    </row>
    <row r="225">
      <c r="A225" s="0" t="s">
        <v>503</v>
      </c>
    </row>
    <row r="226">
      <c r="A226" s="0" t="s">
        <v>504</v>
      </c>
    </row>
    <row r="227">
      <c r="A227" s="0" t="s">
        <v>505</v>
      </c>
    </row>
    <row r="228">
      <c r="A228" s="0" t="s">
        <v>506</v>
      </c>
    </row>
    <row r="229">
      <c r="A229" s="0" t="s">
        <v>507</v>
      </c>
    </row>
    <row r="230">
      <c r="A230" s="0" t="s">
        <v>508</v>
      </c>
    </row>
    <row r="231">
      <c r="A231" s="0" t="s">
        <v>509</v>
      </c>
    </row>
    <row r="232">
      <c r="A232" s="0" t="s">
        <v>510</v>
      </c>
    </row>
    <row r="233">
      <c r="A233" s="0" t="s">
        <v>511</v>
      </c>
    </row>
    <row r="234">
      <c r="A234" s="0" t="s">
        <v>512</v>
      </c>
    </row>
    <row r="235">
      <c r="A235" s="0" t="s">
        <v>513</v>
      </c>
    </row>
    <row r="236">
      <c r="A236" s="0" t="s">
        <v>514</v>
      </c>
    </row>
    <row r="237">
      <c r="A237" s="0" t="s">
        <v>515</v>
      </c>
    </row>
    <row r="238">
      <c r="A238" s="0" t="s">
        <v>516</v>
      </c>
    </row>
    <row r="239">
      <c r="A239" s="0" t="s">
        <v>517</v>
      </c>
    </row>
    <row r="240">
      <c r="A240" s="0" t="s">
        <v>518</v>
      </c>
    </row>
    <row r="241">
      <c r="A241" s="0" t="s">
        <v>519</v>
      </c>
    </row>
    <row r="242">
      <c r="A242" s="0" t="s">
        <v>520</v>
      </c>
    </row>
    <row r="243">
      <c r="A243" s="0" t="s">
        <v>521</v>
      </c>
    </row>
    <row r="244">
      <c r="A244" s="0" t="s">
        <v>522</v>
      </c>
    </row>
    <row r="245">
      <c r="A245" s="0" t="s">
        <v>523</v>
      </c>
    </row>
    <row r="246">
      <c r="A246" s="0" t="s">
        <v>524</v>
      </c>
    </row>
  </sheetData>
  <sheetProtection algorithmName="SHA-512" hashValue="mAs/iqX36OBpNIy3ISxOM3MX/CnTNFSHv0+nYph9PGJKKuAoFqKazNJ785eTy94+QlwT+f8BKZEcb4HMcvh6FQ==" saltValue="pvyE7ej4GLB3ti8Dm1/rlQ==" spinCount="100000" sheet="1" objects="1" scenarios="1"/>
  <dataConsolidate/>
  <pageMargins left="0.7" right="0.7" top="0.75" bottom="0.75" header="0.3" footer="0.3"/>
  <pageSetup paperSize="9" orientation="portrait" horizontalDpi="300" verticalDpi="300"/>
  <headerFooter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Forma-NXVS-1</vt:lpstr>
      <vt:lpstr>Forma-NXVS-1a</vt:lpstr>
      <vt:lpstr>Forma-NXVS-2</vt:lpstr>
      <vt:lpstr>Forma-NXVS-3</vt:lpstr>
      <vt:lpstr>BankList</vt:lpstr>
      <vt:lpstr>Countries</vt:lpstr>
      <vt:lpstr>CurrencyList</vt:lpstr>
      <vt:lpstr>CurrencyTableHeader_EUR</vt:lpstr>
      <vt:lpstr>CurrencyTableHeader_USD</vt:lpstr>
      <vt:lpstr>EndDate</vt:lpstr>
      <vt:lpstr>'Forma-NXVS-1'!Print_Area</vt:lpstr>
      <vt:lpstr>'Forma-NXVS-1a'!Print_Area</vt:lpstr>
      <vt:lpstr>'Forma-NXVS-2'!Print_Area</vt:lpstr>
      <vt:lpstr>'Forma-NXVS-3'!Print_Area</vt:lpstr>
      <vt:lpstr>selectDate</vt:lpstr>
      <vt:lpstr>SikkeList</vt:lpstr>
      <vt:lpstr>SumNxv1TableHeader1</vt:lpstr>
      <vt:lpstr>SumNxv1TableHeader2</vt:lpstr>
      <vt:lpstr>SystemDateFormat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Elvin Hacıyev</dc:creator>
  <cp:lastModifiedBy>Samir Huseynov</cp:lastModifiedBy>
  <dcterms:created xsi:type="dcterms:W3CDTF">2015-06-05T18:17:20Z</dcterms:created>
  <dcterms:modified xsi:type="dcterms:W3CDTF">2024-03-14T07:11:51Z</dcterms:modified>
</cp:coreProperties>
</file>