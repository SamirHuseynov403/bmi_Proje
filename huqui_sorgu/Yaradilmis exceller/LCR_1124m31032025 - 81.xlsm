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<sst xmlns="http://schemas.openxmlformats.org/spreadsheetml/2006/main" count="484" uniqueCount="484">
  <si>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</si>
  <si>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</si>
  <si>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</si>
  <si>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</si>
  <si>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</si>
  <si>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</si>
  <si>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</si>
  <si>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</si>
  <si>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</si>
  <si>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</si>
  <si>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</si>
  <si>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</si>
  <si>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</si>
  <si>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</si>
  <si>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</si>
  <si>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</si>
  <si>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</si>
  <si>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</si>
  <si>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</si>
  <si>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</si>
  <si>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</si>
  <si>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</si>
  <si>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</si>
  <si>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</si>
  <si>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</si>
  <si>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</si>
  <si>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</si>
  <si>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</si>
  <si>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</si>
  <si>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</si>
  <si>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</si>
  <si>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</si>
  <si>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</si>
  <si>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</si>
  <si>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</si>
  <si>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</si>
  <si>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</si>
  <si>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</si>
  <si>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</si>
  <si>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</si>
  <si>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</si>
  <si>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</si>
  <si>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</si>
  <si>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</si>
  <si>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</si>
  <si>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</si>
  <si>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</si>
  <si>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</si>
  <si>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</si>
  <si>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</si>
  <si>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</si>
  <si>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</si>
  <si>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</si>
  <si>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</si>
  <si>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</si>
  <si>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</si>
  <si>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</si>
  <si>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</si>
  <si>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</si>
  <si>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</si>
  <si>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</si>
  <si>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</si>
  <si>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</si>
  <si>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</si>
  <si>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</si>
  <si>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</si>
  <si>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</si>
  <si>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</si>
  <si>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</si>
  <si>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</si>
  <si>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</si>
  <si>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</si>
  <si>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</si>
  <si>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</si>
  <si>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</si>
  <si>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</si>
  <si>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</si>
  <si>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</si>
  <si>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</si>
  <si>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</si>
  <si>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</si>
  <si>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</si>
  <si>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</si>
  <si>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</si>
  <si>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</si>
  <si>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</si>
  <si>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</si>
  <si>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</si>
  <si>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</si>
  <si>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</si>
  <si>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</si>
  <si>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</si>
  <si>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</si>
  <si>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</si>
  <si>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</si>
  <si>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</si>
  <si>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</si>
  <si>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</si>
  <si>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</si>
  <si>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</si>
  <si>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</si>
  <si>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</si>
  <si>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</si>
  <si>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</si>
  <si>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</si>
  <si>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</si>
  <si>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</si>
  <si>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</si>
  <si>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</si>
  <si>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</si>
  <si>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</si>
  <si>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</si>
  <si>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</si>
  <si>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</si>
  <si>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</si>
  <si>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</si>
  <si>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</si>
  <si>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</si>
  <si>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</si>
  <si>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</si>
  <si>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</si>
  <si>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</si>
  <si>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</si>
  <si>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</si>
  <si>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</si>
  <si>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</si>
  <si>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</si>
  <si>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</si>
  <si>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</si>
  <si>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</si>
  <si>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</si>
  <si>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</si>
  <si>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</si>
  <si>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</si>
  <si>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</si>
  <si>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</si>
  <si>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</si>
  <si>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</si>
  <si>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</si>
  <si>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</si>
  <si>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</si>
  <si>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</si>
  <si>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</si>
  <si>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</si>
  <si>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</si>
  <si>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</si>
  <si>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</si>
  <si>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</si>
  <si>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</si>
  <si>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</si>
  <si>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</si>
  <si>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</si>
  <si>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</si>
  <si>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</si>
  <si>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</si>
  <si>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</si>
  <si>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</si>
  <si>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</si>
  <si>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</si>
  <si>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</si>
  <si>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</si>
  <si>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</si>
  <si>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</si>
  <si>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</si>
  <si>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</si>
  <si>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</si>
  <si>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</si>
  <si>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</si>
  <si>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</si>
  <si>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</si>
  <si>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</si>
  <si>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</si>
  <si>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</si>
  <si>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</si>
  <si>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</si>
  <si>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</si>
  <si>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</si>
  <si>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</si>
  <si>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</si>
  <si>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</si>
  <si>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</si>
  <si>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</si>
  <si>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</si>
  <si>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</si>
  <si>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</si>
  <si>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</si>
  <si>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</si>
  <si>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</si>
  <si>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</si>
  <si>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</si>
  <si>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</si>
  <si>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</si>
  <si>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</si>
  <si>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</si>
  <si>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</si>
  <si>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</si>
  <si>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</si>
  <si>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</si>
  <si>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</si>
  <si>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</si>
  <si>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</si>
  <si>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</si>
  <si>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</si>
  <si>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</si>
  <si>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</si>
  <si>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</si>
  <si>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Tarix:31-03-2025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</si>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</sst>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C140" sqref="C140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3092.15159</v>
      </c>
      <c r="D9" s="19">
        <f>SUM(E9:OFFSET(BE9:BE9,0,-1))</f>
        <v>0</v>
      </c>
      <c r="E9" s="127">
        <v>523.76643</v>
      </c>
      <c r="F9" s="127">
        <v>1875.3193</v>
      </c>
      <c r="G9" s="127">
        <v>693.06586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36385.35392</v>
      </c>
      <c r="D10" s="19">
        <f>SUM(E10:OFFSET(BE10:BE10,0,-1))</f>
        <v>0</v>
      </c>
      <c r="E10" s="189">
        <v>3555.47047</v>
      </c>
      <c r="F10" s="189">
        <v>948.3841</v>
      </c>
      <c r="G10" s="189">
        <v>31908.3593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3571.20946</v>
      </c>
      <c r="D12" s="21">
        <f>SUM(E12:OFFSET(BE12:BE12,0,-1))</f>
        <v>0</v>
      </c>
      <c r="E12" s="119">
        <v>3470.954</v>
      </c>
      <c r="F12" s="119">
        <v>0</v>
      </c>
      <c r="G12" s="119">
        <v>100.25546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8.58273</v>
      </c>
      <c r="D14" s="21">
        <f>SUM(E14:OFFSET(BE14:BE14,0,-1))</f>
        <v>0</v>
      </c>
      <c r="E14" s="119">
        <v>0</v>
      </c>
      <c r="F14" s="119">
        <v>0</v>
      </c>
      <c r="G14" s="119">
        <v>8.25726</v>
      </c>
      <c r="H14" s="119"/>
      <c r="I14" s="119">
        <v>0.00251</v>
      </c>
      <c r="J14" s="119"/>
      <c r="K14" s="119">
        <v>0.3139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0</v>
      </c>
      <c r="G15" s="126">
        <v>0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0</v>
      </c>
      <c r="G16" s="119">
        <v>0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34.33094</v>
      </c>
      <c r="D18" s="22">
        <f>SUM(E18:OFFSET(BE18:BE18,0,-1))</f>
        <v>0</v>
      </c>
      <c r="E18" s="126">
        <v>0</v>
      </c>
      <c r="F18" s="126">
        <v>0</v>
      </c>
      <c r="G18" s="126">
        <v>33.02906</v>
      </c>
      <c r="H18" s="126"/>
      <c r="I18" s="126">
        <v>0.01004</v>
      </c>
      <c r="J18" s="126"/>
      <c r="K18" s="126">
        <v>1.2556</v>
      </c>
      <c r="L18" s="126"/>
      <c r="M18" s="126"/>
      <c r="N18" s="126"/>
      <c r="O18" s="126">
        <v>0.03624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8.58273</v>
      </c>
      <c r="D19" s="21">
        <f>SUM(E19:OFFSET(BE19:BE19,0,-1))</f>
        <v>0</v>
      </c>
      <c r="E19" s="119">
        <v>0</v>
      </c>
      <c r="F19" s="119">
        <v>0</v>
      </c>
      <c r="G19" s="119">
        <v>8.25726</v>
      </c>
      <c r="H19" s="119"/>
      <c r="I19" s="119">
        <v>0.00251</v>
      </c>
      <c r="J19" s="119"/>
      <c r="K19" s="119">
        <v>0.3139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2464.93075</v>
      </c>
      <c r="D24" s="21">
        <f>SUM(E24:OFFSET(BE24:BE24,0,-1))</f>
        <v>0</v>
      </c>
      <c r="E24" s="119">
        <v>2470.36728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2464.93075</v>
      </c>
      <c r="D25" s="21">
        <f>SUM(E25:OFFSET(BE25:BE25,0,-1))</f>
        <v>0</v>
      </c>
      <c r="E25" s="119">
        <v>2470.36728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24879.36161</v>
      </c>
      <c r="D26" s="21">
        <f>SUM(E26:OFFSET(BE26:BE26,0,-1))</f>
        <v>0</v>
      </c>
      <c r="E26" s="119">
        <v>24939.07236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24879.36161</v>
      </c>
      <c r="D27" s="21">
        <f>SUM(E27:OFFSET(BE27:BE27,0,-1))</f>
        <v>0</v>
      </c>
      <c r="E27" s="119">
        <v>24939.07236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45500</v>
      </c>
      <c r="D41" s="20">
        <f>SUM(E41:OFFSET(BE41:BE41,0,-1))</f>
        <v>0</v>
      </c>
      <c r="E41" s="189">
        <v>45500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6329.799</v>
      </c>
      <c r="D42" s="20">
        <f>SUM(E42:OFFSET(BE42:BE42,0,-1))</f>
        <v>0</v>
      </c>
      <c r="E42" s="189">
        <v>6329.799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950</v>
      </c>
      <c r="D43" s="21">
        <f>SUM(E43:OFFSET(BE43:BE43,0,-1))</f>
        <v>0</v>
      </c>
      <c r="E43" s="119">
        <v>950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5379.799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297.42911</v>
      </c>
      <c r="D49" s="23">
        <f>SUM(E49:OFFSET(BE49:BE49,0,-1))</f>
        <v>0</v>
      </c>
      <c r="E49" s="120">
        <v>297.42911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2389.33337</v>
      </c>
      <c r="D50" s="23">
        <f>SUM(E50:OFFSET(BE50:BE50,0,-1))</f>
        <v>0</v>
      </c>
      <c r="E50" s="120">
        <v>2366.62109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59.23614</v>
      </c>
      <c r="D51" s="23">
        <f>SUM(E51:OFFSET(BE51:BE51,0,-1))</f>
        <v>0</v>
      </c>
      <c r="E51" s="120">
        <v>58.32193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1525.94958</v>
      </c>
      <c r="D52" s="23">
        <f>SUM(E52:OFFSET(BE52:BE52,0,-1))</f>
        <v>0</v>
      </c>
      <c r="E52" s="120">
        <v>1531.97727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2940.59061</v>
      </c>
      <c r="D53" s="20">
        <f>SUM(E53:OFFSET(BE53:BE53,0,-1))</f>
        <v>0</v>
      </c>
      <c r="E53" s="189">
        <v>2940.59061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21904.2929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21904.2929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1920.1875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453.40815</v>
      </c>
      <c r="D58" s="20">
        <f>SUM(E58:OFFSET(BE58:BE58,0,-1))</f>
        <v>0</v>
      </c>
      <c r="E58" s="189">
        <v>555.35651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244.78283</v>
      </c>
      <c r="D59" s="24">
        <f>SUM(E59:OFFSET(BE59:BE59,0,-1))</f>
        <v>0</v>
      </c>
      <c r="E59" s="121">
        <v>349.61284</v>
      </c>
      <c r="F59" s="121">
        <v>0</v>
      </c>
      <c r="G59" s="121">
        <v>0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188.46548</v>
      </c>
      <c r="D60" s="24">
        <f>SUM(E60:OFFSET(BE60:BE60,0,-1))</f>
        <v>0</v>
      </c>
      <c r="E60" s="121">
        <v>191.77232</v>
      </c>
      <c r="F60" s="121">
        <v>0</v>
      </c>
      <c r="G60" s="121">
        <v>0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7792.05199</v>
      </c>
      <c r="D61" s="25">
        <f>SUM(E61:OFFSET(BE61:BE61,0,-1))</f>
        <v>0</v>
      </c>
      <c r="E61" s="122">
        <v>7792.05636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34570.95705</v>
      </c>
      <c r="D65" s="21">
        <f>SUM(E65:OFFSET(BE65:BE65,0,-1))</f>
        <v>0</v>
      </c>
      <c r="E65" s="119">
        <v>34416.34085</v>
      </c>
      <c r="F65" s="119">
        <v>134.0257</v>
      </c>
      <c r="G65" s="119">
        <v>20.5905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682.91382</v>
      </c>
      <c r="D66" s="21">
        <f>SUM(E66:OFFSET(BE66:BE66,0,-1))</f>
        <v>0</v>
      </c>
      <c r="E66" s="119">
        <v>124.61595</v>
      </c>
      <c r="F66" s="119">
        <v>500.15132</v>
      </c>
      <c r="G66" s="119">
        <v>58.15389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2.52681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1.84345</v>
      </c>
      <c r="D73" s="21">
        <f>SUM(E73:OFFSET(BE73:BE73,0,-1))</f>
        <v>0</v>
      </c>
      <c r="E73" s="119">
        <v>0</v>
      </c>
      <c r="F73" s="119">
        <v>1.64312</v>
      </c>
      <c r="G73" s="119">
        <v>0.20033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17103.41535</v>
      </c>
      <c r="D74" s="21">
        <f>SUM(E74:OFFSET(BE74:BE74,0,-1))</f>
        <v>0</v>
      </c>
      <c r="E74" s="119">
        <v>0</v>
      </c>
      <c r="F74" s="119">
        <v>2995.57621</v>
      </c>
      <c r="G74" s="119">
        <v>14107.83914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16723.8</v>
      </c>
      <c r="D76" s="21">
        <f>SUM(E76:OFFSET(BE76:BE76,0,-1))</f>
        <v>0</v>
      </c>
      <c r="E76" s="119">
        <v>0</v>
      </c>
      <c r="F76" s="119">
        <v>0</v>
      </c>
      <c r="G76" s="119">
        <v>16723.8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16723.8</v>
      </c>
      <c r="D77" s="27">
        <f>SUM(E77:OFFSET(BE77:BE77,0,-1))</f>
        <v>0</v>
      </c>
      <c r="E77" s="123">
        <v>0</v>
      </c>
      <c r="F77" s="123">
        <v>0</v>
      </c>
      <c r="G77" s="123">
        <v>16723.8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420.74715</v>
      </c>
      <c r="D89" s="20">
        <f>SUM(E89:OFFSET(BE89:BE89,0,-1))</f>
        <v>0</v>
      </c>
      <c r="E89" s="189">
        <v>365.91555</v>
      </c>
      <c r="F89" s="189">
        <v>3.23</v>
      </c>
      <c r="G89" s="189">
        <v>51.6016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50325.57775</v>
      </c>
      <c r="D93" s="30">
        <f>SUM(E93:OFFSET(BE93:BE93,0,-1))</f>
        <v>0</v>
      </c>
      <c r="E93" s="125">
        <v>50489.87182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1366.40611</v>
      </c>
      <c r="D95" s="21">
        <f>SUM(E95:OFFSET(BE95:BE95,0,-1))</f>
        <v>0</v>
      </c>
      <c r="E95" s="119">
        <v>1529.33625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18.58965</v>
      </c>
      <c r="D119" s="21">
        <f t="shared" si="52"/>
        <v>0</v>
      </c>
      <c r="E119" s="119">
        <v>18.58965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1544.74626</v>
      </c>
      <c r="D120" s="21">
        <f t="shared" si="52"/>
        <v>0</v>
      </c>
      <c r="E120" s="119">
        <v>1502.52378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16.25305</v>
      </c>
      <c r="D123" s="21">
        <f t="shared" si="52"/>
        <v>0</v>
      </c>
      <c r="E123" s="119">
        <v>16.25305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1229.01667</v>
      </c>
      <c r="D124" s="21">
        <f t="shared" si="52"/>
        <v>0</v>
      </c>
      <c r="E124" s="119">
        <v>1244.65702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397.52032</v>
      </c>
      <c r="D128" s="21">
        <f t="shared" si="52"/>
        <v>0</v>
      </c>
      <c r="E128" s="119">
        <v>392.78184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10885.34702595</v>
      </c>
      <c r="D130" s="35">
        <f t="shared" si="52"/>
        <v>0</v>
      </c>
      <c r="E130" s="169">
        <v>10364.19428</v>
      </c>
      <c r="F130" s="169">
        <v>22.212574</v>
      </c>
      <c r="G130" s="169">
        <v>498.94017195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113297.546075</v>
      </c>
      <c r="D135" s="27">
        <f>SUM(E135:BD135)</f>
        <v>0</v>
      </c>
      <c r="E135" s="123">
        <v>74467.11098</v>
      </c>
      <c r="F135" s="123">
        <v>2823.7034</v>
      </c>
      <c r="G135" s="123">
        <v>32525.941495</v>
      </c>
      <c r="H135" s="123"/>
      <c r="I135" s="123">
        <v>0.00753</v>
      </c>
      <c r="J135" s="123"/>
      <c r="K135" s="123">
        <v>0.9417</v>
      </c>
      <c r="L135" s="123"/>
      <c r="M135" s="123"/>
      <c r="N135" s="123"/>
      <c r="O135" s="123">
        <v>0.02718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52402.6832</v>
      </c>
      <c r="D136" s="27">
        <f>SUM(E136:BD136)</f>
        <v>0</v>
      </c>
      <c r="E136" s="123">
        <v>34580.97187</v>
      </c>
      <c r="F136" s="123">
        <v>3634.62635</v>
      </c>
      <c r="G136" s="123">
        <v>14187.09232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>
        <v>2.0960940481817167</v>
      </c>
      <c r="D137" s="123" t="e">
        <f>D138/D139</f>
        <v>#DIV/0!</v>
      </c>
      <c r="E137" s="123">
        <v>1.5767757451331177</v>
      </c>
      <c r="F137" s="123">
        <v>0.77793260893385863</v>
      </c>
      <c r="G137" s="123">
        <v>2.2909469842307164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>
        <v>89699.97685</v>
      </c>
      <c r="D138" s="123">
        <f>SUM(E138:O138)</f>
        <v>0</v>
      </c>
      <c r="E138" s="123">
        <v>54467.11098</v>
      </c>
      <c r="F138" s="123">
        <v>2823.7034</v>
      </c>
      <c r="G138" s="123">
        <v>32501.1697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456</v>
      </c>
      <c r="C139" s="123">
        <v>10981.4734977</v>
      </c>
      <c r="D139" s="123">
        <v>10981.4716627</v>
      </c>
      <c r="E139" s="123">
        <v>3017.106809875</v>
      </c>
      <c r="F139" s="123">
        <v>3134.7488374</v>
      </c>
      <c r="G139" s="123">
        <v>15848.2127558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457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458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459</v>
      </c>
      <c r="C145" s="170">
        <v>7.59925</v>
      </c>
      <c r="D145" s="256">
        <f>SUM(E145:BD145)</f>
        <v>0</v>
      </c>
      <c r="E145" s="170">
        <v>27.53526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460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461</v>
      </c>
      <c r="C147" s="170">
        <v>7.59988</v>
      </c>
      <c r="D147" s="256">
        <f t="shared" si="72"/>
        <v>0</v>
      </c>
      <c r="E147" s="170">
        <v>27.52792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462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463</v>
      </c>
      <c r="C149" s="170">
        <v>7.19681</v>
      </c>
      <c r="D149" s="256">
        <f t="shared" si="72"/>
        <v>0</v>
      </c>
      <c r="E149" s="170">
        <v>0</v>
      </c>
      <c r="F149" s="170">
        <v>0</v>
      </c>
      <c r="G149" s="170">
        <v>0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464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465</v>
      </c>
      <c r="C151" s="170">
        <v>3.96634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466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467</v>
      </c>
      <c r="C153" s="245">
        <v>0</v>
      </c>
      <c r="D153" s="257">
        <f t="shared" si="72"/>
        <v>0</v>
      </c>
      <c r="E153" s="245">
        <v>0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468</v>
      </c>
      <c r="C154" s="245">
        <v>0</v>
      </c>
      <c r="D154" s="257">
        <f t="shared" si="72"/>
        <v>0</v>
      </c>
      <c r="E154" s="245">
        <v>0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469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470</v>
      </c>
      <c r="B156" s="247" t="s">
        <v>471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472</v>
      </c>
      <c r="B157" s="247" t="s">
        <v>473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474</v>
      </c>
      <c r="B158" s="247" t="s">
        <v>475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476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477</v>
      </c>
      <c r="B160" s="247" t="s">
        <v>478</v>
      </c>
      <c r="C160" s="248">
        <v>0</v>
      </c>
      <c r="D160" s="258">
        <f t="shared" si="72"/>
        <v>0</v>
      </c>
      <c r="E160" s="248">
        <v>0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479</v>
      </c>
      <c r="B161" s="247" t="s">
        <v>480</v>
      </c>
      <c r="C161" s="248">
        <v>6.32556</v>
      </c>
      <c r="D161" s="258">
        <f t="shared" si="72"/>
        <v>0</v>
      </c>
      <c r="E161" s="248">
        <v>22.86127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481</v>
      </c>
      <c r="B162" s="247" t="s">
        <v>482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0F3B7-5009-4841-989E-BA425A93778D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27.53526</v>
      </c>
      <c r="D25" s="175">
        <v>76</v>
      </c>
      <c r="E25" s="176"/>
    </row>
    <row r="26" s="215" customFormat="1">
      <c r="A26" s="243" t="s">
        <v>33</v>
      </c>
      <c r="B26" s="231" t="s">
        <v>34</v>
      </c>
      <c r="C26" s="223">
        <v>27.53526</v>
      </c>
      <c r="D26" s="224">
        <v>76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0</v>
      </c>
      <c r="D30" s="175">
        <v>0</v>
      </c>
      <c r="E30" s="176"/>
    </row>
    <row r="31" s="215" customFormat="1">
      <c r="A31" s="243" t="s">
        <v>42</v>
      </c>
      <c r="B31" s="231" t="s">
        <v>34</v>
      </c>
      <c r="C31" s="223">
        <v>0</v>
      </c>
      <c r="D31" s="224">
        <v>0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</v>
      </c>
      <c r="D35" s="224">
        <v>0</v>
      </c>
      <c r="E35" s="225"/>
    </row>
    <row r="36" ht="32.25">
      <c r="A36" s="200"/>
      <c r="B36" s="128" t="s">
        <v>21</v>
      </c>
      <c r="C36" s="129">
        <v>0</v>
      </c>
      <c r="D36" s="129">
        <v>0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483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2025-04-09T11:44:57Z</dcterms:modified>
</cp:coreProperties>
</file>