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5\12345\Personal\Samir\"/>
    </mc:Choice>
  </mc:AlternateContent>
  <xr:revisionPtr revIDLastSave="0" documentId="8_{EA067EB2-840F-4405-99B7-5FA9A8803CFD}" xr6:coauthVersionLast="46" xr6:coauthVersionMax="46" xr10:uidLastSave="{00000000-0000-0000-0000-000000000000}"/>
  <bookViews>
    <workbookView xWindow="-120" yWindow="-120" windowWidth="29040" windowHeight="15840" tabRatio="894" xr2:uid="{00000000-000D-0000-FFFF-FFFF00000000}"/>
  </bookViews>
  <sheets>
    <sheet name="Daily-Report" sheetId="1" r:id="rId1"/>
  </sheets>
  <definedNames>
    <definedName name="_xlnm._FilterDatabase" localSheetId="0" hidden="1">'Daily-Report'!$A$6:$J$56</definedName>
    <definedName name="_xlnm.Print_Area" localSheetId="0">'Daily-Report'!$A$1:$H$72</definedName>
  </definedNames>
  <calcPr calcId="181029" fullCalcOnLoad="1"/>
</workbook>
</file>

<file path=xl/sharedStrings.xml><?xml version="1.0" encoding="utf-8"?>
<sst xmlns="http://schemas.openxmlformats.org/spreadsheetml/2006/main" count="87" uniqueCount="87">
  <si>
    <t>AKTİV VƏ PASSİVLƏRİN VALYUTA STRUKTURU</t>
  </si>
  <si>
    <t>Bank Melli İran Bakı filialı</t>
  </si>
  <si>
    <t>Tarix:31-01-2025</t>
  </si>
  <si>
    <t>I Hissə – Balans hesabatı - valyuta stukturu (min manatla)</t>
  </si>
  <si>
    <t>AKTİVLƏR</t>
  </si>
  <si>
    <t>CƏMİ</t>
  </si>
  <si>
    <t>MANAT</t>
  </si>
  <si>
    <t>USD</t>
  </si>
  <si>
    <t>EURO</t>
  </si>
  <si>
    <t>RUBL</t>
  </si>
  <si>
    <t>DİGƏR</t>
  </si>
  <si>
    <t>Nağd vəsaitlər</t>
  </si>
  <si>
    <t>Müxbir hesablar</t>
  </si>
  <si>
    <t>2a</t>
  </si>
  <si>
    <t>AMB</t>
  </si>
  <si>
    <t>2a.1</t>
  </si>
  <si>
    <t>o cümlədən blokda olan vəsaitlər</t>
  </si>
  <si>
    <t>2b</t>
  </si>
  <si>
    <t>Rezident banklarda müxbir hesablar (xalis)</t>
  </si>
  <si>
    <t>2b.1</t>
  </si>
  <si>
    <t>2c</t>
  </si>
  <si>
    <t>Qeyri-rezident banklarda müxbir hesablar (xalis)</t>
  </si>
  <si>
    <t>2c.1</t>
  </si>
  <si>
    <t>Qiymətli kağızlar (xalis)</t>
  </si>
  <si>
    <t>Banklara depozitlər və kreditlər (xalis)</t>
  </si>
  <si>
    <t>4a</t>
  </si>
  <si>
    <t xml:space="preserve">Banklara depozitlər və kreditlər üzrə ehtiyatlar </t>
  </si>
  <si>
    <t>Maliyyə institutlarına depozitlər və kreditlər (xalis)</t>
  </si>
  <si>
    <t>5a</t>
  </si>
  <si>
    <t>Maliyyə institutlarına depozitlər və kreditlər üzrə ehtiyatlar</t>
  </si>
  <si>
    <t>Müştərilərə verilən kreditlər və lizinqlər</t>
  </si>
  <si>
    <t>6a</t>
  </si>
  <si>
    <t>Kreditlər üzrə ehtiyatlar</t>
  </si>
  <si>
    <t>6b</t>
  </si>
  <si>
    <t>Müştərilərə verilən kreditlər (xalis)</t>
  </si>
  <si>
    <t>Amortizasiya çıxılmaqla əsas vəsaitlər (bank işində istifadə olunmayan əsas vəsaitlər daxil olmaqla)</t>
  </si>
  <si>
    <t>İnvestisiyalar və maliyyə iştirakı (xalis)</t>
  </si>
  <si>
    <t>Digər aktivlər (xalis)</t>
  </si>
  <si>
    <t>9a</t>
  </si>
  <si>
    <t>O cümlədən, hesablanmış alınası faizlər (xalis)</t>
  </si>
  <si>
    <t>9b</t>
  </si>
  <si>
    <t xml:space="preserve">hesablanmış alınası faizlər üzrə ehtiyatlar </t>
  </si>
  <si>
    <t>Digər məqsədli ehtiyatlar (4a,5a,6a,9b bəndləri istisna olmaqla)</t>
  </si>
  <si>
    <t>AKTİVLƏR CƏMİ</t>
  </si>
  <si>
    <t>PASSİVLƏR</t>
  </si>
  <si>
    <t>Tələbli depozitləri</t>
  </si>
  <si>
    <t>10a</t>
  </si>
  <si>
    <t>Hüquqi şəxslər</t>
  </si>
  <si>
    <t>10b</t>
  </si>
  <si>
    <t>Fiziki şəxslər</t>
  </si>
  <si>
    <t>Müddətli depozitləri</t>
  </si>
  <si>
    <t>11a</t>
  </si>
  <si>
    <t>11b</t>
  </si>
  <si>
    <t>AMB-nin banka qarşı tələbi</t>
  </si>
  <si>
    <t>Bankların tələbləri (Loro)</t>
  </si>
  <si>
    <t>Maliyyə sektoru institutlarından cəlb edilən vəsaitlər</t>
  </si>
  <si>
    <t>14a</t>
  </si>
  <si>
    <t>Bankların depozitləri və kreditləri</t>
  </si>
  <si>
    <t>14c</t>
  </si>
  <si>
    <t>Maliyyə institutlarının depozitləri və kreditləri</t>
  </si>
  <si>
    <t>Digər öhdəliklər</t>
  </si>
  <si>
    <t>15a</t>
  </si>
  <si>
    <t>O cümlədən, hesablanmış ödəniləsi faizlər</t>
  </si>
  <si>
    <t>PASSİVLƏR CƏMİ</t>
  </si>
  <si>
    <t xml:space="preserve">Balans kapital </t>
  </si>
  <si>
    <t>O cümlədən, cari ilin xalis mənfəəti</t>
  </si>
  <si>
    <t>ÖHDƏLİKLƏR VƏ KAPİTALIN cəmi</t>
  </si>
  <si>
    <t>II Hissə – Balansdankənar hesabat - valyuta stukturu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</si>
  <si>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</si>
  <si>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</si>
  <si>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</si>
  <si>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</si>
  <si>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</si>
  <si>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</si>
  <si>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</si>
  <si>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</si>
  <si>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</si>
  <si>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</si>
  <si>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kredit xətləri</t>
  </si>
  <si>
    <t>Ümidsiz borclar</t>
  </si>
  <si>
    <t xml:space="preserve">BALANSARXASI TƏLƏBLƏR CƏMİ </t>
  </si>
  <si>
    <t>Digər məlumatlar</t>
  </si>
  <si>
    <t>Likvid aktivlər</t>
  </si>
  <si>
    <t>Cari öhdəliklər</t>
  </si>
  <si>
    <t>Biznes kreditlərinin qalığı</t>
  </si>
  <si>
    <t>İstehlak kreditlərinin qalığı</t>
  </si>
  <si>
    <t>İpoteka kreditlərinin qalığı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</si>
</sst>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£&quot;#,##0;\-&quot;£&quot;#,##0"/>
    <numFmt numFmtId="165" formatCode="_-* #,##0.00_р_._-;\-* #,##0.00_р_._-;_-* &quot;-&quot;??_р_._-;_-@_-"/>
  </numFmts>
  <fonts count="15">
    <font>
      <sz val="11"/>
      <color theme="1"/>
      <name val="Calibri"/>
      <family val="2"/>
      <charset val="204"/>
      <scheme val="minor"/>
    </font>
    <font>
      <i/>
      <sz val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1"/>
      <color indexed="8"/>
      <name val="Times New Roman"/>
      <family val="1"/>
    </font>
    <font>
      <b/>
      <sz val="12"/>
      <name val="Times New Roman"/>
      <family val="1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b/>
      <sz val="9"/>
      <name val="Times New Roman"/>
      <family val="1"/>
    </font>
    <font>
      <sz val="12"/>
      <name val="Times New Roman"/>
      <family val="1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applyNumberFormat="1" fontId="7" applyFont="0" fillId="0" applyFill="0" borderId="0" applyBorder="0" applyProtection="0" applyAlignment="0"/>
    <xf numFmtId="164" applyNumberFormat="1" fontId="9" applyFont="0" fillId="0" applyFill="0" borderId="0" applyBorder="0" applyProtection="0" applyAlignment="0"/>
    <xf numFmtId="164" applyNumberFormat="1" fontId="10" applyFont="0" fillId="0" applyFill="0" borderId="0" applyBorder="0" applyProtection="0" applyAlignment="0"/>
    <xf numFmtId="165" applyNumberFormat="1" fontId="14" applyFont="0" fillId="0" applyFill="0" borderId="0" applyBorder="0" applyProtection="0" applyAlignment="0"/>
    <xf numFmtId="165" applyNumberFormat="1" fontId="14" applyFont="0" fillId="0" applyFill="0" borderId="0" applyBorder="0" applyProtection="0" applyAlignment="0"/>
    <xf numFmtId="0" fontId="9" applyFont="1" fillId="0" borderId="0"/>
  </cellStyleXfs>
  <cellXfs count="36">
    <xf numFmtId="0" fontId="0" fillId="0" borderId="0" xfId="0"/>
    <xf numFmtId="0" fontId="8" applyFont="1" fillId="0" borderId="0" xfId="0" applyAlignment="1">
      <alignment vertical="center"/>
    </xf>
    <xf numFmtId="165" applyNumberFormat="1" fontId="8" applyFont="1" fillId="0" borderId="0" applyBorder="1" xfId="1" applyProtection="1" applyAlignment="1">
      <alignment vertical="center"/>
    </xf>
    <xf numFmtId="165" applyNumberFormat="1" fontId="12" applyFont="1" fillId="3" applyFill="1" borderId="1" applyBorder="1" xfId="1" applyProtection="1" applyAlignment="1">
      <alignment horizontal="center" vertical="center" wrapText="1"/>
    </xf>
    <xf numFmtId="0" fontId="5" applyFont="1" fillId="0" borderId="0" xfId="0" applyAlignment="1">
      <alignment vertical="center"/>
    </xf>
    <xf numFmtId="0" fontId="2" applyFont="1" fillId="2" applyFill="1" borderId="1" applyBorder="1" xfId="0" applyAlignment="1">
      <alignment horizontal="center" vertical="center" wrapText="1"/>
    </xf>
    <xf numFmtId="0" fontId="2" applyFont="1" fillId="2" applyFill="1" borderId="1" applyBorder="1" xfId="0" applyAlignment="1">
      <alignment horizontal="left" vertical="center" wrapText="1"/>
    </xf>
    <xf numFmtId="165" applyNumberFormat="1" fontId="11" applyFont="1" fillId="2" applyFill="1" borderId="1" applyBorder="1" xfId="1" applyProtection="1" applyAlignment="1">
      <alignment horizontal="left" vertical="center"/>
    </xf>
    <xf numFmtId="165" applyNumberFormat="1" fontId="8" applyFont="1" fillId="0" borderId="0" xfId="1" applyProtection="1" applyAlignment="1">
      <alignment vertical="center"/>
    </xf>
    <xf numFmtId="0" fontId="2" applyFont="1" fillId="0" borderId="1" applyBorder="1" xfId="0" applyAlignment="1">
      <alignment horizontal="center" vertical="center" wrapText="1"/>
    </xf>
    <xf numFmtId="0" fontId="1" applyFont="1" fillId="0" borderId="1" applyBorder="1" xfId="0" applyAlignment="1">
      <alignment horizontal="left" vertical="center" wrapText="1" indent="1"/>
    </xf>
    <xf numFmtId="0" fontId="2" applyFont="1" fillId="0" borderId="1" applyBorder="1" xfId="0" applyAlignment="1">
      <alignment horizontal="left" vertical="center" wrapText="1"/>
    </xf>
    <xf numFmtId="0" fontId="4" applyFont="1" fillId="0" borderId="1" applyBorder="1" xfId="0" applyAlignment="1">
      <alignment horizontal="center" vertical="center" wrapText="1"/>
    </xf>
    <xf numFmtId="0" fontId="1" applyFont="1" fillId="0" borderId="2" applyBorder="1" xfId="0" applyAlignment="1">
      <alignment horizontal="left" vertical="center" wrapText="1" indent="1"/>
    </xf>
    <xf numFmtId="165" applyNumberFormat="1" fontId="11" applyFont="1" fillId="3" applyFill="1" borderId="1" applyBorder="1" xfId="1" applyProtection="1" applyAlignment="1">
      <alignment horizontal="left" vertical="center"/>
    </xf>
    <xf numFmtId="0" fontId="1" applyFont="1" fillId="0" borderId="1" applyBorder="1" xfId="0" applyAlignment="1">
      <alignment horizontal="center" vertical="center" wrapText="1"/>
    </xf>
    <xf numFmtId="165" applyNumberFormat="1" fontId="8" applyFont="1" fillId="3" applyFill="1" borderId="1" applyBorder="1" xfId="1" applyProtection="1" applyAlignment="1">
      <alignment horizontal="left" vertical="center"/>
    </xf>
    <xf numFmtId="4" applyNumberFormat="1" fontId="8" applyFont="1" fillId="0" borderId="0" xfId="0" applyAlignment="1">
      <alignment vertical="center"/>
    </xf>
    <xf numFmtId="43" applyNumberFormat="1" fontId="13" applyFont="1" fillId="3" applyFill="1" borderId="1" applyBorder="1" xfId="0" applyAlignment="1">
      <alignment horizontal="center" vertical="center" wrapText="1"/>
    </xf>
    <xf numFmtId="0" fontId="2" applyFont="1" fillId="0" borderId="0" xfId="0" applyAlignment="1">
      <alignment horizontal="center" vertical="center" wrapText="1"/>
    </xf>
    <xf numFmtId="43" applyNumberFormat="1" fontId="6" applyFont="1" fillId="0" borderId="0" xfId="0" applyAlignment="1">
      <alignment horizontal="center" vertical="center" wrapText="1"/>
    </xf>
    <xf numFmtId="165" applyNumberFormat="1" fontId="8" applyFont="1" fillId="4" applyFill="1" borderId="0" xfId="1" applyProtection="1" applyAlignment="1">
      <alignment vertical="center"/>
    </xf>
    <xf numFmtId="0" fontId="8" applyFont="1" fillId="4" applyFill="1" borderId="0" xfId="0" applyAlignment="1">
      <alignment vertical="center"/>
    </xf>
    <xf numFmtId="0" fontId="3" applyFont="1" fillId="0" borderId="0" xfId="0" applyAlignment="1">
      <alignment horizontal="center" vertical="center" wrapText="1"/>
    </xf>
    <xf numFmtId="0" applyNumberFormat="1" fontId="5" applyFont="1" fillId="0" applyFill="1" borderId="1" applyBorder="1" xfId="1" applyProtection="1" applyAlignment="1">
      <alignment horizontal="left" vertical="center"/>
      <protection locked="0"/>
    </xf>
    <xf numFmtId="0" applyNumberFormat="1" fontId="8" applyFont="1" fillId="0" applyFill="1" borderId="1" applyBorder="1" xfId="1" applyProtection="1" applyAlignment="1">
      <alignment horizontal="left" vertical="center"/>
      <protection locked="0"/>
    </xf>
    <xf numFmtId="4" applyNumberFormat="1" fontId="5" applyFont="1" fillId="0" applyFill="1" borderId="1" applyBorder="1" xfId="1" applyProtection="1" applyAlignment="1">
      <alignment horizontal="left" vertical="center"/>
      <protection locked="0"/>
    </xf>
    <xf numFmtId="4" applyNumberFormat="1" fontId="8" applyFont="1" fillId="0" applyFill="1" borderId="1" applyBorder="1" xfId="1" applyProtection="1" applyAlignment="1">
      <alignment horizontal="left" vertical="center"/>
      <protection locked="0"/>
    </xf>
    <xf numFmtId="0" fontId="4" applyFont="1" fillId="0" borderId="1" applyBorder="1" xfId="0" applyAlignment="1">
      <alignment horizontal="left" vertical="center" wrapText="1" indent="1"/>
    </xf>
    <xf numFmtId="0" fontId="6" applyFont="1" fillId="3" applyFill="1" borderId="1" applyBorder="1" xfId="0" applyAlignment="1">
      <alignment horizontal="center" vertical="center" wrapText="1"/>
    </xf>
    <xf numFmtId="0" fontId="2" applyFont="1" fillId="3" applyFill="1" borderId="1" applyBorder="1" xfId="0" applyAlignment="1">
      <alignment horizontal="center" vertical="center" wrapText="1"/>
    </xf>
    <xf numFmtId="0" fontId="4" applyFont="1" fillId="0" borderId="0" xfId="0" applyProtection="1" applyAlignment="1">
      <alignment horizontal="left" vertical="center" wrapText="1"/>
      <protection locked="0"/>
    </xf>
    <xf numFmtId="0" fontId="6" applyFont="1" fillId="6" applyFill="1" borderId="0" xfId="0" applyAlignment="1">
      <alignment horizontal="center" vertical="center" wrapText="1"/>
    </xf>
    <xf numFmtId="0" fontId="6" applyFont="1" fillId="5" applyFill="1" borderId="1" applyBorder="1" xfId="0" applyAlignment="1">
      <alignment horizontal="center" vertical="center" wrapText="1"/>
    </xf>
    <xf numFmtId="0" fontId="11" applyFont="1" fillId="3" applyFill="1" borderId="3" applyBorder="1" xfId="0" applyAlignment="1">
      <alignment horizontal="center" vertical="center"/>
    </xf>
    <xf numFmtId="0" fontId="11" applyFont="1" fillId="3" applyFill="1" borderId="2" applyBorder="1" xfId="0" applyAlignment="1">
      <alignment horizontal="center" vertical="center"/>
    </xf>
  </cellXfs>
  <cellStyles count="7">
    <cellStyle name="Comma" xfId="1" builtinId="3"/>
    <cellStyle name="Comma 2" xfId="2" xr:uid="{00000000-0005-0000-0000-000001000000}"/>
    <cellStyle name="Comma 27" xfId="3" xr:uid="{00000000-0005-0000-0000-000002000000}"/>
    <cellStyle name="Comma 6 2" xfId="4" xr:uid="{00000000-0005-0000-0000-000003000000}"/>
    <cellStyle name="Comma 8 2" xfId="5" xr:uid="{00000000-0005-0000-0000-000004000000}"/>
    <cellStyle name="Normal" xfId="0" builtinId="0"/>
    <cellStyle name="Normal 2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"/>
  <sheetViews>
    <sheetView tabSelected="1" view="pageBreakPreview" zoomScaleNormal="115" zoomScaleSheetLayoutView="100" workbookViewId="0">
      <selection activeCell="A4" sqref="A4:H4"/>
    </sheetView>
  </sheetViews>
  <sheetFormatPr defaultColWidth="9.140625" defaultRowHeight="15" x14ac:dyDescent="0.25"/>
  <cols>
    <col min="1" max="1" width="4.7109375" customWidth="1" style="23"/>
    <col min="2" max="2" width="46.42578125" customWidth="1" style="1"/>
    <col min="3" max="3" width="16.5703125" customWidth="1" style="8"/>
    <col min="4" max="8" width="15" customWidth="1" style="8"/>
    <col min="9" max="9" bestFit="1" width="16.5703125" customWidth="1" style="1"/>
    <col min="10" max="10" width="15" customWidth="1" style="1"/>
    <col min="11" max="16384" width="9.140625" customWidth="1" style="1"/>
  </cols>
  <sheetData>
    <row r="1" ht="24.75" customHeight="1">
      <c r="A1" s="32" t="s">
        <v>0</v>
      </c>
      <c r="B1" s="32"/>
      <c r="C1" s="32"/>
      <c r="D1" s="32"/>
      <c r="E1" s="32"/>
      <c r="F1" s="32"/>
      <c r="G1" s="32"/>
      <c r="H1" s="32"/>
    </row>
    <row r="2" ht="19.5" customHeight="1">
      <c r="A2" s="31" t="s">
        <v>1</v>
      </c>
      <c r="B2" s="31"/>
      <c r="C2" s="2"/>
      <c r="D2" s="2"/>
      <c r="E2" s="2"/>
      <c r="F2" s="2"/>
      <c r="G2" s="2"/>
      <c r="H2" s="2"/>
    </row>
    <row r="3" ht="15" customHeight="1">
      <c r="A3" s="31" t="s">
        <v>2</v>
      </c>
      <c r="B3" s="31"/>
      <c r="C3" s="2"/>
      <c r="D3" s="2"/>
      <c r="E3" s="2"/>
      <c r="F3" s="2"/>
      <c r="G3" s="2"/>
      <c r="H3" s="2"/>
    </row>
    <row r="4" ht="20.25" customHeight="1">
      <c r="A4" s="33" t="s">
        <v>3</v>
      </c>
      <c r="B4" s="33"/>
      <c r="C4" s="33"/>
      <c r="D4" s="33"/>
      <c r="E4" s="33"/>
      <c r="F4" s="33"/>
      <c r="G4" s="33"/>
      <c r="H4" s="33"/>
    </row>
    <row r="5" ht="18.75" customHeight="1" s="4" customFormat="1">
      <c r="A5" s="34" t="s">
        <v>4</v>
      </c>
      <c r="B5" s="35"/>
      <c r="C5" s="3" t="s">
        <v>5</v>
      </c>
      <c r="D5" s="3" t="s">
        <v>6</v>
      </c>
      <c r="E5" s="3" t="s">
        <v>7</v>
      </c>
      <c r="F5" s="3" t="s">
        <v>8</v>
      </c>
      <c r="G5" s="3" t="s">
        <v>9</v>
      </c>
      <c r="H5" s="3" t="s">
        <v>10</v>
      </c>
    </row>
    <row r="6" ht="18.75" customHeight="1">
      <c r="A6" s="5">
        <v>1</v>
      </c>
      <c r="B6" s="6" t="s">
        <v>11</v>
      </c>
      <c r="C6" s="7">
        <f>D6+E6+F6+G6+H6</f>
        <v>0</v>
      </c>
      <c r="D6" s="24">
        <v>396.65163</v>
      </c>
      <c r="E6" s="24">
        <v>1833.4415</v>
      </c>
      <c r="F6" s="24">
        <v>978.26269</v>
      </c>
      <c r="G6" s="24">
        <v>0</v>
      </c>
      <c r="H6" s="24">
        <v>0</v>
      </c>
    </row>
    <row r="7" ht="18.75" customHeight="1">
      <c r="A7" s="5">
        <v>2</v>
      </c>
      <c r="B7" s="6" t="s">
        <v>12</v>
      </c>
      <c r="C7" s="7">
        <f>C8+C10+C12</f>
        <v>0</v>
      </c>
      <c r="D7" s="7">
        <f ref="D7:H7" t="shared" si="0">D8+D10+D12</f>
        <v>0</v>
      </c>
      <c r="E7" s="7">
        <f t="shared" si="0"/>
        <v>0</v>
      </c>
      <c r="F7" s="7">
        <f t="shared" si="0"/>
        <v>0</v>
      </c>
      <c r="G7" s="7">
        <f t="shared" si="0"/>
        <v>0</v>
      </c>
      <c r="H7" s="7">
        <f t="shared" si="0"/>
        <v>0</v>
      </c>
      <c r="J7" s="8"/>
    </row>
    <row r="8" ht="18.75" customHeight="1">
      <c r="A8" s="9" t="s">
        <v>13</v>
      </c>
      <c r="B8" s="10" t="s">
        <v>14</v>
      </c>
      <c r="C8" s="7">
        <f ref="C8:C27" t="shared" si="1">D8+E8+F8+G8+H8</f>
        <v>0</v>
      </c>
      <c r="D8" s="24">
        <v>3922.90832</v>
      </c>
      <c r="E8" s="24">
        <v>948.3841</v>
      </c>
      <c r="F8" s="24">
        <v>30323.41604</v>
      </c>
      <c r="G8" s="24">
        <v>0</v>
      </c>
      <c r="H8" s="24">
        <v>0</v>
      </c>
      <c r="J8" s="8"/>
    </row>
    <row r="9" ht="18.75" customHeight="1">
      <c r="A9" s="9" t="s">
        <v>15</v>
      </c>
      <c r="B9" s="10" t="s">
        <v>16</v>
      </c>
      <c r="C9" s="7">
        <f t="shared" si="1"/>
        <v>0</v>
      </c>
      <c r="D9" s="24">
        <v>0.61156</v>
      </c>
      <c r="E9" s="24">
        <v>0</v>
      </c>
      <c r="F9" s="24">
        <v>0</v>
      </c>
      <c r="G9" s="24"/>
      <c r="H9" s="24"/>
      <c r="J9" s="8"/>
    </row>
    <row r="10" ht="18.75" customHeight="1">
      <c r="A10" s="9" t="s">
        <v>17</v>
      </c>
      <c r="B10" s="10" t="s">
        <v>18</v>
      </c>
      <c r="C10" s="7">
        <f t="shared" si="1"/>
        <v>0</v>
      </c>
      <c r="D10" s="24">
        <v>0</v>
      </c>
      <c r="E10" s="24">
        <v>0</v>
      </c>
      <c r="F10" s="24">
        <v>0</v>
      </c>
      <c r="G10" s="24">
        <v>0</v>
      </c>
      <c r="H10" s="24">
        <v>0</v>
      </c>
    </row>
    <row r="11" ht="18.75" customHeight="1">
      <c r="A11" s="9" t="s">
        <v>19</v>
      </c>
      <c r="B11" s="10" t="s">
        <v>16</v>
      </c>
      <c r="C11" s="7">
        <f t="shared" si="1"/>
        <v>0</v>
      </c>
      <c r="D11" s="24"/>
      <c r="E11" s="24"/>
      <c r="F11" s="24"/>
      <c r="G11" s="24"/>
      <c r="H11" s="24"/>
    </row>
    <row r="12" ht="18.75" customHeight="1">
      <c r="A12" s="9" t="s">
        <v>20</v>
      </c>
      <c r="B12" s="10" t="s">
        <v>21</v>
      </c>
      <c r="C12" s="7">
        <f t="shared" si="1"/>
        <v>0</v>
      </c>
      <c r="D12" s="24">
        <v>0</v>
      </c>
      <c r="E12" s="24">
        <v>0</v>
      </c>
      <c r="F12" s="24">
        <v>23.54135</v>
      </c>
      <c r="G12" s="24">
        <v>0.00834</v>
      </c>
      <c r="H12" s="24">
        <v>0.97208</v>
      </c>
      <c r="I12" s="4"/>
    </row>
    <row r="13" ht="18.75" customHeight="1">
      <c r="A13" s="9" t="s">
        <v>22</v>
      </c>
      <c r="B13" s="10" t="s">
        <v>16</v>
      </c>
      <c r="C13" s="7">
        <f t="shared" si="1"/>
        <v>0</v>
      </c>
      <c r="D13" s="24"/>
      <c r="E13" s="24"/>
      <c r="F13" s="24"/>
      <c r="G13" s="24"/>
      <c r="H13" s="24"/>
      <c r="I13" s="4"/>
    </row>
    <row r="14" ht="18.75" customHeight="1">
      <c r="A14" s="5">
        <v>3</v>
      </c>
      <c r="B14" s="6" t="s">
        <v>23</v>
      </c>
      <c r="C14" s="7">
        <f t="shared" si="1"/>
        <v>0</v>
      </c>
      <c r="D14" s="24">
        <v>32840.04583</v>
      </c>
      <c r="E14" s="24">
        <v>0</v>
      </c>
      <c r="F14" s="24">
        <v>0</v>
      </c>
      <c r="G14" s="24">
        <v>0</v>
      </c>
      <c r="H14" s="24">
        <v>0</v>
      </c>
      <c r="I14" s="8"/>
    </row>
    <row r="15" ht="18.75" customHeight="1">
      <c r="A15" s="5">
        <v>4</v>
      </c>
      <c r="B15" s="6" t="s">
        <v>24</v>
      </c>
      <c r="C15" s="7">
        <f>D15+E15+F15+G15+H15</f>
        <v>0</v>
      </c>
      <c r="D15" s="24">
        <v>0</v>
      </c>
      <c r="E15" s="24">
        <v>0</v>
      </c>
      <c r="F15" s="24">
        <v>0</v>
      </c>
      <c r="G15" s="24">
        <v>0</v>
      </c>
      <c r="H15" s="24">
        <v>0</v>
      </c>
    </row>
    <row r="16" ht="18.75" customHeight="1">
      <c r="A16" s="9" t="s">
        <v>25</v>
      </c>
      <c r="B16" s="11" t="s">
        <v>26</v>
      </c>
      <c r="C16" s="7">
        <f>D16+E16+F16+G16+H16</f>
        <v>0</v>
      </c>
      <c r="D16" s="24">
        <v>-5379.799</v>
      </c>
      <c r="E16" s="24">
        <v>0</v>
      </c>
      <c r="F16" s="24">
        <v>0</v>
      </c>
      <c r="G16" s="24">
        <v>0</v>
      </c>
      <c r="H16" s="24">
        <v>0</v>
      </c>
    </row>
    <row r="17" ht="31.5" customHeight="1">
      <c r="A17" s="5">
        <v>5</v>
      </c>
      <c r="B17" s="6" t="s">
        <v>27</v>
      </c>
      <c r="C17" s="7">
        <f>D17+E17+F17+G17+H17</f>
        <v>0</v>
      </c>
      <c r="D17" s="24">
        <v>0</v>
      </c>
      <c r="E17" s="24">
        <v>0</v>
      </c>
      <c r="F17" s="24">
        <v>0</v>
      </c>
      <c r="G17" s="24">
        <v>0</v>
      </c>
      <c r="H17" s="24">
        <v>0</v>
      </c>
    </row>
    <row r="18" ht="27" customHeight="1">
      <c r="A18" s="9" t="s">
        <v>28</v>
      </c>
      <c r="B18" s="11" t="s">
        <v>29</v>
      </c>
      <c r="C18" s="7">
        <f t="shared" si="1"/>
        <v>0</v>
      </c>
      <c r="D18" s="24"/>
      <c r="E18" s="24"/>
      <c r="F18" s="24"/>
      <c r="G18" s="24"/>
      <c r="H18" s="24"/>
    </row>
    <row r="19" ht="18.75" customHeight="1">
      <c r="A19" s="5">
        <v>6</v>
      </c>
      <c r="B19" s="6" t="s">
        <v>30</v>
      </c>
      <c r="C19" s="7">
        <f t="shared" si="1"/>
        <v>0</v>
      </c>
      <c r="D19" s="24">
        <v>3031.99849</v>
      </c>
      <c r="E19" s="24">
        <v>0</v>
      </c>
      <c r="F19" s="24">
        <v>0</v>
      </c>
      <c r="G19" s="24">
        <v>0</v>
      </c>
      <c r="H19" s="24">
        <v>0</v>
      </c>
    </row>
    <row r="20" ht="18.75" customHeight="1">
      <c r="A20" s="12" t="s">
        <v>31</v>
      </c>
      <c r="B20" s="28" t="s">
        <v>32</v>
      </c>
      <c r="C20" s="7">
        <f t="shared" si="1"/>
        <v>0</v>
      </c>
      <c r="D20" s="26">
        <v>-1530.80828</v>
      </c>
      <c r="E20" s="24">
        <v>0</v>
      </c>
      <c r="F20" s="24">
        <v>0</v>
      </c>
      <c r="G20" s="24">
        <v>0</v>
      </c>
      <c r="H20" s="24">
        <v>0</v>
      </c>
    </row>
    <row r="21" ht="18.75" customHeight="1">
      <c r="A21" s="5" t="s">
        <v>33</v>
      </c>
      <c r="B21" s="6" t="s">
        <v>34</v>
      </c>
      <c r="C21" s="7">
        <f>D21+E21+F21+G21+H21</f>
        <v>0</v>
      </c>
      <c r="D21" s="24">
        <v>1501.19021</v>
      </c>
      <c r="E21" s="24">
        <v>0</v>
      </c>
      <c r="F21" s="24">
        <v>0</v>
      </c>
      <c r="G21" s="24">
        <v>0</v>
      </c>
      <c r="H21" s="24">
        <v>0</v>
      </c>
    </row>
    <row r="22" ht="31.5" customHeight="1">
      <c r="A22" s="5">
        <v>7</v>
      </c>
      <c r="B22" s="6" t="s">
        <v>35</v>
      </c>
      <c r="C22" s="7">
        <f>D22+E22+F22+G22+H22</f>
        <v>0</v>
      </c>
      <c r="D22" s="24">
        <v>4877.00667</v>
      </c>
      <c r="E22" s="24">
        <v>0</v>
      </c>
      <c r="F22" s="24">
        <v>0</v>
      </c>
      <c r="G22" s="24">
        <v>0</v>
      </c>
      <c r="H22" s="24">
        <v>0</v>
      </c>
    </row>
    <row r="23" ht="18.75" customHeight="1">
      <c r="A23" s="5">
        <v>8</v>
      </c>
      <c r="B23" s="6" t="s">
        <v>36</v>
      </c>
      <c r="C23" s="7">
        <f>D23+E23+F23+G23+H23</f>
        <v>0</v>
      </c>
      <c r="D23" s="24"/>
      <c r="E23" s="24"/>
      <c r="F23" s="24"/>
      <c r="G23" s="24"/>
      <c r="H23" s="24"/>
    </row>
    <row r="24" ht="18.75" customHeight="1">
      <c r="A24" s="5">
        <v>9</v>
      </c>
      <c r="B24" s="6" t="s">
        <v>37</v>
      </c>
      <c r="C24" s="7">
        <f t="shared" si="1"/>
        <v>0</v>
      </c>
      <c r="D24" s="24">
        <v>41875.60809</v>
      </c>
      <c r="E24" s="24">
        <v>0</v>
      </c>
      <c r="F24" s="24">
        <v>0</v>
      </c>
      <c r="G24" s="24">
        <v>0</v>
      </c>
      <c r="H24" s="24">
        <v>0</v>
      </c>
    </row>
    <row r="25" ht="18.75" customHeight="1">
      <c r="A25" s="9" t="s">
        <v>38</v>
      </c>
      <c r="B25" s="13" t="s">
        <v>39</v>
      </c>
      <c r="C25" s="7">
        <f t="shared" si="1"/>
        <v>0</v>
      </c>
      <c r="D25" s="24">
        <v>224.21243</v>
      </c>
      <c r="E25" s="24">
        <v>0</v>
      </c>
      <c r="F25" s="24">
        <v>0</v>
      </c>
      <c r="G25" s="24">
        <v>0</v>
      </c>
      <c r="H25" s="24">
        <v>0</v>
      </c>
    </row>
    <row r="26" ht="18.75" customHeight="1">
      <c r="A26" s="9" t="s">
        <v>40</v>
      </c>
      <c r="B26" s="13" t="s">
        <v>41</v>
      </c>
      <c r="C26" s="7">
        <f t="shared" si="1"/>
        <v>0</v>
      </c>
      <c r="D26" s="24">
        <v>-285.56398</v>
      </c>
      <c r="E26" s="24">
        <v>0</v>
      </c>
      <c r="F26" s="24">
        <v>0</v>
      </c>
      <c r="G26" s="24">
        <v>0</v>
      </c>
      <c r="H26" s="24">
        <v>0</v>
      </c>
    </row>
    <row r="27" ht="27.75" customHeight="1">
      <c r="A27" s="9"/>
      <c r="B27" s="13" t="s">
        <v>42</v>
      </c>
      <c r="C27" s="7">
        <f t="shared" si="1"/>
        <v>0</v>
      </c>
      <c r="D27" s="24">
        <v>-7792.36322</v>
      </c>
      <c r="E27" s="24">
        <v>0</v>
      </c>
      <c r="F27" s="24">
        <v>0</v>
      </c>
      <c r="G27" s="24">
        <v>0</v>
      </c>
      <c r="H27" s="24">
        <v>0</v>
      </c>
    </row>
    <row r="28" ht="18.75" customHeight="1">
      <c r="A28" s="34" t="s">
        <v>43</v>
      </c>
      <c r="B28" s="35"/>
      <c r="C28" s="14">
        <f ref="C28:H28" t="shared" si="2">C6+C7+C14+C15+C17+C21+C22+C23+C24</f>
        <v>0</v>
      </c>
      <c r="D28" s="14">
        <f t="shared" si="2"/>
        <v>0</v>
      </c>
      <c r="E28" s="14">
        <f t="shared" si="2"/>
        <v>0</v>
      </c>
      <c r="F28" s="14">
        <f t="shared" si="2"/>
        <v>0</v>
      </c>
      <c r="G28" s="14">
        <f t="shared" si="2"/>
        <v>0</v>
      </c>
      <c r="H28" s="14">
        <f t="shared" si="2"/>
        <v>0</v>
      </c>
    </row>
    <row r="29" ht="18.75" customHeight="1">
      <c r="A29" s="34" t="s">
        <v>44</v>
      </c>
      <c r="B29" s="35"/>
      <c r="C29" s="3" t="s">
        <v>5</v>
      </c>
      <c r="D29" s="3" t="s">
        <v>6</v>
      </c>
      <c r="E29" s="3" t="s">
        <v>7</v>
      </c>
      <c r="F29" s="3" t="s">
        <v>8</v>
      </c>
      <c r="G29" s="3" t="s">
        <v>9</v>
      </c>
      <c r="H29" s="3" t="s">
        <v>10</v>
      </c>
    </row>
    <row r="30" ht="18.75" customHeight="1">
      <c r="A30" s="5">
        <v>10</v>
      </c>
      <c r="B30" s="6" t="s">
        <v>45</v>
      </c>
      <c r="C30" s="7">
        <f ref="C30:H30" t="shared" si="3">C31+C32</f>
        <v>0</v>
      </c>
      <c r="D30" s="7">
        <f t="shared" si="3"/>
        <v>0</v>
      </c>
      <c r="E30" s="7">
        <f t="shared" si="3"/>
        <v>0</v>
      </c>
      <c r="F30" s="7">
        <f t="shared" si="3"/>
        <v>0</v>
      </c>
      <c r="G30" s="7">
        <f t="shared" si="3"/>
        <v>0</v>
      </c>
      <c r="H30" s="7">
        <f t="shared" si="3"/>
        <v>0</v>
      </c>
    </row>
    <row r="31" ht="18.75" customHeight="1">
      <c r="A31" s="15" t="s">
        <v>46</v>
      </c>
      <c r="B31" s="10" t="s">
        <v>47</v>
      </c>
      <c r="C31" s="7">
        <f ref="C31:C45" t="shared" si="4">D31+E31+F31+G31+H31</f>
        <v>0</v>
      </c>
      <c r="D31" s="25">
        <v>34633.2381</v>
      </c>
      <c r="E31" s="25">
        <v>134.0257</v>
      </c>
      <c r="F31" s="25">
        <v>200.0586</v>
      </c>
      <c r="G31" s="25">
        <v>0</v>
      </c>
      <c r="H31" s="25">
        <v>0</v>
      </c>
    </row>
    <row r="32" ht="18.75" customHeight="1">
      <c r="A32" s="15" t="s">
        <v>48</v>
      </c>
      <c r="B32" s="10" t="s">
        <v>49</v>
      </c>
      <c r="C32" s="7">
        <f t="shared" si="4"/>
        <v>0</v>
      </c>
      <c r="D32" s="25">
        <v>128.29641</v>
      </c>
      <c r="E32" s="25">
        <v>507.80298</v>
      </c>
      <c r="F32" s="25">
        <v>55.26528</v>
      </c>
      <c r="G32" s="25">
        <v>0</v>
      </c>
      <c r="H32" s="25">
        <v>0</v>
      </c>
    </row>
    <row r="33" ht="18.75" customHeight="1">
      <c r="A33" s="5">
        <v>11</v>
      </c>
      <c r="B33" s="6" t="s">
        <v>50</v>
      </c>
      <c r="C33" s="7">
        <f t="shared" si="4"/>
        <v>0</v>
      </c>
      <c r="D33" s="7">
        <f>D34+D35</f>
        <v>0</v>
      </c>
      <c r="E33" s="7">
        <f>E34+E35</f>
        <v>0</v>
      </c>
      <c r="F33" s="7">
        <f>F34+F35</f>
        <v>0</v>
      </c>
      <c r="G33" s="7">
        <f>G34+G35</f>
        <v>0</v>
      </c>
      <c r="H33" s="7">
        <f>H34+H35</f>
        <v>0</v>
      </c>
      <c r="I33" s="4"/>
    </row>
    <row r="34" ht="18.75" customHeight="1">
      <c r="A34" s="15" t="s">
        <v>51</v>
      </c>
      <c r="B34" s="10" t="s">
        <v>47</v>
      </c>
      <c r="C34" s="7">
        <f t="shared" si="4"/>
        <v>0</v>
      </c>
      <c r="D34" s="24"/>
      <c r="E34" s="25"/>
      <c r="F34" s="25"/>
      <c r="G34" s="25"/>
      <c r="H34" s="25"/>
    </row>
    <row r="35" ht="18.75" customHeight="1">
      <c r="A35" s="15" t="s">
        <v>52</v>
      </c>
      <c r="B35" s="10" t="s">
        <v>49</v>
      </c>
      <c r="C35" s="7">
        <f t="shared" si="4"/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</row>
    <row r="36" ht="18.75" customHeight="1">
      <c r="A36" s="5">
        <v>12</v>
      </c>
      <c r="B36" s="6" t="s">
        <v>53</v>
      </c>
      <c r="C36" s="7">
        <f t="shared" si="4"/>
        <v>0</v>
      </c>
      <c r="D36" s="25">
        <v>0</v>
      </c>
      <c r="E36" s="25">
        <v>0</v>
      </c>
      <c r="F36" s="25">
        <v>0</v>
      </c>
      <c r="G36" s="25">
        <v>0</v>
      </c>
      <c r="H36" s="25">
        <v>0</v>
      </c>
    </row>
    <row r="37" ht="18.75" customHeight="1">
      <c r="A37" s="5">
        <v>13</v>
      </c>
      <c r="B37" s="6" t="s">
        <v>54</v>
      </c>
      <c r="C37" s="7">
        <f t="shared" si="4"/>
        <v>0</v>
      </c>
      <c r="D37" s="25">
        <v>0</v>
      </c>
      <c r="E37" s="25">
        <v>2997.21933</v>
      </c>
      <c r="F37" s="25">
        <v>13442.58681</v>
      </c>
      <c r="G37" s="25">
        <v>0</v>
      </c>
      <c r="H37" s="25">
        <v>0</v>
      </c>
    </row>
    <row r="38" ht="18.75" customHeight="1">
      <c r="A38" s="5">
        <v>14</v>
      </c>
      <c r="B38" s="6" t="s">
        <v>55</v>
      </c>
      <c r="C38" s="7">
        <f t="shared" si="4"/>
        <v>0</v>
      </c>
      <c r="D38" s="7">
        <f>D39+D40</f>
        <v>0</v>
      </c>
      <c r="E38" s="7">
        <f>E39+E40</f>
        <v>0</v>
      </c>
      <c r="F38" s="7">
        <f>F39+F40</f>
        <v>0</v>
      </c>
      <c r="G38" s="7">
        <f>G39+G40</f>
        <v>0</v>
      </c>
      <c r="H38" s="7">
        <f>H39+H40</f>
        <v>0</v>
      </c>
    </row>
    <row r="39" ht="18.75" customHeight="1">
      <c r="A39" s="15" t="s">
        <v>56</v>
      </c>
      <c r="B39" s="10" t="s">
        <v>57</v>
      </c>
      <c r="C39" s="7">
        <f t="shared" si="4"/>
        <v>0</v>
      </c>
      <c r="D39" s="25">
        <v>0</v>
      </c>
      <c r="E39" s="25">
        <v>0</v>
      </c>
      <c r="F39" s="25">
        <v>15893.1</v>
      </c>
      <c r="G39" s="25">
        <v>0</v>
      </c>
      <c r="H39" s="25">
        <v>0</v>
      </c>
    </row>
    <row r="40" ht="18.75" customHeight="1">
      <c r="A40" s="15" t="s">
        <v>58</v>
      </c>
      <c r="B40" s="10" t="s">
        <v>59</v>
      </c>
      <c r="C40" s="7">
        <f>D40+E40+F40+G40+H40</f>
        <v>0</v>
      </c>
      <c r="D40" s="25"/>
      <c r="E40" s="25"/>
      <c r="F40" s="25"/>
      <c r="G40" s="25"/>
      <c r="H40" s="25"/>
    </row>
    <row r="41" ht="18.75" customHeight="1">
      <c r="A41" s="5">
        <v>15</v>
      </c>
      <c r="B41" s="6" t="s">
        <v>60</v>
      </c>
      <c r="C41" s="7">
        <f t="shared" si="4"/>
        <v>0</v>
      </c>
      <c r="D41" s="25">
        <v>1725.52657</v>
      </c>
      <c r="E41" s="25">
        <v>3.23</v>
      </c>
      <c r="F41" s="25">
        <v>49.03846</v>
      </c>
      <c r="G41" s="25">
        <v>0</v>
      </c>
      <c r="H41" s="25">
        <v>0</v>
      </c>
      <c r="I41" s="4"/>
    </row>
    <row r="42" ht="18.75" customHeight="1">
      <c r="A42" s="15" t="s">
        <v>61</v>
      </c>
      <c r="B42" s="10" t="s">
        <v>62</v>
      </c>
      <c r="C42" s="7">
        <f t="shared" si="4"/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4"/>
    </row>
    <row r="43" ht="18.75" customHeight="1">
      <c r="A43" s="30" t="s">
        <v>63</v>
      </c>
      <c r="B43" s="30"/>
      <c r="C43" s="16">
        <f ref="C43:H43" t="shared" si="5">C30+C33+C36+C37+C38+C41</f>
        <v>0</v>
      </c>
      <c r="D43" s="16">
        <f t="shared" si="5"/>
        <v>0</v>
      </c>
      <c r="E43" s="16">
        <f t="shared" si="5"/>
        <v>0</v>
      </c>
      <c r="F43" s="16">
        <f t="shared" si="5"/>
        <v>0</v>
      </c>
      <c r="G43" s="16">
        <f t="shared" si="5"/>
        <v>0</v>
      </c>
      <c r="H43" s="16">
        <f t="shared" si="5"/>
        <v>0</v>
      </c>
      <c r="I43" s="17"/>
    </row>
    <row r="44" ht="18.75" customHeight="1">
      <c r="A44" s="9">
        <v>16</v>
      </c>
      <c r="B44" s="11" t="s">
        <v>64</v>
      </c>
      <c r="C44" s="16">
        <f t="shared" si="4"/>
        <v>0</v>
      </c>
      <c r="D44" s="25">
        <v>49732.22119</v>
      </c>
      <c r="E44" s="25">
        <v>0</v>
      </c>
      <c r="F44" s="25">
        <v>0</v>
      </c>
      <c r="G44" s="25">
        <v>0.00208</v>
      </c>
      <c r="H44" s="25">
        <v>0</v>
      </c>
      <c r="I44" s="8"/>
    </row>
    <row r="45" ht="18.75" customHeight="1">
      <c r="A45" s="9">
        <v>17</v>
      </c>
      <c r="B45" s="10" t="s">
        <v>65</v>
      </c>
      <c r="C45" s="16">
        <f t="shared" si="4"/>
        <v>0</v>
      </c>
      <c r="D45" s="27">
        <v>770.77288</v>
      </c>
      <c r="E45" s="25">
        <v>0</v>
      </c>
      <c r="F45" s="25">
        <v>0</v>
      </c>
      <c r="G45" s="25">
        <v>0</v>
      </c>
      <c r="H45" s="25">
        <v>0</v>
      </c>
      <c r="I45" s="8"/>
    </row>
    <row r="46" ht="18.75" customHeight="1">
      <c r="A46" s="30" t="s">
        <v>66</v>
      </c>
      <c r="B46" s="30"/>
      <c r="C46" s="18">
        <f>C43+C44</f>
        <v>0</v>
      </c>
      <c r="D46" s="18">
        <f>D44+D43</f>
        <v>0</v>
      </c>
      <c r="E46" s="18">
        <f>E44+E43</f>
        <v>0</v>
      </c>
      <c r="F46" s="18">
        <f>F44+F43</f>
        <v>0</v>
      </c>
      <c r="G46" s="18">
        <f>G44+G43</f>
        <v>0</v>
      </c>
      <c r="H46" s="18">
        <f>H44+H43</f>
        <v>0</v>
      </c>
      <c r="I46" s="8"/>
    </row>
    <row r="47" ht="18.75" customHeight="1">
      <c r="A47" s="19"/>
      <c r="B47" s="19"/>
      <c r="C47" s="20"/>
      <c r="D47" s="20"/>
      <c r="E47" s="20"/>
      <c r="F47" s="20"/>
      <c r="G47" s="20"/>
      <c r="H47" s="20"/>
      <c r="I47" s="8"/>
    </row>
    <row r="48" ht="20.25" customHeight="1">
      <c r="A48" s="33" t="s">
        <v>67</v>
      </c>
      <c r="B48" s="33"/>
      <c r="C48" s="33"/>
      <c r="D48" s="33"/>
      <c r="E48" s="33"/>
      <c r="F48" s="33"/>
      <c r="G48" s="33"/>
      <c r="H48" s="33"/>
    </row>
    <row r="49" ht="18.75" customHeight="1">
      <c r="A49" s="29" t="s">
        <v>68</v>
      </c>
      <c r="B49" s="29"/>
      <c r="C49" s="3" t="s">
        <v>5</v>
      </c>
      <c r="D49" s="3" t="s">
        <v>6</v>
      </c>
      <c r="E49" s="3" t="s">
        <v>7</v>
      </c>
      <c r="F49" s="3" t="s">
        <v>8</v>
      </c>
      <c r="G49" s="3" t="s">
        <v>9</v>
      </c>
      <c r="H49" s="3" t="s">
        <v>10</v>
      </c>
      <c r="I49" s="8"/>
    </row>
    <row r="50" ht="18.75" customHeight="1">
      <c r="A50" s="9">
        <v>1</v>
      </c>
      <c r="B50" s="11" t="s">
        <v>69</v>
      </c>
      <c r="C50" s="7">
        <f ref="C50:C56" t="shared" si="6">D50+E50+F50+G50+H50</f>
        <v>0</v>
      </c>
      <c r="D50" s="25">
        <v>0</v>
      </c>
      <c r="E50" s="25">
        <v>0</v>
      </c>
      <c r="F50" s="25">
        <v>0</v>
      </c>
      <c r="G50" s="25">
        <v>0</v>
      </c>
      <c r="H50" s="25">
        <v>0</v>
      </c>
      <c r="I50" s="8"/>
    </row>
    <row r="51" ht="18.75" customHeight="1">
      <c r="A51" s="9">
        <v>2</v>
      </c>
      <c r="B51" s="11" t="s">
        <v>70</v>
      </c>
      <c r="C51" s="7">
        <f t="shared" si="6"/>
        <v>0</v>
      </c>
      <c r="D51" s="25">
        <v>0</v>
      </c>
      <c r="E51" s="25">
        <v>0</v>
      </c>
      <c r="F51" s="25">
        <v>0</v>
      </c>
      <c r="G51" s="25">
        <v>0</v>
      </c>
      <c r="H51" s="25">
        <v>0</v>
      </c>
      <c r="I51" s="8"/>
    </row>
    <row r="52" ht="18.75" customHeight="1">
      <c r="A52" s="9">
        <v>3</v>
      </c>
      <c r="B52" s="11" t="s">
        <v>71</v>
      </c>
      <c r="C52" s="7">
        <f t="shared" si="6"/>
        <v>0</v>
      </c>
      <c r="D52" s="25"/>
      <c r="E52" s="25"/>
      <c r="F52" s="25"/>
      <c r="G52" s="25"/>
      <c r="H52" s="25"/>
      <c r="I52" s="8"/>
    </row>
    <row r="53" ht="18.75" customHeight="1">
      <c r="A53" s="9">
        <v>4</v>
      </c>
      <c r="B53" s="11" t="s">
        <v>72</v>
      </c>
      <c r="C53" s="7">
        <f t="shared" si="6"/>
        <v>0</v>
      </c>
      <c r="D53" s="25"/>
      <c r="E53" s="25"/>
      <c r="F53" s="25"/>
      <c r="G53" s="25"/>
      <c r="H53" s="25"/>
      <c r="I53" s="8"/>
    </row>
    <row r="54" ht="18.75" customHeight="1">
      <c r="A54" s="9">
        <v>5</v>
      </c>
      <c r="B54" s="11" t="s">
        <v>73</v>
      </c>
      <c r="C54" s="7">
        <f t="shared" si="6"/>
        <v>0</v>
      </c>
      <c r="D54" s="25"/>
      <c r="E54" s="25"/>
      <c r="F54" s="25"/>
      <c r="G54" s="25"/>
      <c r="H54" s="25"/>
      <c r="I54" s="8"/>
    </row>
    <row r="55" ht="18.75" customHeight="1">
      <c r="A55" s="9">
        <v>6</v>
      </c>
      <c r="B55" s="11" t="s">
        <v>74</v>
      </c>
      <c r="C55" s="7">
        <f t="shared" si="6"/>
        <v>0</v>
      </c>
      <c r="D55" s="25"/>
      <c r="E55" s="25"/>
      <c r="F55" s="25"/>
      <c r="G55" s="25"/>
      <c r="H55" s="25"/>
      <c r="I55" s="8"/>
    </row>
    <row r="56" ht="18.75" customHeight="1">
      <c r="A56" s="9">
        <v>7</v>
      </c>
      <c r="B56" s="11" t="s">
        <v>75</v>
      </c>
      <c r="C56" s="7">
        <f t="shared" si="6"/>
        <v>0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8"/>
    </row>
    <row r="57" ht="18.75" customHeight="1">
      <c r="A57" s="34" t="s">
        <v>76</v>
      </c>
      <c r="B57" s="35" t="s">
        <v>5</v>
      </c>
      <c r="C57" s="16">
        <f ref="C57:H57" t="shared" si="7">C50+C51+C52+C53+C54+C55+C56</f>
        <v>0</v>
      </c>
      <c r="D57" s="16">
        <f t="shared" si="7"/>
        <v>0</v>
      </c>
      <c r="E57" s="16">
        <f t="shared" si="7"/>
        <v>0</v>
      </c>
      <c r="F57" s="16">
        <f t="shared" si="7"/>
        <v>0</v>
      </c>
      <c r="G57" s="16">
        <f t="shared" si="7"/>
        <v>0</v>
      </c>
      <c r="H57" s="16">
        <f t="shared" si="7"/>
        <v>0</v>
      </c>
      <c r="I57" s="8"/>
    </row>
    <row r="58" ht="18.75" customHeight="1" s="22" customFormat="1">
      <c r="A58" s="29" t="s">
        <v>77</v>
      </c>
      <c r="B58" s="29"/>
      <c r="C58" s="3" t="s">
        <v>5</v>
      </c>
      <c r="D58" s="3" t="s">
        <v>6</v>
      </c>
      <c r="E58" s="3" t="s">
        <v>7</v>
      </c>
      <c r="F58" s="3" t="s">
        <v>8</v>
      </c>
      <c r="G58" s="3" t="s">
        <v>9</v>
      </c>
      <c r="H58" s="3" t="s">
        <v>10</v>
      </c>
      <c r="I58" s="21"/>
    </row>
    <row r="59" ht="18.75" customHeight="1">
      <c r="A59" s="9">
        <v>1</v>
      </c>
      <c r="B59" s="11" t="s">
        <v>78</v>
      </c>
      <c r="C59" s="14">
        <f>D59+E59+F59+G59+H59</f>
        <v>0</v>
      </c>
      <c r="D59" s="25"/>
      <c r="E59" s="25"/>
      <c r="F59" s="25"/>
      <c r="G59" s="25"/>
      <c r="H59" s="25"/>
      <c r="I59" s="8"/>
    </row>
    <row r="60" ht="18.75" customHeight="1">
      <c r="A60" s="9">
        <v>2</v>
      </c>
      <c r="B60" s="11" t="s">
        <v>72</v>
      </c>
      <c r="C60" s="14">
        <f>D60+E60+F60+G60+H60</f>
        <v>0</v>
      </c>
      <c r="D60" s="25"/>
      <c r="E60" s="25"/>
      <c r="F60" s="25"/>
      <c r="G60" s="25"/>
      <c r="H60" s="25"/>
      <c r="I60" s="8"/>
    </row>
    <row r="61" ht="18.75" customHeight="1">
      <c r="A61" s="9">
        <v>3</v>
      </c>
      <c r="B61" s="11" t="s">
        <v>73</v>
      </c>
      <c r="C61" s="14">
        <f>D61+E61+F61+G61+H61</f>
        <v>0</v>
      </c>
      <c r="D61" s="25"/>
      <c r="E61" s="25"/>
      <c r="F61" s="25"/>
      <c r="G61" s="25"/>
      <c r="H61" s="25"/>
      <c r="I61" s="8"/>
    </row>
    <row r="62" ht="18.75" customHeight="1">
      <c r="A62" s="9">
        <v>4</v>
      </c>
      <c r="B62" s="11" t="s">
        <v>74</v>
      </c>
      <c r="C62" s="14">
        <f>D62+E62+F62+G62+H62</f>
        <v>0</v>
      </c>
      <c r="D62" s="25"/>
      <c r="E62" s="25"/>
      <c r="F62" s="25"/>
      <c r="G62" s="25"/>
      <c r="H62" s="25"/>
      <c r="I62" s="8"/>
    </row>
    <row r="63" ht="18.75" customHeight="1">
      <c r="A63" s="9">
        <v>5</v>
      </c>
      <c r="B63" s="11" t="s">
        <v>79</v>
      </c>
      <c r="C63" s="14">
        <f>D63+E63+F63+G63+H63</f>
        <v>0</v>
      </c>
      <c r="D63" s="25">
        <v>15313.52461</v>
      </c>
      <c r="E63" s="25">
        <v>46.168073</v>
      </c>
      <c r="F63" s="25">
        <v>474.156952775</v>
      </c>
      <c r="G63" s="25">
        <v>0</v>
      </c>
      <c r="H63" s="25">
        <v>0</v>
      </c>
      <c r="I63" s="8"/>
    </row>
    <row r="64" s="22" customFormat="1">
      <c r="A64" s="34" t="s">
        <v>80</v>
      </c>
      <c r="B64" s="35" t="s">
        <v>5</v>
      </c>
      <c r="C64" s="16">
        <f ref="C64:H64" t="shared" si="8">C59+C60+C61+C62+C63</f>
        <v>0</v>
      </c>
      <c r="D64" s="16">
        <f t="shared" si="8"/>
        <v>0</v>
      </c>
      <c r="E64" s="16">
        <f t="shared" si="8"/>
        <v>0</v>
      </c>
      <c r="F64" s="16">
        <f t="shared" si="8"/>
        <v>0</v>
      </c>
      <c r="G64" s="16">
        <f t="shared" si="8"/>
        <v>0</v>
      </c>
      <c r="H64" s="16">
        <f t="shared" si="8"/>
        <v>0</v>
      </c>
    </row>
    <row r="66" ht="15.75">
      <c r="A66" s="29" t="s">
        <v>81</v>
      </c>
      <c r="B66" s="29"/>
      <c r="C66" s="3" t="s">
        <v>5</v>
      </c>
      <c r="D66" s="3" t="s">
        <v>6</v>
      </c>
      <c r="E66" s="3" t="s">
        <v>7</v>
      </c>
      <c r="F66" s="3" t="s">
        <v>8</v>
      </c>
      <c r="G66" s="3" t="s">
        <v>9</v>
      </c>
      <c r="H66" s="3" t="s">
        <v>10</v>
      </c>
    </row>
    <row r="67">
      <c r="A67" s="9">
        <v>1</v>
      </c>
      <c r="B67" s="11" t="s">
        <v>82</v>
      </c>
      <c r="C67" s="14">
        <f>D67+E67+F67+G67+H67</f>
        <v>0</v>
      </c>
      <c r="D67" s="25">
        <v>75132.98822</v>
      </c>
      <c r="E67" s="25">
        <v>2781.8256</v>
      </c>
      <c r="F67" s="25">
        <v>31219.900035</v>
      </c>
      <c r="G67" s="25">
        <v>0.006255</v>
      </c>
      <c r="H67" s="25">
        <v>0.9720825</v>
      </c>
    </row>
    <row r="68">
      <c r="A68" s="9">
        <v>2</v>
      </c>
      <c r="B68" s="11" t="s">
        <v>83</v>
      </c>
      <c r="C68" s="14">
        <f>D68+E68+F68+G68+H68</f>
        <v>0</v>
      </c>
      <c r="D68" s="25">
        <v>34761.53451</v>
      </c>
      <c r="E68" s="25">
        <v>3639.04801</v>
      </c>
      <c r="F68" s="25">
        <v>13697.91069</v>
      </c>
      <c r="G68" s="25">
        <v>0</v>
      </c>
      <c r="H68" s="25">
        <v>0</v>
      </c>
    </row>
    <row r="69">
      <c r="A69" s="9">
        <v>3</v>
      </c>
      <c r="B69" s="11" t="s">
        <v>84</v>
      </c>
      <c r="C69" s="14">
        <f>D69+E69+F69+G69+H69</f>
        <v>0</v>
      </c>
      <c r="D69" s="25">
        <v>324.72406</v>
      </c>
      <c r="E69" s="25">
        <v>0</v>
      </c>
      <c r="F69" s="25">
        <v>0</v>
      </c>
      <c r="G69" s="25">
        <v>0</v>
      </c>
      <c r="H69" s="25">
        <v>0</v>
      </c>
    </row>
    <row r="70">
      <c r="A70" s="9">
        <v>4</v>
      </c>
      <c r="B70" s="11" t="s">
        <v>85</v>
      </c>
      <c r="C70" s="14">
        <f>D70+E70+F70+G70+H70</f>
        <v>0</v>
      </c>
      <c r="D70" s="25">
        <v>2707.27443</v>
      </c>
      <c r="E70" s="25">
        <v>0</v>
      </c>
      <c r="F70" s="25">
        <v>0</v>
      </c>
      <c r="G70" s="25">
        <v>0</v>
      </c>
      <c r="H70" s="25">
        <v>0</v>
      </c>
    </row>
    <row r="71">
      <c r="A71" s="9">
        <v>5</v>
      </c>
      <c r="B71" s="11" t="s">
        <v>86</v>
      </c>
      <c r="C71" s="14">
        <f>D71+E71+F71+G71+H71</f>
        <v>0</v>
      </c>
      <c r="D71" s="25"/>
      <c r="E71" s="25"/>
      <c r="F71" s="25"/>
      <c r="G71" s="25"/>
      <c r="H71" s="25"/>
    </row>
  </sheetData>
  <sheetProtection algorithmName="SHA-512" hashValue="gtL9AIQMdGJnynUXcFiVHtUlU+oNIyP3aBXmBG/16WgII+7Xxf2x9WA7Oi+6gvicVYf5gdlilah/idA7RXDdSg==" saltValue="LCI/f0kuFnKjTwOWKAxFzg==" spinCount="100000" sheet="1" objects="1" scenarios="1"/>
  <mergeCells>
    <mergeCell ref="A66:B66"/>
    <mergeCell ref="A43:B43"/>
    <mergeCell ref="A3:B3"/>
    <mergeCell ref="A2:B2"/>
    <mergeCell ref="A1:H1"/>
    <mergeCell ref="A4:H4"/>
    <mergeCell ref="A5:B5"/>
    <mergeCell ref="A29:B29"/>
    <mergeCell ref="A28:B28"/>
    <mergeCell ref="A48:H48"/>
    <mergeCell ref="A58:B58"/>
    <mergeCell ref="A57:B57"/>
    <mergeCell ref="A64:B64"/>
    <mergeCell ref="A46:B46"/>
    <mergeCell ref="A49:B49"/>
  </mergeCells>
  <phoneticPr fontId="1" type="noConversion"/>
  <printOptions horizontalCentered="1"/>
  <pageMargins left="0" right="0" top="0" bottom="0.15748031496062992" header="0.15748031496062992" footer="0.15748031496062992"/>
  <pageSetup paperSize="9" scale="60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Daily-Report</vt:lpstr>
      <vt:lpstr>'Daily-Report'!Print_Area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Qosqar Abdullazade</cp:lastModifiedBy>
  <cp:lastPrinted>2017-01-30T06:22:42Z</cp:lastPrinted>
  <dcterms:created xsi:type="dcterms:W3CDTF">2009-04-09T04:28:04Z</dcterms:created>
  <dcterms:modified xsi:type="dcterms:W3CDTF">2023-12-13T07:46:58Z</dcterms:modified>
</cp:coreProperties>
</file>