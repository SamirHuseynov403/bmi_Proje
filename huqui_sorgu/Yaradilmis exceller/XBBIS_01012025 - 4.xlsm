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connections+xml" PartName="/xl/connections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openxmlformats-officedocument.drawing+xml" PartName="/xl/drawings/drawing3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ms-excel.controlproperties+xml" PartName="/xl/ctrlProps/ctrlProp10.xml"/>
  <Override ContentType="application/vnd.openxmlformats-officedocument.drawing+xml" PartName="/xl/drawings/drawing4.xml"/>
  <Override ContentType="application/vnd.ms-excel.controlproperties+xml" PartName="/xl/ctrlProps/ctrlProp11.xml"/>
  <Override ContentType="application/vnd.ms-excel.controlproperties+xml" PartName="/xl/ctrlProps/ctrlProp12.xml"/>
  <Override ContentType="application/vnd.ms-excel.controlproperties+xml" PartName="/xl/ctrlProps/ctrlProp13.xml"/>
  <Override ContentType="application/vnd.ms-excel.controlproperties+xml" PartName="/xl/ctrlProps/ctrlProp14.xml"/>
  <Override ContentType="application/vnd.openxmlformats-officedocument.spreadsheetml.table+xml" PartName="/xl/tables/table1.xml"/>
  <Override ContentType="application/vnd.openxmlformats-officedocument.spreadsheetml.queryTable+xml" PartName="/xl/queryTables/queryTable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workbookProtection workbookPassword="9D45" lockStructure="1"/>
  <bookViews>
    <workbookView xWindow="0" yWindow="0" windowWidth="24000" windowHeight="9480" tabRatio="754" activeTab="2"/>
  </bookViews>
  <sheets>
    <sheet name="XBBIS" sheetId="23" r:id="rId1"/>
    <sheet name="A1 (Aktivlər)" sheetId="13" r:id="rId2"/>
    <sheet name="A2 (Öhdəliklər)" sheetId="27" r:id="rId3"/>
    <sheet name="A3 (Şərti öhdəliklər)" sheetId="26" r:id="rId4"/>
    <sheet name="List" sheetId="9" state="veryHidden" r:id="rId5"/>
  </sheets>
  <definedNames>
    <definedName name="Country">List!$M$2:$M$277</definedName>
    <definedName name="Country2">List!$AF$2:$AF$276</definedName>
    <definedName name="Currency">List!$T$2:$T$193</definedName>
    <definedName name="debitor_rezident">List!$AD$2:$AD$3</definedName>
    <definedName name="diger_deyishiklik">List!$Q$2:$Q$8</definedName>
    <definedName name="faiz_novu">List!$O$2:$O$4</definedName>
    <definedName name="fealiyyet_novu">List!$AB$2:$AB$761</definedName>
    <definedName name="firstrow_A1">'A1 (Aktivlər)'!$CF$5</definedName>
    <definedName name="firstrow_A2">'A2 (Öhdəliklər)'!$CF$5</definedName>
    <definedName name="firstrow_A3">'A3 (Şərti öhdəliklər)'!$AO$4</definedName>
    <definedName name="investisiya_bolme_adi">List!$A$2:$A$5</definedName>
    <definedName name="investisiya_madde">List!$G$2:$G$42</definedName>
    <definedName name="investisiya_madde1">List!$G$2:$G$22</definedName>
    <definedName name="investisiya_madde2">List!$G$23:$G$42</definedName>
    <definedName name="investisiya_madde3">List!$G$47:$G$51</definedName>
    <definedName name="kupon_muddet">List!$Z$2:$Z$8</definedName>
    <definedName name="Kvartal">List!$W$2:$W$5</definedName>
    <definedName name="lastrow_A1">'A1 (Aktivlər)'!$CF$6</definedName>
    <definedName name="lastrow_A2">'A2 (Öhdəliklər)'!$CF$6</definedName>
    <definedName name="lastrow_A3">'A3 (Şərti öhdəliklər)'!$AO$5</definedName>
    <definedName name="qeyrirezident_elaqe">List!$C$2:$C$5</definedName>
    <definedName name="qeyrirezident_sektor">List!$E$2:$E$9</definedName>
    <definedName name="restrukturizasiya">List!$K$2:$K$6</definedName>
    <definedName name="valyuta">List!$S$2:$S$193</definedName>
    <definedName name="Year">List!$X$2:$X$85</definedName>
    <definedName name="zemanet">List!$Y$2</definedName>
    <definedName name="_xlnm._FilterDatabase" localSheetId="1" hidden="1">'A1 (Aktivlər)'!$A$14:$CF$43</definedName>
    <definedName name="_xlnm.Print_Area" localSheetId="1">'A1 (Aktivlər)'!$A$3:$BY$14</definedName>
    <definedName name="_xlnm._FilterDatabase" localSheetId="2" hidden="1">'A2 (Öhdəliklər)'!$A$14:$CF$15</definedName>
    <definedName name="_xlnm.Print_Area" localSheetId="2">'A2 (Öhdəliklər)'!$A$3:$BQ$14</definedName>
    <definedName name="_xlnm.Print_Area" localSheetId="3">'A3 (Şərti öhdəliklər)'!$A$3:$AK$19</definedName>
    <definedName name="_192.168.204.49_1924_ExternalSectorStatatistics_CURRENCY" localSheetId="4" hidden="1">List!$S$1:$V$193</definedName>
    <definedName name="_xlnm._FilterDatabase" localSheetId="4" hidden="1">List!$AB$1:$AC$1</definedName>
  </definedNames>
  <calcPr calcId="162913" fullCalcOnLoad="1"/>
  <webPublishing targetScreenSize="1024x768" codePage="65001"/>
</workbook>
</file>

<file path=xl/connections.xml><?xml version="1.0" encoding="utf-8"?>
<connections xmlns="http://schemas.openxmlformats.org/spreadsheetml/2006/main">
  <connection id="1" odcFile="C:\Users\murad_yusifov\Documents\My Data Sources\192.168.204.49,1924 ExternalSectorStatatistics CURRENCY.odc" keepAlive="1" name="192.168.204.49,1924 ExternalSectorStatatistics CURRENCY1" type="5" refreshedVersion="3" background="1" saveData="1">
    <dbPr connection="Provider=SQLOLEDB.1;Persist Security Info=True;User ID=Murad;Initial Catalog=ExternalSectorStatatistics;Data Source=192.168.204.49,1924;Use Procedure for Prepare=1;Auto Translate=True;Packet Size=4096;Workstation ID=STAMURADYUSIFOV;Use Encryption for Data=False;Tag with column collation when possible=False" command="&quot;ExternalSectorStatatistics&quot;.&quot;dbo&quot;.&quot;CURRENCY&quot;" commandType="3"/>
  </connection>
</connections>
</file>

<file path=xl/sharedStrings.xml><?xml version="1.0" encoding="utf-8"?>
<sst xmlns="http://schemas.openxmlformats.org/spreadsheetml/2006/main" count="2615" uniqueCount="2615">
  <si>
    <t>"Xarici borc və beynəlxalq investisiyalar haqqında</t>
  </si>
  <si>
    <t xml:space="preserve"> statistik hesabatın tərtibi və təqdim edilməsi haqqında Təlimat"a</t>
  </si>
  <si>
    <t>Əlavə № 3</t>
  </si>
  <si>
    <t>Statistik vahidin adı:</t>
  </si>
  <si>
    <t>Forma XBBİS-3 (Xarici borc və beynəlxalq investisiyalar statistikası)</t>
  </si>
  <si>
    <t>Hesabat dövrü:</t>
  </si>
  <si>
    <t>Rüblük</t>
  </si>
  <si>
    <t>Dövlətin payı:</t>
  </si>
  <si>
    <t>Hesabat statistik vahid tərəfindən hesabat dövründən</t>
  </si>
  <si>
    <t>Fəaliyyət sektoru:</t>
  </si>
  <si>
    <t xml:space="preserve"> sonrakı ayın 15 iş günü ərzində Mərkəzi Banka təqdim olunur</t>
  </si>
  <si>
    <t>A3. Qeyri-rezidentlər üzrə şərti öhdəliklərin statistik hesabatı</t>
  </si>
  <si>
    <t>(hər bir şərti öhdəlik ayrı-ayrılıqda)</t>
  </si>
  <si>
    <t>(min valyuta vahidi ilə)</t>
  </si>
  <si>
    <t>S/N</t>
  </si>
  <si>
    <t>Şərti Öhdəliklərin Eyniləşdirmə Nömrəsi (ŞEN)</t>
  </si>
  <si>
    <t>Qeyri-rezidentin Eyniləşdirmə Nömrəsi (QEN)</t>
  </si>
  <si>
    <t xml:space="preserve">Şərti Öhdəlik Nömrəsi </t>
  </si>
  <si>
    <r xmlns="http://schemas.openxmlformats.org/spreadsheetml/2006/main">
      <t xml:space="preserve">Debitorun 
rezidentlik mənsubiyyəti </t>
    </r>
    <r xmlns="http://schemas.openxmlformats.org/spreadsheetml/2006/main">
      <rPr>
        <i/>
        <sz val="12"/>
        <rFont val="Arial"/>
        <family val="2"/>
      </rPr>
      <t>(qarantiyada prinsipialın)</t>
    </r>
  </si>
  <si>
    <t>Şərti öhdəliklərin növü</t>
  </si>
  <si>
    <r xmlns="http://schemas.openxmlformats.org/spreadsheetml/2006/main">
      <t xml:space="preserve">Qeyri-rezident ilə 
</t>
    </r>
    <r xmlns="http://schemas.openxmlformats.org/spreadsheetml/2006/main">
      <rPr>
        <sz val="12"/>
        <color indexed="8"/>
        <rFont val="Arial"/>
        <family val="2"/>
      </rPr>
      <t xml:space="preserve">birbaşa investisiya əlaqə növü 
</t>
    </r>
    <r xmlns="http://schemas.openxmlformats.org/spreadsheetml/2006/main">
      <rPr>
        <i/>
        <sz val="12"/>
        <color indexed="8"/>
        <rFont val="Arial"/>
        <family val="2"/>
      </rPr>
      <t xml:space="preserve">(qarantiyada benefisiar ilə) </t>
    </r>
  </si>
  <si>
    <r xmlns="http://schemas.openxmlformats.org/spreadsheetml/2006/main">
      <t xml:space="preserve">Qeyri-rezidentin </t>
    </r>
    <r xmlns="http://schemas.openxmlformats.org/spreadsheetml/2006/main">
      <rPr>
        <sz val="12"/>
        <color indexed="8"/>
        <rFont val="Arial"/>
        <family val="2"/>
      </rPr>
      <t xml:space="preserve">fəaliyyət sektoru </t>
    </r>
    <r xmlns="http://schemas.openxmlformats.org/spreadsheetml/2006/main">
      <rPr>
        <i/>
        <sz val="12"/>
        <color indexed="8"/>
        <rFont val="Arial"/>
        <family val="2"/>
      </rPr>
      <t>(qarantiyada benefisiarın)</t>
    </r>
  </si>
  <si>
    <r xmlns="http://schemas.openxmlformats.org/spreadsheetml/2006/main">
      <t xml:space="preserve">Qeyri-rezidentin </t>
    </r>
    <r xmlns="http://schemas.openxmlformats.org/spreadsheetml/2006/main">
      <rPr>
        <sz val="12"/>
        <color indexed="8"/>
        <rFont val="Arial"/>
        <family val="2"/>
      </rPr>
      <t xml:space="preserve">ölkəsi 
</t>
    </r>
    <r xmlns="http://schemas.openxmlformats.org/spreadsheetml/2006/main">
      <rPr>
        <i/>
        <sz val="12"/>
        <color indexed="8"/>
        <rFont val="Arial"/>
        <family val="2"/>
      </rPr>
      <t>(qarantiyada benefisiarın)</t>
    </r>
  </si>
  <si>
    <t>Valyuta növü</t>
  </si>
  <si>
    <r xmlns="http://schemas.openxmlformats.org/spreadsheetml/2006/main">
      <rPr>
        <sz val="12"/>
        <color indexed="8"/>
        <rFont val="Arial"/>
        <family val="2"/>
      </rPr>
      <t xml:space="preserve">Statistik vahidin kapitalında qeyri-rezidentin payı, %-lə, 
</t>
    </r>
    <r xmlns="http://schemas.openxmlformats.org/spreadsheetml/2006/main">
      <rPr>
        <i/>
        <sz val="12"/>
        <color indexed="8"/>
        <rFont val="Arial"/>
        <family val="2"/>
      </rPr>
      <t>(qarantiyada benefisiarın)</t>
    </r>
  </si>
  <si>
    <t>Verilmə tarixi</t>
  </si>
  <si>
    <t>Bitmə tarixi</t>
  </si>
  <si>
    <t>Müddət (aylarla)</t>
  </si>
  <si>
    <t>Dövrün əvvəlinə qalıq</t>
  </si>
  <si>
    <t>Əməliyyatlar</t>
  </si>
  <si>
    <t xml:space="preserve">Yenidən qiymətləndirmə 
(artma+/azalma-)</t>
  </si>
  <si>
    <t xml:space="preserve">Digər dəyişmələr
(artma+/ azalma-)</t>
  </si>
  <si>
    <t>Digər dəyişmələrin növü</t>
  </si>
  <si>
    <t>Dövrün sonuna qalıq</t>
  </si>
  <si>
    <t>Dərhal ödənilməli</t>
  </si>
  <si>
    <t>Hesabat tarixindən 1 il ərzində ödənilməli</t>
  </si>
  <si>
    <t>1-2 il ərzində ödənilməli</t>
  </si>
  <si>
    <t>2 ildən sonra ödənilməli</t>
  </si>
  <si>
    <t>Kreditə konvertasiya əmsalı</t>
  </si>
  <si>
    <t>Digər qeydlər</t>
  </si>
  <si>
    <t xml:space="preserve">Artma </t>
  </si>
  <si>
    <t>Azalma</t>
  </si>
  <si>
    <t>3 ay</t>
  </si>
  <si>
    <t>4-6 ay</t>
  </si>
  <si>
    <t>7-9 ay</t>
  </si>
  <si>
    <t>10-12 ay</t>
  </si>
  <si>
    <t>13-18 ay</t>
  </si>
  <si>
    <t>19-24 ay</t>
  </si>
  <si>
    <t>24 aydan artıq</t>
  </si>
  <si>
    <r xmlns="http://schemas.openxmlformats.org/spreadsheetml/2006/main">
      <t xml:space="preserve">Adı
</t>
    </r>
    <r xmlns="http://schemas.openxmlformats.org/spreadsheetml/2006/main">
      <rPr>
        <i/>
        <sz val="12"/>
        <rFont val="Arial"/>
        <family val="2"/>
      </rPr>
      <t>(xana üzrə siyahıdan seçilməklə)</t>
    </r>
  </si>
  <si>
    <t>Kodu</t>
  </si>
  <si>
    <r xmlns="http://schemas.openxmlformats.org/spreadsheetml/2006/main">
      <t xml:space="preserve">Adı 
</t>
    </r>
    <r xmlns="http://schemas.openxmlformats.org/spreadsheetml/2006/main">
      <rPr>
        <i/>
        <sz val="12"/>
        <color indexed="8"/>
        <rFont val="Arial"/>
        <family val="2"/>
      </rPr>
      <t>(xana üzrə siyahıdan seçilməklə)</t>
    </r>
  </si>
  <si>
    <r xmlns="http://schemas.openxmlformats.org/spreadsheetml/2006/main">
      <t xml:space="preserve">Adı
</t>
    </r>
    <r xmlns="http://schemas.openxmlformats.org/spreadsheetml/2006/main">
      <rPr>
        <i/>
        <sz val="12"/>
        <color indexed="8"/>
        <rFont val="Arial"/>
        <family val="2"/>
      </rPr>
      <t>(xana üzrə siyahıdan seçilməklə)</t>
    </r>
  </si>
  <si>
    <t xml:space="preserve">hesabat dövrünün əvvəlinə 
</t>
  </si>
  <si>
    <t xml:space="preserve">hesabat dövrünün sonuna 
</t>
  </si>
  <si>
    <t>(+)</t>
  </si>
  <si>
    <t>(-)</t>
  </si>
  <si>
    <t>Əlavə № 2</t>
  </si>
  <si>
    <t>Forma XBBİS-2 (Xarici borc və beynəlxalq investisiyalar statistikası)</t>
  </si>
  <si>
    <t>A2. Qeyri-rezidentlər üzrə öhdəliklərin statistik hesabatı</t>
  </si>
  <si>
    <t>(hər bir öhdəlik ayrı-ayrılıqda)</t>
  </si>
  <si>
    <t>№</t>
  </si>
  <si>
    <t xml:space="preserve"> İnvestisiyaların Eyniləşdirmə Nömrəsi (İEN)</t>
  </si>
  <si>
    <t xml:space="preserve">İnvestisiya Nömrəsi </t>
  </si>
  <si>
    <t>İnvestisiya bölməsi</t>
  </si>
  <si>
    <t>İnvestisiya maddəsi</t>
  </si>
  <si>
    <t xml:space="preserve">Qeyri-rezident ilə birbaşa investisiya əlaqə növü </t>
  </si>
  <si>
    <t>Qeyri-rezidentin fəaliyyət sektoru</t>
  </si>
  <si>
    <t>Qeyri-rezidentin ölkəsi</t>
  </si>
  <si>
    <t>Restrukturizasiyanın növü</t>
  </si>
  <si>
    <t xml:space="preserve">İnvestorun payı, 
%-lə</t>
  </si>
  <si>
    <t>Faiz dərəcəsi</t>
  </si>
  <si>
    <t>Faiz növü</t>
  </si>
  <si>
    <t>Hesabat dövrü ərzində əməliyyatlar</t>
  </si>
  <si>
    <t>Digər dəyişmələr</t>
  </si>
  <si>
    <t>Dövlət Zəmanətinə dair qeyd</t>
  </si>
  <si>
    <t>Kupon dərəcəsi</t>
  </si>
  <si>
    <t xml:space="preserve">Kupon ödənişlərinin dövriliyi </t>
  </si>
  <si>
    <t>Qiymətli kağızların sayı</t>
  </si>
  <si>
    <t>Cəmi səhmlərin bazar dəyəri</t>
  </si>
  <si>
    <t>Cəmi (29+31)</t>
  </si>
  <si>
    <r xmlns="http://schemas.openxmlformats.org/spreadsheetml/2006/main">
      <t xml:space="preserve">Əsas məbləğ/
 </t>
    </r>
    <r xmlns="http://schemas.openxmlformats.org/spreadsheetml/2006/main">
      <rPr>
        <sz val="12"/>
        <color indexed="8"/>
        <rFont val="Arial"/>
        <family val="2"/>
      </rPr>
      <t>kapital investisiyası</t>
    </r>
  </si>
  <si>
    <t xml:space="preserve">ondan,
vaxtı keçmiş əsas məbləğ </t>
  </si>
  <si>
    <t>Faizlər/ dividendlər/ reinvestisiya olunmuş gəlirlər</t>
  </si>
  <si>
    <t xml:space="preserve">ondan,
vaxtı keçmiş faizlər </t>
  </si>
  <si>
    <t>Artma</t>
  </si>
  <si>
    <t xml:space="preserve">Səhmlər üzrə
(artma+/azalma-)</t>
  </si>
  <si>
    <r xmlns="http://schemas.openxmlformats.org/spreadsheetml/2006/main">
      <t xml:space="preserve">Əsas məbləğ/
 </t>
    </r>
    <r xmlns="http://schemas.openxmlformats.org/spreadsheetml/2006/main">
      <rPr>
        <sz val="12"/>
        <color indexed="8"/>
        <rFont val="Arial"/>
        <family val="2"/>
      </rPr>
      <t>kapital investisiyası (artma+/azalma-)</t>
    </r>
  </si>
  <si>
    <t xml:space="preserve">ondan,
vaxtı keçmiş əsas məbləğ 
(artma+/azalma-)</t>
  </si>
  <si>
    <t xml:space="preserve">Faizlər/dividentlər/ reinvestisiya gəlirləri  
(artma+/azalma-)</t>
  </si>
  <si>
    <t xml:space="preserve">ondan, 
vaxtı keçmiş faizlər 
(artma+/azalma-)</t>
  </si>
  <si>
    <t>Cəmi (49+51)</t>
  </si>
  <si>
    <t xml:space="preserve">Əsas məbləğ/
 kapital investisiyası</t>
  </si>
  <si>
    <t xml:space="preserve">ondan,
vaxtı keçmiş faizlər  </t>
  </si>
  <si>
    <t>Qiymətli kağızlar</t>
  </si>
  <si>
    <t>19-24ay</t>
  </si>
  <si>
    <t>24aydan artıq</t>
  </si>
  <si>
    <r xmlns="http://schemas.openxmlformats.org/spreadsheetml/2006/main">
      <t xml:space="preserve">Adı
</t>
    </r>
    <r xmlns="http://schemas.openxmlformats.org/spreadsheetml/2006/main">
      <rPr>
        <sz val="12"/>
        <color indexed="8"/>
        <rFont val="Arial"/>
        <family val="2"/>
      </rPr>
      <t>(xana üzrə siyahıdan seçilməklə)</t>
    </r>
  </si>
  <si>
    <r xmlns="http://schemas.openxmlformats.org/spreadsheetml/2006/main">
      <t xml:space="preserve">Adı 
</t>
    </r>
    <r xmlns="http://schemas.openxmlformats.org/spreadsheetml/2006/main">
      <rPr>
        <sz val="12"/>
        <color indexed="8"/>
        <rFont val="Arial"/>
        <family val="2"/>
      </rPr>
      <t>(xana üzrə siyahıdan seçilməklə)</t>
    </r>
  </si>
  <si>
    <t>Səhmlərin alışı</t>
  </si>
  <si>
    <r xmlns="http://schemas.openxmlformats.org/spreadsheetml/2006/main">
      <t xml:space="preserve">Əsas məbləğ/
 </t>
    </r>
    <r xmlns="http://schemas.openxmlformats.org/spreadsheetml/2006/main">
      <rPr>
        <sz val="12"/>
        <color indexed="8"/>
        <rFont val="Arial"/>
        <family val="2"/>
      </rPr>
      <t xml:space="preserve"> kapital investisiyası</t>
    </r>
  </si>
  <si>
    <t xml:space="preserve">ondan,
vaxtı keçmiş faizlər</t>
  </si>
  <si>
    <t>Səhmlərin satışı</t>
  </si>
  <si>
    <t>Faizlər/ dividendlər</t>
  </si>
  <si>
    <t>Bazar dəyəri üzrə</t>
  </si>
  <si>
    <t>Balans dəyəri üzrə</t>
  </si>
  <si>
    <t>sayı</t>
  </si>
  <si>
    <t xml:space="preserve">
1 ədədinin  nominal qiyməti</t>
  </si>
  <si>
    <t xml:space="preserve">
1 ədədinin bazar qiyməti</t>
  </si>
  <si>
    <t>Əsas məbləğ</t>
  </si>
  <si>
    <t xml:space="preserve">Faiz </t>
  </si>
  <si>
    <t>28a</t>
  </si>
  <si>
    <t>33a</t>
  </si>
  <si>
    <t>37a</t>
  </si>
  <si>
    <t>41a</t>
  </si>
  <si>
    <t>42a</t>
  </si>
  <si>
    <t>48a</t>
  </si>
  <si>
    <t>35025</t>
  </si>
  <si>
    <t>Digər</t>
  </si>
  <si>
    <t>tələbli depozit (öhdəlik üzrə)</t>
  </si>
  <si>
    <t>Heç bir</t>
  </si>
  <si>
    <t>Bank</t>
  </si>
  <si>
    <t>İran İslam Respublikası</t>
  </si>
  <si>
    <t>0.00%</t>
  </si>
  <si>
    <t>01-01-2013</t>
  </si>
  <si>
    <t>0%</t>
  </si>
  <si>
    <t>faizsiz</t>
  </si>
  <si>
    <t>535.1250</t>
  </si>
  <si>
    <t>0</t>
  </si>
  <si>
    <t/>
  </si>
  <si>
    <t>Birbaşa</t>
  </si>
  <si>
    <t>Birbaşa investor</t>
  </si>
  <si>
    <t>100.00%</t>
  </si>
  <si>
    <t>7197.062050</t>
  </si>
  <si>
    <t>140</t>
  </si>
  <si>
    <t>1762.103650</t>
  </si>
  <si>
    <t>17-01-2020</t>
  </si>
  <si>
    <t>0.02</t>
  </si>
  <si>
    <t>35026</t>
  </si>
  <si>
    <t>04-09-2020</t>
  </si>
  <si>
    <t>27.603670</t>
  </si>
  <si>
    <t>48010000</t>
  </si>
  <si>
    <t>39010</t>
  </si>
  <si>
    <t>Qeyri-maliyyə müəssisəsi</t>
  </si>
  <si>
    <t>34585.076150</t>
  </si>
  <si>
    <t>17.47</t>
  </si>
  <si>
    <t>246.540860</t>
  </si>
  <si>
    <t>48010101</t>
  </si>
  <si>
    <t>39020</t>
  </si>
  <si>
    <t>58.9966</t>
  </si>
  <si>
    <t>48010202</t>
  </si>
  <si>
    <t>77.077350</t>
  </si>
  <si>
    <t>21.53</t>
  </si>
  <si>
    <t>94.70</t>
  </si>
  <si>
    <t>48010201</t>
  </si>
  <si>
    <t>2.907590</t>
  </si>
  <si>
    <t>374.6640</t>
  </si>
  <si>
    <t>376</t>
  </si>
  <si>
    <t>3993900</t>
  </si>
  <si>
    <t>39939</t>
  </si>
  <si>
    <t>18-04-2019</t>
  </si>
  <si>
    <t>0.682510</t>
  </si>
  <si>
    <t>3994020</t>
  </si>
  <si>
    <t>39940</t>
  </si>
  <si>
    <t>20-02-2023</t>
  </si>
  <si>
    <t>0.3748</t>
  </si>
  <si>
    <t>3994010</t>
  </si>
  <si>
    <t>0.035680</t>
  </si>
  <si>
    <t>3994910</t>
  </si>
  <si>
    <t>39949</t>
  </si>
  <si>
    <t>0.5072</t>
  </si>
  <si>
    <t>4006500</t>
  </si>
  <si>
    <t>27-11-2018</t>
  </si>
  <si>
    <t>0.116810</t>
  </si>
  <si>
    <t>4101530</t>
  </si>
  <si>
    <t>Ev təsərrüfatı</t>
  </si>
  <si>
    <t>18-03-2021</t>
  </si>
  <si>
    <t>0.017720</t>
  </si>
  <si>
    <t>02-12-2022</t>
  </si>
  <si>
    <t>0.0025</t>
  </si>
  <si>
    <t>28-01-2021</t>
  </si>
  <si>
    <t>0.3360</t>
  </si>
  <si>
    <t>4101500</t>
  </si>
  <si>
    <t>9.30</t>
  </si>
  <si>
    <t>22-01-2015</t>
  </si>
  <si>
    <t>1.9260</t>
  </si>
  <si>
    <t>04-02-2022</t>
  </si>
  <si>
    <t>0.051080</t>
  </si>
  <si>
    <t>22-04-2022</t>
  </si>
  <si>
    <t>0.002060</t>
  </si>
  <si>
    <t>29-04-2022</t>
  </si>
  <si>
    <t>0.0480</t>
  </si>
  <si>
    <t>11-05-2022</t>
  </si>
  <si>
    <t>0.004110</t>
  </si>
  <si>
    <t>23-06-2022</t>
  </si>
  <si>
    <t>0.0014</t>
  </si>
  <si>
    <t>04-07-2022</t>
  </si>
  <si>
    <t>0.60</t>
  </si>
  <si>
    <t>28-07-2022</t>
  </si>
  <si>
    <t>0.0570</t>
  </si>
  <si>
    <t>0.0092</t>
  </si>
  <si>
    <t>05-08-2022</t>
  </si>
  <si>
    <t>0.76</t>
  </si>
  <si>
    <t>0.056140</t>
  </si>
  <si>
    <t>17-08-2022</t>
  </si>
  <si>
    <t>0.0030</t>
  </si>
  <si>
    <t>0.006940</t>
  </si>
  <si>
    <t>29-08-2022</t>
  </si>
  <si>
    <t>0.005890</t>
  </si>
  <si>
    <t>30-08-2022</t>
  </si>
  <si>
    <t>0.046220</t>
  </si>
  <si>
    <t>05-09-2022</t>
  </si>
  <si>
    <t>0.003610</t>
  </si>
  <si>
    <t>0.004910</t>
  </si>
  <si>
    <t>Vyetnam Sosialist Respublikası</t>
  </si>
  <si>
    <t>06-09-2022</t>
  </si>
  <si>
    <t>0.001550</t>
  </si>
  <si>
    <t>Əfqanıstan İslam Respublikası</t>
  </si>
  <si>
    <t>30-09-2022</t>
  </si>
  <si>
    <t>0.2146</t>
  </si>
  <si>
    <t>06-10-2022</t>
  </si>
  <si>
    <t>0.0160</t>
  </si>
  <si>
    <t>17-10-2022</t>
  </si>
  <si>
    <t>0.152690</t>
  </si>
  <si>
    <t>0.45</t>
  </si>
  <si>
    <t>0.602690</t>
  </si>
  <si>
    <t>24-10-2022</t>
  </si>
  <si>
    <t>0.0046</t>
  </si>
  <si>
    <t>0.002870</t>
  </si>
  <si>
    <t>23-12-2022</t>
  </si>
  <si>
    <t>0.0170</t>
  </si>
  <si>
    <t>23-11-2022</t>
  </si>
  <si>
    <t>0.0081</t>
  </si>
  <si>
    <t>24-11-2022</t>
  </si>
  <si>
    <t>0.44</t>
  </si>
  <si>
    <t>20-04-2021</t>
  </si>
  <si>
    <t>6.47</t>
  </si>
  <si>
    <t>09-04-2021</t>
  </si>
  <si>
    <t>0.01</t>
  </si>
  <si>
    <t>07-02-2020</t>
  </si>
  <si>
    <t>0.0015</t>
  </si>
  <si>
    <t>15-01-2020</t>
  </si>
  <si>
    <t>48.7556</t>
  </si>
  <si>
    <t>18-07-2019</t>
  </si>
  <si>
    <t>0.095680</t>
  </si>
  <si>
    <t>0.65</t>
  </si>
  <si>
    <t>0.745680</t>
  </si>
  <si>
    <t>25-12-2017</t>
  </si>
  <si>
    <t>3.30</t>
  </si>
  <si>
    <t>18-06-2020</t>
  </si>
  <si>
    <t>0.131320</t>
  </si>
  <si>
    <t>15-11-2019</t>
  </si>
  <si>
    <t>0.10</t>
  </si>
  <si>
    <t>30-04-2021</t>
  </si>
  <si>
    <t>0.1250</t>
  </si>
  <si>
    <t>4101510</t>
  </si>
  <si>
    <t>08-10-2014</t>
  </si>
  <si>
    <t>28.593730</t>
  </si>
  <si>
    <t>24-09-2021</t>
  </si>
  <si>
    <t>0.013180</t>
  </si>
  <si>
    <t>05-11-2013</t>
  </si>
  <si>
    <t>Gürcüstan</t>
  </si>
  <si>
    <t>1.7460</t>
  </si>
  <si>
    <t>09-09-2022</t>
  </si>
  <si>
    <t>0.015050</t>
  </si>
  <si>
    <t>4102500</t>
  </si>
  <si>
    <t>15-03-2023</t>
  </si>
  <si>
    <t>22-02-2021</t>
  </si>
  <si>
    <t>60.643840</t>
  </si>
  <si>
    <t>2</t>
  </si>
  <si>
    <t>15-03-2022</t>
  </si>
  <si>
    <t>0.0510</t>
  </si>
  <si>
    <t>08-04-2022</t>
  </si>
  <si>
    <t>0.0914</t>
  </si>
  <si>
    <t>10.0010</t>
  </si>
  <si>
    <t>10-06-2022</t>
  </si>
  <si>
    <t>1.80</t>
  </si>
  <si>
    <t>07-11-2018</t>
  </si>
  <si>
    <t>0.589020</t>
  </si>
  <si>
    <t>Türkmənistan</t>
  </si>
  <si>
    <t>16-03-2017</t>
  </si>
  <si>
    <t>0.05</t>
  </si>
  <si>
    <t>08-08-2018</t>
  </si>
  <si>
    <t>4.994120</t>
  </si>
  <si>
    <t>17-09-2018</t>
  </si>
  <si>
    <t>0.09</t>
  </si>
  <si>
    <t>17-10-2018</t>
  </si>
  <si>
    <t>4.30</t>
  </si>
  <si>
    <t>06-11-2018</t>
  </si>
  <si>
    <t>0.084030</t>
  </si>
  <si>
    <t>07-01-2019</t>
  </si>
  <si>
    <t>0.018110</t>
  </si>
  <si>
    <t>24-05-2019</t>
  </si>
  <si>
    <t>0.20</t>
  </si>
  <si>
    <t>18.50</t>
  </si>
  <si>
    <t>29-01-2020</t>
  </si>
  <si>
    <t>1.08</t>
  </si>
  <si>
    <t>02-10-2020</t>
  </si>
  <si>
    <t>0.04</t>
  </si>
  <si>
    <t>18-12-2020</t>
  </si>
  <si>
    <t>0.046410</t>
  </si>
  <si>
    <t>1</t>
  </si>
  <si>
    <t>02-03-2022</t>
  </si>
  <si>
    <t>14-03-2022</t>
  </si>
  <si>
    <t>0.0206</t>
  </si>
  <si>
    <t>20-04-2022</t>
  </si>
  <si>
    <t>0.2830</t>
  </si>
  <si>
    <t>1.60</t>
  </si>
  <si>
    <t>23-01-2017</t>
  </si>
  <si>
    <t>01-10-2018</t>
  </si>
  <si>
    <t>0.2750</t>
  </si>
  <si>
    <t>4104500</t>
  </si>
  <si>
    <t>18-02-2019</t>
  </si>
  <si>
    <t>0.6064</t>
  </si>
  <si>
    <t>07-04-2023</t>
  </si>
  <si>
    <t>1.30</t>
  </si>
  <si>
    <t>4193100</t>
  </si>
  <si>
    <t>41931</t>
  </si>
  <si>
    <t>10-10-2018</t>
  </si>
  <si>
    <t>54.192640</t>
  </si>
  <si>
    <t>4194110</t>
  </si>
  <si>
    <t>41941</t>
  </si>
  <si>
    <t>162.673160</t>
  </si>
  <si>
    <t>4.500980</t>
  </si>
  <si>
    <t>4194120</t>
  </si>
  <si>
    <t>18.156210</t>
  </si>
  <si>
    <t>4194310</t>
  </si>
  <si>
    <t>41943</t>
  </si>
  <si>
    <t>16-10-2018</t>
  </si>
  <si>
    <t>Əlavə № 1</t>
  </si>
  <si>
    <t>Forma XBBİS-1 (Xarici borc və beynəlxalq investisiyalar statistikası)</t>
  </si>
  <si>
    <t>15</t>
  </si>
  <si>
    <t>A1. Qeyri-rezidentlər üzrə aktivlərin statistik hesabatı</t>
  </si>
  <si>
    <t>(hər bir aktiv ayrı-ayrılıqda)</t>
  </si>
  <si>
    <t xml:space="preserve">Kupon dərəcəsi
</t>
  </si>
  <si>
    <t xml:space="preserve">Faizlər/
dividentlər/ reinvestisiya gəlirləri  
(artma+/azalma-)</t>
  </si>
  <si>
    <t>10020840</t>
  </si>
  <si>
    <t>000001</t>
  </si>
  <si>
    <t>nağd xarici valyuta (aktiv üzrə)</t>
  </si>
  <si>
    <t>Mərkəzi bank</t>
  </si>
  <si>
    <t>Azərbaycan Respublikası</t>
  </si>
  <si>
    <t>USD</t>
  </si>
  <si>
    <t>#VALUE!</t>
  </si>
  <si>
    <t>10020978</t>
  </si>
  <si>
    <t>EUR</t>
  </si>
  <si>
    <t>000017</t>
  </si>
  <si>
    <t>tələbli depozit (aktiv üzrə)</t>
  </si>
  <si>
    <t>AED</t>
  </si>
  <si>
    <t>000018</t>
  </si>
  <si>
    <t>000019</t>
  </si>
  <si>
    <t>Almaniya Federativ Respublikası</t>
  </si>
  <si>
    <t>001264</t>
  </si>
  <si>
    <t>Türkiyə Respublikası</t>
  </si>
  <si>
    <t>009750</t>
  </si>
  <si>
    <t>014515</t>
  </si>
  <si>
    <t>IRR</t>
  </si>
  <si>
    <t>017740</t>
  </si>
  <si>
    <t xml:space="preserve">AZƏRBAYCAN RESPUBLİKASININ MƏRKƏZİ BANKI </t>
  </si>
  <si>
    <t>STATİSTİKA DEPARTAMENTİ</t>
  </si>
  <si>
    <t>XARİCİ BORC VƏ BEYNƏLXALQ İNVESTİSİYALAR HAQQINDA STATİSTİK HESABAT</t>
  </si>
  <si>
    <t>Titul vərəqi</t>
  </si>
  <si>
    <t>Titul Vərəqi</t>
  </si>
  <si>
    <t>BANK MELLİ İRAN BAKI FİLİALI</t>
  </si>
  <si>
    <t>(Rüb)</t>
  </si>
  <si>
    <t>(İl)</t>
  </si>
  <si>
    <t>Lisenziya nömrəsi:</t>
  </si>
  <si>
    <t>VÖEN:</t>
  </si>
  <si>
    <t>1300036291</t>
  </si>
  <si>
    <t>Fəaliyyət növünün adı:</t>
  </si>
  <si>
    <t>Fəaliyyət növünün kodu:</t>
  </si>
  <si>
    <t>64190</t>
  </si>
  <si>
    <t>İnvestisiya bölməsinin adı</t>
  </si>
  <si>
    <t>İnvestisiya bölməsinin kodu</t>
  </si>
  <si>
    <t>Qeyri-rezidentlə investisiya əlaqə növü</t>
  </si>
  <si>
    <t>Qeyri-rezidentlə investisiya əlaqə növünün kodu</t>
  </si>
  <si>
    <t>Qeyri-rezidentin fəaliyyət sektoru (institutsional)</t>
  </si>
  <si>
    <t>Qeyri-rezidentin fəaliyyət sektorunun kodu</t>
  </si>
  <si>
    <t>İnvestisiya maddələri</t>
  </si>
  <si>
    <t>İnvestisiya növünün kodu</t>
  </si>
  <si>
    <t>Qısa balans maddəsi</t>
  </si>
  <si>
    <t>Restrukturizasiya növü</t>
  </si>
  <si>
    <t>Restrukturizasiya növünün kodu</t>
  </si>
  <si>
    <t>Qeyri-rezidentin ölkə kodu</t>
  </si>
  <si>
    <t>Faiz növünün kodu</t>
  </si>
  <si>
    <t>Digər dəyişikliklər</t>
  </si>
  <si>
    <t>Digər dəyişikliklər kodu</t>
  </si>
  <si>
    <t>Valyuta</t>
  </si>
  <si>
    <t>Valyuta adı</t>
  </si>
  <si>
    <t>VALUE</t>
  </si>
  <si>
    <t>Rüb</t>
  </si>
  <si>
    <t>İl</t>
  </si>
  <si>
    <t xml:space="preserve">Kupon ödənişlərinin müddətləri (dövriliyi) </t>
  </si>
  <si>
    <t>F/S kodu</t>
  </si>
  <si>
    <t xml:space="preserve">Fəaliyyət  növünün  adı (mənbə: https://www.azstat.org/tesnifat/cedeveller/ifnt.jsp?parm=ifnt)</t>
  </si>
  <si>
    <t>Debitorun rezidentlik mənsubiyyəti</t>
  </si>
  <si>
    <t>Qeyri-rezidentin ölkəsi (Azərbaycansız)</t>
  </si>
  <si>
    <t>cəmi kapital investisiyası (aktiv üzrə)</t>
  </si>
  <si>
    <t>A</t>
  </si>
  <si>
    <t>borcun konversiyası</t>
  </si>
  <si>
    <t>Aland adaları (Finlandiya)</t>
  </si>
  <si>
    <t>sabit</t>
  </si>
  <si>
    <t>Ümidsiz investisiyanın silinməsi</t>
  </si>
  <si>
    <t>ALL</t>
  </si>
  <si>
    <t>Lek</t>
  </si>
  <si>
    <t>Dövlət Zəmanətli</t>
  </si>
  <si>
    <t>sıfır</t>
  </si>
  <si>
    <t>01111</t>
  </si>
  <si>
    <t>DƏNLİ (ÇƏLTİK İSTİSNA OLMAQLA) BİTKİLƏRİN BECƏRİLMƏSİ </t>
  </si>
  <si>
    <t>Rezident</t>
  </si>
  <si>
    <t>Portfel</t>
  </si>
  <si>
    <t>Birbaşa investisiya müəssisəsi</t>
  </si>
  <si>
    <t>Bank olmayan kredit təşkilatı</t>
  </si>
  <si>
    <t>opsionlara investisiya (aktiv üzrə)</t>
  </si>
  <si>
    <t>borcun yenidən rəsmiləşdirilməsi</t>
  </si>
  <si>
    <t>Albaniya</t>
  </si>
  <si>
    <t>dəyişkən</t>
  </si>
  <si>
    <t xml:space="preserve">Qeyri-rezident statusundan digər ölkənin rezidenti statusuna keçid </t>
  </si>
  <si>
    <t>SDR</t>
  </si>
  <si>
    <t>SDR (BVF-nun xüsusi borcalma hüquqları)</t>
  </si>
  <si>
    <t>illik</t>
  </si>
  <si>
    <t>01112</t>
  </si>
  <si>
    <t>PAXLALI BİTKİLƏRİN BECƏRİLMƏSİ </t>
  </si>
  <si>
    <t>Qeyri-rezident</t>
  </si>
  <si>
    <t>Törəmə maliyyə alətləri</t>
  </si>
  <si>
    <t>Qohum müəssisə</t>
  </si>
  <si>
    <t>Sığorta təşkilatı</t>
  </si>
  <si>
    <t>forvard tipli müqavilələrə investisiya (aktiv üzrə)</t>
  </si>
  <si>
    <t>borcun bağışlanması və ya ləğvi</t>
  </si>
  <si>
    <t>Almaniya</t>
  </si>
  <si>
    <t>Birbaşa investisiya bölməsindən portfel və ya digər investisiya bölməsinə keçid</t>
  </si>
  <si>
    <t>DZD</t>
  </si>
  <si>
    <t>Algerian Dinar</t>
  </si>
  <si>
    <t>yarımillik</t>
  </si>
  <si>
    <t>01113</t>
  </si>
  <si>
    <t>YAĞLI BİTKİLƏRİN VƏ ONLARIN TOXUMLARININ BECƏRİLMƏSİ </t>
  </si>
  <si>
    <t>Digər maliyyə müəssisəsi</t>
  </si>
  <si>
    <t>digər törəmə maliyyə alətlərinə investisiya (aktiv üzrə)</t>
  </si>
  <si>
    <t>borcun yenidən maliyyələşdirilməsi</t>
  </si>
  <si>
    <t>Almaniyanin KFV Bankı</t>
  </si>
  <si>
    <t>Portfel və ya digər investisiya bölməsindən birbaşa investisiya bölməsinə keçid</t>
  </si>
  <si>
    <t>ADP</t>
  </si>
  <si>
    <t>ildə üç dəfə</t>
  </si>
  <si>
    <t>01120</t>
  </si>
  <si>
    <t>ÇƏLTİYİN BECƏRİLMƏSİ </t>
  </si>
  <si>
    <t>istiqrazlara investisiya (aktiv üzrə)</t>
  </si>
  <si>
    <t>borcun öz üzərinə götürülməsi</t>
  </si>
  <si>
    <t>Amerika Birləşmiş Ştatları</t>
  </si>
  <si>
    <t>Qeyri-rezident statusundan rezident statusuna keçid</t>
  </si>
  <si>
    <t>BRD</t>
  </si>
  <si>
    <t>rüblük</t>
  </si>
  <si>
    <t>01131</t>
  </si>
  <si>
    <t>TƏRƏVƏZ, BOSTAN, KÖKÜMEYVƏLİ VƏ KÖKÜYUMRULARIN BECƏRİLMƏSİ </t>
  </si>
  <si>
    <t>veksellərə investisiya (aktiv üzrə)</t>
  </si>
  <si>
    <t>Amerika Samoası</t>
  </si>
  <si>
    <t>Rezident statusundan qeyri-rezident statusuna keçid</t>
  </si>
  <si>
    <t>ARS</t>
  </si>
  <si>
    <t>Argentine Peso</t>
  </si>
  <si>
    <t>ildə altı dəfə</t>
  </si>
  <si>
    <t>01132</t>
  </si>
  <si>
    <t>ŞƏKƏR ÇUĞUNDURUNUN VƏ ONUN TOXUMUNUN BECƏRİLMƏSİ </t>
  </si>
  <si>
    <t>Dövlət idarəetmə orqanı</t>
  </si>
  <si>
    <t>digər borc qiymətli kağızlarına investisiya (aktiv üzrə)</t>
  </si>
  <si>
    <t>Andorra</t>
  </si>
  <si>
    <t>Digər növlü dəyişmələr</t>
  </si>
  <si>
    <t>AUD</t>
  </si>
  <si>
    <t>Australian Dollar</t>
  </si>
  <si>
    <t>aylıq</t>
  </si>
  <si>
    <t>01133</t>
  </si>
  <si>
    <t>GÖBƏLƏYİN VƏ YERDOMBALANIN BECƏRİLMƏSİ </t>
  </si>
  <si>
    <t>kredit (aktiv üzrə)</t>
  </si>
  <si>
    <t>Angiliya (Britaniya)</t>
  </si>
  <si>
    <t>KID</t>
  </si>
  <si>
    <t>Kiribati dolları</t>
  </si>
  <si>
    <t>01134</t>
  </si>
  <si>
    <t>KARTOFUN BECƏRİLMƏSİ </t>
  </si>
  <si>
    <t>maliyyə lizinqi (aktiv üzrə)</t>
  </si>
  <si>
    <t>Anqola</t>
  </si>
  <si>
    <t>ATS</t>
  </si>
  <si>
    <t>01140</t>
  </si>
  <si>
    <t>ŞƏKƏR QAMIŞININ BECƏRİLMƏSİ </t>
  </si>
  <si>
    <t>əks-repo əməliyyatı (aktiv üzrə)</t>
  </si>
  <si>
    <t>Antarktika</t>
  </si>
  <si>
    <t>BSD</t>
  </si>
  <si>
    <t>Bahamian Dollar</t>
  </si>
  <si>
    <t>01150</t>
  </si>
  <si>
    <t>TÜTÜNÜN BECƏRİLMƏSİ </t>
  </si>
  <si>
    <t>müddətli depozit (aktiv üzrə)</t>
  </si>
  <si>
    <t>Antiqua Və Barbuda</t>
  </si>
  <si>
    <t>BHD</t>
  </si>
  <si>
    <t>Bahraini Dinar</t>
  </si>
  <si>
    <t>01161</t>
  </si>
  <si>
    <t>LİFLİ BİTKİLƏRİN BECƏRİLMƏSİ </t>
  </si>
  <si>
    <t>Argentina</t>
  </si>
  <si>
    <t>BDT</t>
  </si>
  <si>
    <t>Taka</t>
  </si>
  <si>
    <t>01162</t>
  </si>
  <si>
    <t>PAMBIĞIN BECƏRİLMƏSİ </t>
  </si>
  <si>
    <t>mallar üzrə ticari borc (aktiv üzrə)</t>
  </si>
  <si>
    <t>Aruba</t>
  </si>
  <si>
    <t>AMD</t>
  </si>
  <si>
    <t>Armenian Dram</t>
  </si>
  <si>
    <t>01191</t>
  </si>
  <si>
    <t>YEM BİTKİLƏRİNİN VƏ ONLARIN TOXUMLARININ BECƏRİLMƏSİ  </t>
  </si>
  <si>
    <t>xidmətlər üzrə ticari borc (aktiv üzrə)</t>
  </si>
  <si>
    <t>Asiya İnkişaf Bankı</t>
  </si>
  <si>
    <t>BBD</t>
  </si>
  <si>
    <t>Barbados Dollar</t>
  </si>
  <si>
    <t>01192</t>
  </si>
  <si>
    <t>YABANI DƏRMAN BİTKİLƏRİ XAMMALININ YIĞILMASI </t>
  </si>
  <si>
    <t>mallar üzrə avans (aktiv üzrə)</t>
  </si>
  <si>
    <t>Avrasiya Fondu</t>
  </si>
  <si>
    <t>BEF</t>
  </si>
  <si>
    <t>01193</t>
  </si>
  <si>
    <t>GÜLLƏRİN VƏ ONLARIN TOXUMLARININ BECƏRİLMƏSİ </t>
  </si>
  <si>
    <t>xidmətlər üzrə avans (aktiv üzrə)</t>
  </si>
  <si>
    <t>Avropa Yenidənqurma Və İnkişaf Bankı</t>
  </si>
  <si>
    <t>BMD</t>
  </si>
  <si>
    <t>Bermudian Dollar</t>
  </si>
  <si>
    <t>01199</t>
  </si>
  <si>
    <t>DİGƏR BİRİLLİK BİTKİLƏRİN BECƏRİLMƏSİ </t>
  </si>
  <si>
    <t>vergi borcu (aktiv üzrə)</t>
  </si>
  <si>
    <t>Avstraliya</t>
  </si>
  <si>
    <t>BTN</t>
  </si>
  <si>
    <t>Ngultrum</t>
  </si>
  <si>
    <t>01210</t>
  </si>
  <si>
    <t>ÜZÜMÜN BECƏRİLMƏSİ </t>
  </si>
  <si>
    <t>dividend borcu (aktiv üzrə)</t>
  </si>
  <si>
    <t>Avstriya</t>
  </si>
  <si>
    <t>BOB</t>
  </si>
  <si>
    <t>Boliviano</t>
  </si>
  <si>
    <t>01220</t>
  </si>
  <si>
    <t>TROPİK VƏ SUBTROPİK MEYVƏLƏRİN BECƏRİLMƏSİ </t>
  </si>
  <si>
    <t xml:space="preserve">sığorta və pensiya proqramları üzrə borc (aktiv üzrə) </t>
  </si>
  <si>
    <t>Azərbaycan</t>
  </si>
  <si>
    <t>BWP</t>
  </si>
  <si>
    <t>Pula</t>
  </si>
  <si>
    <t>01230</t>
  </si>
  <si>
    <t>SİTRUS MEYVƏLƏRİN BECƏRİLMƏSİ </t>
  </si>
  <si>
    <t>Baham Adaları</t>
  </si>
  <si>
    <t>digər borc (aktiv üzrə)</t>
  </si>
  <si>
    <t>BZD</t>
  </si>
  <si>
    <t>Belize Dollar</t>
  </si>
  <si>
    <t>01241</t>
  </si>
  <si>
    <t>TUMLU VƏ ÇƏYİRDƏKLİ MEYVƏLƏRİN BECƏRİLMƏSİ </t>
  </si>
  <si>
    <t>Banqladeş</t>
  </si>
  <si>
    <t>SBD</t>
  </si>
  <si>
    <t>Solomon Islands Dollar</t>
  </si>
  <si>
    <t>01242</t>
  </si>
  <si>
    <t>QOZ-FINDIQ VƏ SAİR GİLƏMEYVƏ MƏHSULLARININ BECƏRİLMƏSİ </t>
  </si>
  <si>
    <t>Barbados</t>
  </si>
  <si>
    <t>cəmi kapital investisiyası (öhdəlik üzrə)</t>
  </si>
  <si>
    <t>P</t>
  </si>
  <si>
    <t>BND</t>
  </si>
  <si>
    <t>Brunei Dollar</t>
  </si>
  <si>
    <t>01250</t>
  </si>
  <si>
    <t>DİGƏR AĞACLARIN, KOL BİTKİLƏRİNİN VƏ QƏRZƏKLİ MEYVƏLƏRİN BECƏRİLMƏSİ </t>
  </si>
  <si>
    <t>Bəhreyn</t>
  </si>
  <si>
    <t>opsionlara investisiya (öhdəlik üzrə)</t>
  </si>
  <si>
    <t>MMK</t>
  </si>
  <si>
    <t>Kyat</t>
  </si>
  <si>
    <t>01260</t>
  </si>
  <si>
    <t>YAĞLI MEYVƏLƏRİN BECƏRİLMƏSİ </t>
  </si>
  <si>
    <t>Belarus</t>
  </si>
  <si>
    <t>forvard tipli müqavilələrə investisiya (öhdəlik üzrə)</t>
  </si>
  <si>
    <t>BIF</t>
  </si>
  <si>
    <t>Burundi Franc</t>
  </si>
  <si>
    <t>01271</t>
  </si>
  <si>
    <t>İÇKİ İSTEHSALI ÜÇÜN BİTKİLƏRİN BECƏRİLMƏSİ </t>
  </si>
  <si>
    <t>Belçika</t>
  </si>
  <si>
    <t>digər törəmə maliyyə alətlərinə investisiya (öhdəlik üzrə)</t>
  </si>
  <si>
    <t>KHR</t>
  </si>
  <si>
    <t>Riel</t>
  </si>
  <si>
    <t>01272</t>
  </si>
  <si>
    <t>ÇAY YARPAĞININ BECƏRİLMƏSİ </t>
  </si>
  <si>
    <t>Beliz</t>
  </si>
  <si>
    <t>istiqrazlara investisiya (öhdəlik üzrə)</t>
  </si>
  <si>
    <t>CAD</t>
  </si>
  <si>
    <t>Kanada dolları</t>
  </si>
  <si>
    <t>01280</t>
  </si>
  <si>
    <t>ƏDVİYYAT, ƏTRİYYAT VƏ DƏRMAN BİTKİLƏRİNİN BECƏRİLMƏSİ </t>
  </si>
  <si>
    <t>Benin</t>
  </si>
  <si>
    <t>veksellərə investisiya (öhdəlik üzrə)</t>
  </si>
  <si>
    <t>CVE</t>
  </si>
  <si>
    <t>Cape Verde Escudo</t>
  </si>
  <si>
    <t>01290</t>
  </si>
  <si>
    <t>DİGƏR ÇOXİLLİK BİTKİLƏRİN BECƏRİLMƏSİ </t>
  </si>
  <si>
    <t>Bermud Adası</t>
  </si>
  <si>
    <t>digər borc qiymətli kağızlarına investisiya (öhdəlik üzrə)</t>
  </si>
  <si>
    <t>KYD</t>
  </si>
  <si>
    <t>Cayman Islands Dollar</t>
  </si>
  <si>
    <t>01300</t>
  </si>
  <si>
    <t>BİTKİLƏRİN ÇOXALDILMASI (ƏKİLMƏSİ)  </t>
  </si>
  <si>
    <t>Beynəlxalq İqtisadi Əməkdaşlıq Fondu</t>
  </si>
  <si>
    <t>kredit (öhdəlik üzrə)</t>
  </si>
  <si>
    <t>LKR</t>
  </si>
  <si>
    <t>Sri Lanka Rupee</t>
  </si>
  <si>
    <t>01410</t>
  </si>
  <si>
    <t>SÜDLÜK İRİBUYNUZLU MAL-QARANIN YETİŞDİRİLMƏSİ </t>
  </si>
  <si>
    <t>Beynəlxalq Maliyyə Korporasiyası</t>
  </si>
  <si>
    <t>maliyyə lizinqi (öhdəlik üzrə)</t>
  </si>
  <si>
    <t>CLP</t>
  </si>
  <si>
    <t>Chilean Peso</t>
  </si>
  <si>
    <t>01420</t>
  </si>
  <si>
    <t>DİGƏR İRİBUYNUZLU MAL-QARANIN VƏ CAMIŞLARIN YETİŞDİRİLMƏSİ </t>
  </si>
  <si>
    <t>Beynəlxalq Qırmızı Xaç Cəmiyyəti</t>
  </si>
  <si>
    <t xml:space="preserve">repo əməliyyatı (öhdəlik üzrə) </t>
  </si>
  <si>
    <t>CNY</t>
  </si>
  <si>
    <t>Çin yuanı</t>
  </si>
  <si>
    <t>01430</t>
  </si>
  <si>
    <t>AT, EŞŞƏK VƏ QATIRLARIN YETİŞDİRİLMƏSİ </t>
  </si>
  <si>
    <t>Beynəlxalq Valyuta Fondu</t>
  </si>
  <si>
    <t>müddətli depozit (öhdəlik üzrə)</t>
  </si>
  <si>
    <t>COP</t>
  </si>
  <si>
    <t>Colombian Peso</t>
  </si>
  <si>
    <t>01440</t>
  </si>
  <si>
    <t>DƏVƏLƏRİN VƏ MAYALARIN YETİŞDİRİLMƏSİ </t>
  </si>
  <si>
    <t>Birləşmiş Ərəb Əmirlikləri</t>
  </si>
  <si>
    <t>KMF</t>
  </si>
  <si>
    <t>Comoro Franc</t>
  </si>
  <si>
    <t>01450</t>
  </si>
  <si>
    <t>QOYUN VƏ KEÇİLƏRİN YETİŞDİRİLMƏSİ </t>
  </si>
  <si>
    <t>Birləşmiş Krallıq</t>
  </si>
  <si>
    <t>mallar üzrə ticari borc (öhdəlik üzrə)</t>
  </si>
  <si>
    <t>CRC</t>
  </si>
  <si>
    <t>Costa Rican Colon</t>
  </si>
  <si>
    <t>01460</t>
  </si>
  <si>
    <t>DONUZLARIN YETİŞDİRİLMƏSİ </t>
  </si>
  <si>
    <t>Birləşmiş Krallıq-Hindistan Okeanı</t>
  </si>
  <si>
    <t>xidmətlər üzrə ticari borc (öhdəlik üzrə)</t>
  </si>
  <si>
    <t>HRK</t>
  </si>
  <si>
    <t>Croatian Kuna</t>
  </si>
  <si>
    <t>01471</t>
  </si>
  <si>
    <t>EV (KƏND TƏSƏRRÜFATI) QUŞLARININ YETİŞDİRİLMƏSİ </t>
  </si>
  <si>
    <t>Birləşmiş Tanzaniya Respublikası</t>
  </si>
  <si>
    <t>mallar üzrə avans (öhdəlik üzrə)</t>
  </si>
  <si>
    <t>CUP</t>
  </si>
  <si>
    <t>Cuban Peso</t>
  </si>
  <si>
    <t>01472</t>
  </si>
  <si>
    <t>YUMURTA İSTEHSALI </t>
  </si>
  <si>
    <t>Boliviya</t>
  </si>
  <si>
    <t>xidmətlər üzrə avans (öhdəlik üzrə)</t>
  </si>
  <si>
    <t>CZK</t>
  </si>
  <si>
    <t>Çexiya kronu</t>
  </si>
  <si>
    <t>01491</t>
  </si>
  <si>
    <t>ARILARIN BECƏRİLMƏSİ, ARI BALININ VƏ ARI MUMUNUN İSTEHSALI </t>
  </si>
  <si>
    <t>Bolqarıstan</t>
  </si>
  <si>
    <t>vergi borcu (öhdəlik üzrə)</t>
  </si>
  <si>
    <t>DKK</t>
  </si>
  <si>
    <t>Danimarka kronu</t>
  </si>
  <si>
    <t>01492</t>
  </si>
  <si>
    <t>BARAMA QURDUNUN YETİŞDİRİLMƏSİ VƏ BARAMA İSTEHSALI </t>
  </si>
  <si>
    <t>Bonair, Sint Austatius Və Saba (Niderland)</t>
  </si>
  <si>
    <t>dividend borcu (öhdəlik üzrə)</t>
  </si>
  <si>
    <t>DOP</t>
  </si>
  <si>
    <t>Dominican Peso</t>
  </si>
  <si>
    <t>01493</t>
  </si>
  <si>
    <t>XƏZ DƏRİLİ HEYVANLARIN YETİŞDİRİLMƏSİ VƏ XƏZ DƏRİ İSTEHSALI </t>
  </si>
  <si>
    <t>Bosniya Və Herseqovina</t>
  </si>
  <si>
    <t xml:space="preserve">sığorta və pensiya proqramları üzrə borc (öhdəlik üzrə) </t>
  </si>
  <si>
    <t>SVC</t>
  </si>
  <si>
    <t>El Salvador Colon</t>
  </si>
  <si>
    <t>01499</t>
  </si>
  <si>
    <t>DİGƏR HEYVANLARIN YETİŞDİRİLMƏSİ </t>
  </si>
  <si>
    <t>Botsvana</t>
  </si>
  <si>
    <t>digər borc (öhdəlik üzrə)</t>
  </si>
  <si>
    <t>ETB</t>
  </si>
  <si>
    <t>Ethiopian Birr</t>
  </si>
  <si>
    <t>01500</t>
  </si>
  <si>
    <t>HEYVANDARLIQLA ƏLAQƏLİ BİTKİÇİLİK </t>
  </si>
  <si>
    <t>Bouvet Adaları (Norveç)</t>
  </si>
  <si>
    <t>ERN</t>
  </si>
  <si>
    <t>Nakfa</t>
  </si>
  <si>
    <t>01611</t>
  </si>
  <si>
    <t>BİTKİÇİLİK SAHƏSİNDƏ XİDMƏT GÖSTƏRİLMƏSİ </t>
  </si>
  <si>
    <t>Braziliya</t>
  </si>
  <si>
    <t>EEK</t>
  </si>
  <si>
    <t>01612</t>
  </si>
  <si>
    <t>İRRİQASİYA SİSTEMİNİN İSTİSMARI </t>
  </si>
  <si>
    <t>Britaniya Banklar Qrupu</t>
  </si>
  <si>
    <t>FKP</t>
  </si>
  <si>
    <t>Falkland Islands Pound</t>
  </si>
  <si>
    <t>01613</t>
  </si>
  <si>
    <t>BİTKİÇİLİK SAHƏSİNDƏ DİGƏR XİDMƏTLƏRİN GÖSTƏRİLMƏSİ </t>
  </si>
  <si>
    <t>Bruney-Darüssalam</t>
  </si>
  <si>
    <t>FJD</t>
  </si>
  <si>
    <t>Fiji Dollar</t>
  </si>
  <si>
    <t>01620</t>
  </si>
  <si>
    <t>HEYVANDARLIQ SAHƏSİNDƏ XİDMƏTİN GÖSTƏRİLMƏSİ </t>
  </si>
  <si>
    <t>Burkina-Faso</t>
  </si>
  <si>
    <t>kredit xətti</t>
  </si>
  <si>
    <t>FIM</t>
  </si>
  <si>
    <t>01630</t>
  </si>
  <si>
    <t>KƏND TƏSƏRRÜFATI BİTKİLƏRİ MƏHSULLARININ EMALI ÜZRƏ XİDMƏTLƏRİN GÖSTƏRİLMƏSİ </t>
  </si>
  <si>
    <t>Burundi</t>
  </si>
  <si>
    <t>kredit öhdəlikləri</t>
  </si>
  <si>
    <t>FRF</t>
  </si>
  <si>
    <t>01640</t>
  </si>
  <si>
    <t>ƏKİLMƏYƏ (TOXUM FONDUNUN FORMALAŞDIRILMASINA) HAZIRLIQ ÜZRƏ XİDMƏTLƏRİN GÖSTƏRİLMƏSİ </t>
  </si>
  <si>
    <t>Butan</t>
  </si>
  <si>
    <t>akkreditivlər</t>
  </si>
  <si>
    <t>DJF</t>
  </si>
  <si>
    <t>Djibouti Franc</t>
  </si>
  <si>
    <t>01700</t>
  </si>
  <si>
    <t>OVÇULUQ VƏ VƏHŞİ HEYVANLARIN YETİŞDİRİLMƏSİ VƏ BU SAHƏLƏRDƏ XİDMƏTİN GÖSTƏRİLMƏSİ </t>
  </si>
  <si>
    <t>Çad</t>
  </si>
  <si>
    <t>verilmiş qarantiyalar</t>
  </si>
  <si>
    <t>GMD</t>
  </si>
  <si>
    <t>Dalasi</t>
  </si>
  <si>
    <t>02100</t>
  </si>
  <si>
    <t>MEŞƏÇİLİK VƏ MEŞƏ TƏSƏRRÜFATI İLƏ BAĞLI SAİR FƏALİYYƏT </t>
  </si>
  <si>
    <t>Cəbəllütariq</t>
  </si>
  <si>
    <t>kapital investisiyaları üzrə öhdəliklər</t>
  </si>
  <si>
    <t>DEM</t>
  </si>
  <si>
    <t>02200</t>
  </si>
  <si>
    <t>AĞAC TƏDARÜKÜ </t>
  </si>
  <si>
    <t>Cənubi Afrika Respublikası</t>
  </si>
  <si>
    <t>GHC</t>
  </si>
  <si>
    <t>02301</t>
  </si>
  <si>
    <t>YABANI BİTƏN QEYRİ-AĞAC MƏHSULLARININ YIĞILMASI </t>
  </si>
  <si>
    <t>Cənubi Corciya Və Cənubi Sandvic Adaları (Birləşmiş Krallıq)</t>
  </si>
  <si>
    <t>GIP</t>
  </si>
  <si>
    <t>Gibraltar Pound</t>
  </si>
  <si>
    <t>02302</t>
  </si>
  <si>
    <t>YABANI BİTƏN MEŞƏ GÖBƏLƏKLƏRİNİN VƏ YERDOMBALANLARININ, MEYVƏLƏRİNİN, GİLƏMEYVƏLƏRİN, QOZLARIN VƏ DİGƏR YEYİLƏN MEŞƏ MƏHSULLARININ YIĞILMASI </t>
  </si>
  <si>
    <t>Cənubi Sudan</t>
  </si>
  <si>
    <t>GRD</t>
  </si>
  <si>
    <t>02309</t>
  </si>
  <si>
    <t>YABANI BİTƏN DİGƏR QEYRİ-AĞAC MEŞƏ MƏHSULLARININ YIĞILMASI </t>
  </si>
  <si>
    <t>Cersi Adası (Birləşmiş Krallıq)</t>
  </si>
  <si>
    <t>GTQ</t>
  </si>
  <si>
    <t>Quetzal</t>
  </si>
  <si>
    <t>02400</t>
  </si>
  <si>
    <t>MEŞƏ TƏSƏRRÜFATI (MEŞƏ BECƏRMƏ VƏ AĞAC TƏDARÜKÜ) SAHƏSİNDƏ XİDMƏTLƏRİN GÖSTƏRİLMƏSİ  </t>
  </si>
  <si>
    <t>Çexiya Respublikası</t>
  </si>
  <si>
    <t>GNF</t>
  </si>
  <si>
    <t>Guinea Franc</t>
  </si>
  <si>
    <t>03110</t>
  </si>
  <si>
    <t>DƏNİZ BALIQÇILIĞI </t>
  </si>
  <si>
    <t>Cibuti</t>
  </si>
  <si>
    <t>GYD</t>
  </si>
  <si>
    <t>Guyana Dollar</t>
  </si>
  <si>
    <t>03120</t>
  </si>
  <si>
    <t>ÇAYLARDA, GÖLLƏRDƏ, SU ANBARLARINDA (ŞİRİN SULARDA) BALIQÇILIQ </t>
  </si>
  <si>
    <t>Çili</t>
  </si>
  <si>
    <t>HTG</t>
  </si>
  <si>
    <t>Gourde</t>
  </si>
  <si>
    <t>03210</t>
  </si>
  <si>
    <t>DƏNİZ BALIQYETİŞDİRİLMƏSİ </t>
  </si>
  <si>
    <t>Çin</t>
  </si>
  <si>
    <t>HNL</t>
  </si>
  <si>
    <t>Lempira</t>
  </si>
  <si>
    <t>03220</t>
  </si>
  <si>
    <t>ŞİRİN SU HÖVZƏLƏRİNDƏ BALIQYETİŞDİRMƏ </t>
  </si>
  <si>
    <t>Çinin Xüsusi İnzibati Rayonu Honkonq</t>
  </si>
  <si>
    <t>HKD</t>
  </si>
  <si>
    <t>Honq Konq dolları</t>
  </si>
  <si>
    <t>05100</t>
  </si>
  <si>
    <t>DAŞ KÖMÜRÜN HASİLATI </t>
  </si>
  <si>
    <t>Çinin Xüsusi İnzibati Rayonu Makao</t>
  </si>
  <si>
    <t>HUF</t>
  </si>
  <si>
    <t>Forint</t>
  </si>
  <si>
    <t>05200</t>
  </si>
  <si>
    <t>LİQNİTİN HASİLATI </t>
  </si>
  <si>
    <t>Danimarka</t>
  </si>
  <si>
    <t>ISK</t>
  </si>
  <si>
    <t>Iceland Krona</t>
  </si>
  <si>
    <t>06100</t>
  </si>
  <si>
    <t>XAM NEFT HASİLATI </t>
  </si>
  <si>
    <t>Digər Beynəlxalq Təşkilatlar</t>
  </si>
  <si>
    <t>INR</t>
  </si>
  <si>
    <t>Hindistan rupisi</t>
  </si>
  <si>
    <t>06200</t>
  </si>
  <si>
    <t>TƏBİİ (YANAR) QAZ HASİLATI </t>
  </si>
  <si>
    <t>Digər Uzaq Xarici Ölkələr</t>
  </si>
  <si>
    <t>IDR</t>
  </si>
  <si>
    <t>İndoneziya rupiası</t>
  </si>
  <si>
    <t>07100</t>
  </si>
  <si>
    <t>DƏMİR FİLİZİNİN HASİLATI </t>
  </si>
  <si>
    <t>Dominika</t>
  </si>
  <si>
    <t>İran rialı</t>
  </si>
  <si>
    <t>07210</t>
  </si>
  <si>
    <t>URAN VƏ TORİUM FİLİZLƏRİNİN HASİLATI </t>
  </si>
  <si>
    <t>Dominikan Respublikası</t>
  </si>
  <si>
    <t>IQD</t>
  </si>
  <si>
    <t>Iraqi Dinar</t>
  </si>
  <si>
    <t>07291</t>
  </si>
  <si>
    <t>QİYMƏTLİ METALLARIN VƏ QİYMƏTLİ DAŞLARIN İSTEHSALI (QİYMƏTLİ METALLARIN FİLİZLƏRDƏN, KONSENTRATLARDAN ALINMASI) </t>
  </si>
  <si>
    <t>Dünya Bankı</t>
  </si>
  <si>
    <t>IEP</t>
  </si>
  <si>
    <t>QİYMƏTLİ METALLARIN VƏ QİYMƏTLİ DAŞLARIN İSTEHSALI  </t>
  </si>
  <si>
    <t>Dünya Bankı (Layihə)</t>
  </si>
  <si>
    <t>ILS</t>
  </si>
  <si>
    <t>İsrail şekeli</t>
  </si>
  <si>
    <t>07299</t>
  </si>
  <si>
    <t>DİGƏR ƏLVAN METAL FİLİZLƏRİNİN HASİLATI </t>
  </si>
  <si>
    <t>Əfqanıstan</t>
  </si>
  <si>
    <t>ITL</t>
  </si>
  <si>
    <t>08111</t>
  </si>
  <si>
    <t>DEKORATİV VƏ TİKİNTİ DAŞLARININ HASİLATI </t>
  </si>
  <si>
    <t>Ekvador</t>
  </si>
  <si>
    <t>JMD</t>
  </si>
  <si>
    <t>Jamaican Dollar</t>
  </si>
  <si>
    <t>08112</t>
  </si>
  <si>
    <t>ƏHƏNG DAŞININ VƏ GİPSİN HASİLATI </t>
  </si>
  <si>
    <t>Ekvatorial Qvineya</t>
  </si>
  <si>
    <t>JPY</t>
  </si>
  <si>
    <t>Yapon yeni</t>
  </si>
  <si>
    <t>08113</t>
  </si>
  <si>
    <t>TƏBAŞİR VƏ SUSUZLAŞDIRILMAMIŞ DELOMİTİN HASİLATI </t>
  </si>
  <si>
    <t>Əlcəzair</t>
  </si>
  <si>
    <t>KZT</t>
  </si>
  <si>
    <t>Qazaxıstan tengəsi</t>
  </si>
  <si>
    <t>08114</t>
  </si>
  <si>
    <t>ŞİST HASİLATI </t>
  </si>
  <si>
    <t>Eritreya</t>
  </si>
  <si>
    <t>JOD</t>
  </si>
  <si>
    <t>Jordanian Dinar</t>
  </si>
  <si>
    <t>08121</t>
  </si>
  <si>
    <t>ÇINQIL VƏ QUMUN HASİLATI </t>
  </si>
  <si>
    <t>Ermənistan</t>
  </si>
  <si>
    <t>KES</t>
  </si>
  <si>
    <t>Kenyan Shilling</t>
  </si>
  <si>
    <t>08122</t>
  </si>
  <si>
    <t>GİL VƏ KAOLİN HASİLATI </t>
  </si>
  <si>
    <t>Estoniya</t>
  </si>
  <si>
    <t>KPW</t>
  </si>
  <si>
    <t>North Korean Won</t>
  </si>
  <si>
    <t>08910</t>
  </si>
  <si>
    <t>KİMYA SƏNAYESİ VƏ GÜBRƏ İSTEHSALI ÜÇÜN MİNERAL XAMMAL HASİLATI  </t>
  </si>
  <si>
    <t>Farer Adaları (Danimarka)</t>
  </si>
  <si>
    <t>KRW</t>
  </si>
  <si>
    <t>Cənubi Korea vonu</t>
  </si>
  <si>
    <t>08920</t>
  </si>
  <si>
    <t>TORF HASİLATI </t>
  </si>
  <si>
    <t>Fici</t>
  </si>
  <si>
    <t>KWD</t>
  </si>
  <si>
    <t>Küveyt dinarı</t>
  </si>
  <si>
    <t>08930</t>
  </si>
  <si>
    <t>DUZ HASİLATI </t>
  </si>
  <si>
    <t>Filippin</t>
  </si>
  <si>
    <t>KGS</t>
  </si>
  <si>
    <t>Qırğız somu</t>
  </si>
  <si>
    <t>08991</t>
  </si>
  <si>
    <t>MƏDƏNÇIXARMA SƏNAYESİNİN DİGƏR QRUPLARINA DAXİL EDİLMƏYƏN SAİR SAHƏLƏRİ </t>
  </si>
  <si>
    <t>Finlandiya</t>
  </si>
  <si>
    <t>LAK</t>
  </si>
  <si>
    <t>Kip</t>
  </si>
  <si>
    <t>08992</t>
  </si>
  <si>
    <t>TƏBİİ ASFALT VƏ BİTUM HASİLATI </t>
  </si>
  <si>
    <t>Folklend (Malvin) Adaları (Birləşmiş Krallıq)</t>
  </si>
  <si>
    <t>LBP</t>
  </si>
  <si>
    <t>Livan funtu</t>
  </si>
  <si>
    <t>09101</t>
  </si>
  <si>
    <t>NEFT VƏ TƏBİİ QAZ HASİLATI SAHƏSİNDƏ XİDMƏTLƏRİN GÖSTƏRİLMƏSİ  </t>
  </si>
  <si>
    <t>Fransa</t>
  </si>
  <si>
    <t>LSL</t>
  </si>
  <si>
    <t>Loti</t>
  </si>
  <si>
    <t>09102</t>
  </si>
  <si>
    <t>NEFT VƏ TƏBİİ QAZIN HASİLATI ÜÇÜN QUYULARIN QAZILMASI </t>
  </si>
  <si>
    <t>Fransa Polineziyası</t>
  </si>
  <si>
    <t>LVL</t>
  </si>
  <si>
    <t>Latviya latı</t>
  </si>
  <si>
    <t>09900</t>
  </si>
  <si>
    <t>MƏDƏNÇIXARMA SƏNAYESİNİN DİGƏR SAHƏLƏRİNDƏ XİDMƏTLƏRİN GÖSTƏRİLMƏSİ </t>
  </si>
  <si>
    <t>Fransa Qvianası (Fransa)</t>
  </si>
  <si>
    <t>LRD</t>
  </si>
  <si>
    <t>Liberian Dollar</t>
  </si>
  <si>
    <t>10110</t>
  </si>
  <si>
    <t>ƏT İSTEHSALI VƏ KONSERVLƏŞDİRİLMƏSİ (QUŞ ƏTİNDƏN BAŞQA) </t>
  </si>
  <si>
    <t>Fransanın Cənubi Əraziləri</t>
  </si>
  <si>
    <t>LYD</t>
  </si>
  <si>
    <t>Libyan Dinar</t>
  </si>
  <si>
    <t>10120</t>
  </si>
  <si>
    <t>EV QUŞLARI VƏ DOVŞAN ƏTİNİN EMALI VƏ KONSERVLƏŞDİRİLMƏSİ </t>
  </si>
  <si>
    <t>Göstərilməyən Rayonlar</t>
  </si>
  <si>
    <t>LTL</t>
  </si>
  <si>
    <t>Litva liti</t>
  </si>
  <si>
    <t>10131</t>
  </si>
  <si>
    <t>KOLBASA, SOSİSKA, SALYAMİ, PAŞTET, BEKON VƏ SAİR ƏT MƏMULATLARININ İSTEHSALI </t>
  </si>
  <si>
    <t>LUF</t>
  </si>
  <si>
    <t>10132</t>
  </si>
  <si>
    <t>ƏT QUŞ VƏ EV DOŞANLARININ ƏTİNDƏN DİGƏR MƏMULATLARIN İSTEHSALI </t>
  </si>
  <si>
    <t>Haiti</t>
  </si>
  <si>
    <t>MOP</t>
  </si>
  <si>
    <t>Pataca</t>
  </si>
  <si>
    <t>10201</t>
  </si>
  <si>
    <t>BALIQ MƏHSULLARININ İSTEHSALI </t>
  </si>
  <si>
    <t>Həbəşistan</t>
  </si>
  <si>
    <t>MGF</t>
  </si>
  <si>
    <t>10202</t>
  </si>
  <si>
    <t>BALIĞIN, XƏRÇƏNGKİMİLƏRİN VƏ MOLYUSKALARIN EMALI VƏ KONSERVLƏŞDİRİLMƏSİ </t>
  </si>
  <si>
    <t>Herd Adası Və Makdonald Adaları (Avstraliya)</t>
  </si>
  <si>
    <t>MWK</t>
  </si>
  <si>
    <t>Kwacha</t>
  </si>
  <si>
    <t>10311</t>
  </si>
  <si>
    <t>KARTOFUN EMALI VƏ KONSERVLƏŞDİRİLMƏSİ </t>
  </si>
  <si>
    <t>Hernsi Adası (Birləşmiş Krallıq)</t>
  </si>
  <si>
    <t>MYR</t>
  </si>
  <si>
    <t>Malaysian Ringgit</t>
  </si>
  <si>
    <t>10312</t>
  </si>
  <si>
    <t>KARTOF UNUNUN İSTEHSALI </t>
  </si>
  <si>
    <t>Hindistan</t>
  </si>
  <si>
    <t>MVR</t>
  </si>
  <si>
    <t>Rufiyaa</t>
  </si>
  <si>
    <t>10320</t>
  </si>
  <si>
    <t>MEYVƏ VƏ TƏRƏVƏZ ŞİRƏLƏRİNİN İSTEHSALI </t>
  </si>
  <si>
    <t>Honduras</t>
  </si>
  <si>
    <t>MTL</t>
  </si>
  <si>
    <t xml:space="preserve">Malta lirəsi </t>
  </si>
  <si>
    <t>10391</t>
  </si>
  <si>
    <t>DİGƏR QRUPLARA DAXİL EDİLMƏYƏN MEYVƏ VƏ TƏRƏVƏZLƏRİN KONSERVLƏŞDİRİLMƏSİ </t>
  </si>
  <si>
    <t>İndoneziya</t>
  </si>
  <si>
    <t>MRO</t>
  </si>
  <si>
    <t>Ouguiya</t>
  </si>
  <si>
    <t>10392</t>
  </si>
  <si>
    <t>MEYVƏ VƏ YA TƏRƏVƏZDƏN YEYİNTİ MƏHSULLARININ İSTEHSALI </t>
  </si>
  <si>
    <t>İordaniya</t>
  </si>
  <si>
    <t>MUR</t>
  </si>
  <si>
    <t>Mauritius Rupee</t>
  </si>
  <si>
    <t>10393</t>
  </si>
  <si>
    <t>CEM, MARMELAD VƏ JELENİN İSTEHSALI </t>
  </si>
  <si>
    <t>MXN</t>
  </si>
  <si>
    <t>Meksika pesosu</t>
  </si>
  <si>
    <t>10411</t>
  </si>
  <si>
    <t>TƏMİZLƏNMƏMİŞ YAĞ VƏ PİYLƏRİN İSTEHSALI </t>
  </si>
  <si>
    <t>İraq</t>
  </si>
  <si>
    <t>MNT</t>
  </si>
  <si>
    <t>Tugrik</t>
  </si>
  <si>
    <t>10412</t>
  </si>
  <si>
    <t>TƏMİZLƏNMİŞ YAĞ VƏ PİYLƏRİN İSTEHSALI </t>
  </si>
  <si>
    <t>İrlandiya</t>
  </si>
  <si>
    <t>MDL</t>
  </si>
  <si>
    <t>Moldova leyi</t>
  </si>
  <si>
    <t>10420</t>
  </si>
  <si>
    <t>MARQARİN VƏ QARIŞDIRILMIŞ YEYİNTİ PİYLƏRİNİN İSTEHSALI </t>
  </si>
  <si>
    <t>İşğal olunmuş Fələstin əraziləri</t>
  </si>
  <si>
    <t>MAD</t>
  </si>
  <si>
    <t>Moroccan Dirham</t>
  </si>
  <si>
    <t>10511</t>
  </si>
  <si>
    <t>SÜD VƏ SÜD MƏHSULLARININ İSTEHSALI </t>
  </si>
  <si>
    <t>İslam İnkişaf Bankı</t>
  </si>
  <si>
    <t>MZN</t>
  </si>
  <si>
    <t>Mozambik metikali</t>
  </si>
  <si>
    <t>10512</t>
  </si>
  <si>
    <t>PENDİR VƏ KƏSMİK İSTEHSALI </t>
  </si>
  <si>
    <t>İslam İnkişaf Bankı Və Küveyt Fondu</t>
  </si>
  <si>
    <t>OMR</t>
  </si>
  <si>
    <t>Rial Omani</t>
  </si>
  <si>
    <t>10520</t>
  </si>
  <si>
    <t>DONDURMA İSTEHSALI </t>
  </si>
  <si>
    <t>İslandiya</t>
  </si>
  <si>
    <t>NAD</t>
  </si>
  <si>
    <t>Namibia Dollar</t>
  </si>
  <si>
    <t>10611</t>
  </si>
  <si>
    <t>BUĞDA EMALI SƏNAYESİ MƏHSULLARININ İSTEHSALI </t>
  </si>
  <si>
    <t>İspaniya</t>
  </si>
  <si>
    <t>NPR</t>
  </si>
  <si>
    <t>Nepalese Rupee</t>
  </si>
  <si>
    <t>10612</t>
  </si>
  <si>
    <t>DƏNLİ BİTKİLƏRDƏN UN VƏ YARMA İSTEHSALI </t>
  </si>
  <si>
    <t>İsrail</t>
  </si>
  <si>
    <t>NLG</t>
  </si>
  <si>
    <t>10620</t>
  </si>
  <si>
    <t>NİŞASTA VƏ NİŞASTA MƏHSULLARININ İSTEHSALI </t>
  </si>
  <si>
    <t>İsveç</t>
  </si>
  <si>
    <t>ANG</t>
  </si>
  <si>
    <t>Netherlands Antillean Guilder</t>
  </si>
  <si>
    <t>10710</t>
  </si>
  <si>
    <t>ÇÖRƏK İSTEHSALI; UZUN MÜDDƏT SAXLANILA BİLMƏYƏN UNLU QƏNNADI MƏMULATLARININ İSTEHSALI </t>
  </si>
  <si>
    <t>İsveçrə</t>
  </si>
  <si>
    <t>AWG</t>
  </si>
  <si>
    <t>Aruban Florin</t>
  </si>
  <si>
    <t>10720</t>
  </si>
  <si>
    <t>SUXARI VƏ PEÇENYE İSTEHSALI, UZUN MÜDDƏT SAXLANILA BİLƏN UNLU QƏNNADI MƏMULATLARININ İSTEHSALI  </t>
  </si>
  <si>
    <t>İtaliya</t>
  </si>
  <si>
    <t>VUV</t>
  </si>
  <si>
    <t>Vatu</t>
  </si>
  <si>
    <t>10730</t>
  </si>
  <si>
    <t>MAKARON, ƏRİŞTƏ VƏ OXŞAR MƏMULATLARIN İSTEHSALI </t>
  </si>
  <si>
    <t>Kabo-Verde</t>
  </si>
  <si>
    <t>NZD</t>
  </si>
  <si>
    <t>Yeni Zelandiya dolları</t>
  </si>
  <si>
    <t>10810</t>
  </si>
  <si>
    <t>ŞƏKƏR (QƏND) İSTEHSALI </t>
  </si>
  <si>
    <t>Kamboca</t>
  </si>
  <si>
    <t>NIO</t>
  </si>
  <si>
    <t>Cordoba Oro</t>
  </si>
  <si>
    <t>10820</t>
  </si>
  <si>
    <t>KAKAO, ŞOKOLAD VƏ ŞƏKƏRDƏN QƏNNADI MƏMULATLARININ İSTEHSALI </t>
  </si>
  <si>
    <t>Kamerun</t>
  </si>
  <si>
    <t>NGN</t>
  </si>
  <si>
    <t>Naira</t>
  </si>
  <si>
    <t>10830</t>
  </si>
  <si>
    <t>ÇAY VƏ KOFE İSTEHSALI (EMALI) </t>
  </si>
  <si>
    <t>Kanada</t>
  </si>
  <si>
    <t>NOK</t>
  </si>
  <si>
    <t>Norveç kronu</t>
  </si>
  <si>
    <t>10840</t>
  </si>
  <si>
    <t>ƏDVİYYAT VƏ ŞİRƏLƏRİN İSTEHSALI </t>
  </si>
  <si>
    <t>Kayman Adaları</t>
  </si>
  <si>
    <t>PKR</t>
  </si>
  <si>
    <t>Pakistan Rupee</t>
  </si>
  <si>
    <t>10850</t>
  </si>
  <si>
    <t>HAZIR YEMƏKLƏRİN İSTEHSALI </t>
  </si>
  <si>
    <t>Keçmiş Yuqoslaviya Respublikası Makedoniya</t>
  </si>
  <si>
    <t>PAB</t>
  </si>
  <si>
    <t>Balboa</t>
  </si>
  <si>
    <t>10860</t>
  </si>
  <si>
    <t>UŞAQ QİDALARININ VƏ PƏHRİZ ƏRZAQ MƏHSULLARININ İSTEHSALI </t>
  </si>
  <si>
    <t>Kənd Təsərrüfatının İnkişafının Beynəlxalq Fondu</t>
  </si>
  <si>
    <t>PGK</t>
  </si>
  <si>
    <t>Kina</t>
  </si>
  <si>
    <t>10890</t>
  </si>
  <si>
    <t>DİGƏR QRUPLARA DAXİL EDİLMƏYƏN SAİR QİDA MƏHSULLARININ İSTEHSALI  </t>
  </si>
  <si>
    <t>Keniya</t>
  </si>
  <si>
    <t>PYG</t>
  </si>
  <si>
    <t>Guarani</t>
  </si>
  <si>
    <t>10910</t>
  </si>
  <si>
    <t>FERMALARDA SAXLANAN HEYVANLAR ÜÇÜN HAZIR YEMLƏRİN İSTEHSALI </t>
  </si>
  <si>
    <t>Kipr</t>
  </si>
  <si>
    <t>PEN</t>
  </si>
  <si>
    <t>Nuevo Sol</t>
  </si>
  <si>
    <t>10920</t>
  </si>
  <si>
    <t>EV HEYVANLARI ÜÇÜN HAZIR YEMLƏRİN İSTEHSALI </t>
  </si>
  <si>
    <t>Kiribati</t>
  </si>
  <si>
    <t>PHP</t>
  </si>
  <si>
    <t>Philippine Peso</t>
  </si>
  <si>
    <t>11011</t>
  </si>
  <si>
    <t>DİSTİLLƏ EDİLMİŞ VƏ TƏMİZLƏNMİŞ SPİRTLİ İÇKİLƏRİN İSTEHSALI </t>
  </si>
  <si>
    <t>Kokos (Kiling) Adaları (Avstraliya)</t>
  </si>
  <si>
    <t>PTE</t>
  </si>
  <si>
    <t>11012</t>
  </si>
  <si>
    <t>QICQIRMA MATERİALLARINDAN ETİL SPİRTİNİN İSTEHSALI </t>
  </si>
  <si>
    <t>Kolumbiya</t>
  </si>
  <si>
    <t>GWP</t>
  </si>
  <si>
    <t>11020</t>
  </si>
  <si>
    <t>ÜZÜMDƏN ŞƏRAB İSTEHSALI </t>
  </si>
  <si>
    <t>Konqo</t>
  </si>
  <si>
    <t>QAR</t>
  </si>
  <si>
    <t>Qatari Rial</t>
  </si>
  <si>
    <t>11030</t>
  </si>
  <si>
    <t>SİDR VƏ BAŞQA GİLƏMEYVƏ ŞƏRABLARININ İSTEHSALI </t>
  </si>
  <si>
    <t>Konqo Demokratik Respublikası</t>
  </si>
  <si>
    <t>ROL</t>
  </si>
  <si>
    <t>11040</t>
  </si>
  <si>
    <t>QICQIRMA MATERİALLARINDAN DİSTİLLƏ EDİLMƏMİŞ SAİR İÇKİLƏRİN İSTEHSALI </t>
  </si>
  <si>
    <t>Koreya Respublikası</t>
  </si>
  <si>
    <t>RUB</t>
  </si>
  <si>
    <t>Russian Ruble</t>
  </si>
  <si>
    <t>11050</t>
  </si>
  <si>
    <t>PİVƏ İSTEHSALI </t>
  </si>
  <si>
    <t>Koreya Xalq Demokratik Respublikası</t>
  </si>
  <si>
    <t>RWF</t>
  </si>
  <si>
    <t>Rwanda Franc</t>
  </si>
  <si>
    <t>11060</t>
  </si>
  <si>
    <t>SƏMƏNİ PİVƏSİNİN İSTEHSALI </t>
  </si>
  <si>
    <t>Kosta-Rika</t>
  </si>
  <si>
    <t>SHP</t>
  </si>
  <si>
    <t>Saint Helena Pound</t>
  </si>
  <si>
    <t>11071</t>
  </si>
  <si>
    <t>MİNERAL SULAR VƏ DİGƏR SULARIN BUTULKALARDA İSTEHSALI </t>
  </si>
  <si>
    <t>Kot-Divuar</t>
  </si>
  <si>
    <t>STD</t>
  </si>
  <si>
    <t>Dobra</t>
  </si>
  <si>
    <t>11072</t>
  </si>
  <si>
    <t>DİGƏR ALKOQOLSUZ İÇKİLƏRİN İSTEHSALI </t>
  </si>
  <si>
    <t>Krismas Adaları (Avstraliya)</t>
  </si>
  <si>
    <t>SAR</t>
  </si>
  <si>
    <t>Səudiyyə Ərəbistanı rialı</t>
  </si>
  <si>
    <t>12000</t>
  </si>
  <si>
    <t>TÜTÜN MƏMULATLARININ İSTEHSALI </t>
  </si>
  <si>
    <t>Kuba</t>
  </si>
  <si>
    <t>SCR</t>
  </si>
  <si>
    <t>Seychelles Rupee</t>
  </si>
  <si>
    <t>13101</t>
  </si>
  <si>
    <t>PAMBIĞIN İLKİN EMALI </t>
  </si>
  <si>
    <t>Kuk Adası</t>
  </si>
  <si>
    <t>SLL</t>
  </si>
  <si>
    <t>Leone</t>
  </si>
  <si>
    <t>13102</t>
  </si>
  <si>
    <t>PAMBIQ PARÇA LİFİNİN ƏYİRİLMƏSİ </t>
  </si>
  <si>
    <t>Kurasao</t>
  </si>
  <si>
    <t>SGD</t>
  </si>
  <si>
    <t>Sinqapur dolları</t>
  </si>
  <si>
    <t>13103</t>
  </si>
  <si>
    <t>DARAMA MAŞININDA YUN LİFİNİN ƏYİRİLMƏSİ </t>
  </si>
  <si>
    <t>Küveyt</t>
  </si>
  <si>
    <t>SKK</t>
  </si>
  <si>
    <t>13104</t>
  </si>
  <si>
    <t>KAMVOL YUN LİFİNİN ƏYİRİLMƏSİ </t>
  </si>
  <si>
    <t>Laos Xalq Demokratik Respublikası</t>
  </si>
  <si>
    <t>VND</t>
  </si>
  <si>
    <t>Dong</t>
  </si>
  <si>
    <t>13105</t>
  </si>
  <si>
    <t>KƏTAN LİFİNİN ƏYİRİLMƏSİ </t>
  </si>
  <si>
    <t>Latviya</t>
  </si>
  <si>
    <t>SIT</t>
  </si>
  <si>
    <t>13106</t>
  </si>
  <si>
    <t>TƏBİİ İPƏK, SÜNİ VƏ SİNTETİK LİFLƏRİN HAZIRLANMASI </t>
  </si>
  <si>
    <t>Lesoto</t>
  </si>
  <si>
    <t>SOS</t>
  </si>
  <si>
    <t>Somali Shilling</t>
  </si>
  <si>
    <t>13107</t>
  </si>
  <si>
    <t>TİKİŞ SAPLARININ İSTEHSALI </t>
  </si>
  <si>
    <t>Liberiya</t>
  </si>
  <si>
    <t>ZAR</t>
  </si>
  <si>
    <t>Cənubi Afrika randı</t>
  </si>
  <si>
    <t>13108</t>
  </si>
  <si>
    <t>SAİR TOXUCULUQ LİFLƏRİNİN HAZIRLANMASI VƏ ƏYİRİLMƏSİ </t>
  </si>
  <si>
    <t>Litva</t>
  </si>
  <si>
    <t>ZWD</t>
  </si>
  <si>
    <t>13201</t>
  </si>
  <si>
    <t>PAMBIQ PARÇALARIN İSTEHSALI </t>
  </si>
  <si>
    <t>Livan</t>
  </si>
  <si>
    <t>ESP</t>
  </si>
  <si>
    <t>13202</t>
  </si>
  <si>
    <t>MAŞINLA DARANIB ƏYRİLMİŞ LİFLƏRDƏN YUN PARÇALARIN İSTEHSALI </t>
  </si>
  <si>
    <t>Liviya</t>
  </si>
  <si>
    <t>SSP</t>
  </si>
  <si>
    <t>South Sudanese Pound</t>
  </si>
  <si>
    <t>13203</t>
  </si>
  <si>
    <t>EVDƏ DARANIB ƏYRİLMİŞ LİFLƏRDƏN YUN PARÇALARIN İSTEHSALI </t>
  </si>
  <si>
    <t>Lixtenşteyn</t>
  </si>
  <si>
    <t>SDD</t>
  </si>
  <si>
    <t>13204</t>
  </si>
  <si>
    <t>İPƏK PARÇALARIN İSTEHSALI </t>
  </si>
  <si>
    <t>Lüksemburq</t>
  </si>
  <si>
    <t>SRG</t>
  </si>
  <si>
    <t>13300</t>
  </si>
  <si>
    <t>PARÇALARIN BƏZƏDİLMƏSİ </t>
  </si>
  <si>
    <t>Macarıstan</t>
  </si>
  <si>
    <t>SZL</t>
  </si>
  <si>
    <t>Lilangeni</t>
  </si>
  <si>
    <t>13910</t>
  </si>
  <si>
    <t>TOXUCULUQ KƏTANLARININ İSTEHSALI </t>
  </si>
  <si>
    <t>Madaqaskar</t>
  </si>
  <si>
    <t>SEK</t>
  </si>
  <si>
    <t>İsveç kronu</t>
  </si>
  <si>
    <t>13921</t>
  </si>
  <si>
    <t>GEYİMDƏN BAŞQA HAZIR TOXUCULUQ MƏMULATLARININ İSTEHSALI </t>
  </si>
  <si>
    <t>Malavi</t>
  </si>
  <si>
    <t>CHF</t>
  </si>
  <si>
    <t>İsveçrə frankı</t>
  </si>
  <si>
    <t>13922</t>
  </si>
  <si>
    <t>YATAQ, YEMƏK OTAĞI, TUALET VƏ MƏTBƏX AĞLARININ İSTEHSALI </t>
  </si>
  <si>
    <t>Malayziya</t>
  </si>
  <si>
    <t>SYP</t>
  </si>
  <si>
    <t>Syrian Pound</t>
  </si>
  <si>
    <t>13930</t>
  </si>
  <si>
    <t>XALÇA VƏ XALÇA MƏMULATLARININ İSTEHSALI </t>
  </si>
  <si>
    <t>Maldiv Adaları</t>
  </si>
  <si>
    <t>THB</t>
  </si>
  <si>
    <t>Baht</t>
  </si>
  <si>
    <t>13940</t>
  </si>
  <si>
    <t>KANAT (BURAZ), KƏNDİR, İP VƏ TOR İSTEHSALI </t>
  </si>
  <si>
    <t>Mali</t>
  </si>
  <si>
    <t>TOP</t>
  </si>
  <si>
    <t>Pa’anga</t>
  </si>
  <si>
    <t>13950</t>
  </si>
  <si>
    <t>TOXUNULMAYAN TOXUCULUQ MATERİALLARI VƏ ONLARDAN MƏMULATLARIN İSTEHSALI </t>
  </si>
  <si>
    <t>Malta</t>
  </si>
  <si>
    <t>TTD</t>
  </si>
  <si>
    <t>Trinidad and Tobago Dollar</t>
  </si>
  <si>
    <t>13960</t>
  </si>
  <si>
    <t>TEXNİKİ ÜSULLA HAZIRLANAN DİGƏR TOXUCULUQ MƏMULATLARININ İSTEHSALI </t>
  </si>
  <si>
    <t>Marşal Adası</t>
  </si>
  <si>
    <t>BƏƏ Dirhəmi</t>
  </si>
  <si>
    <t>13990</t>
  </si>
  <si>
    <t>DİGƏR QRUPLARA DAXİL EDİLMƏYƏN SAİR TOXUCULUQ MƏMULATLARININ İSTEHSALI </t>
  </si>
  <si>
    <t>Martinika (Fransa)</t>
  </si>
  <si>
    <t>TND</t>
  </si>
  <si>
    <t>Tunisian Dinar</t>
  </si>
  <si>
    <t>14110</t>
  </si>
  <si>
    <t>DƏRİDƏN GEYİM İSTEHSALI </t>
  </si>
  <si>
    <t>Mavrikiya</t>
  </si>
  <si>
    <t>TMM</t>
  </si>
  <si>
    <t>14120</t>
  </si>
  <si>
    <t>XÜSUSİ (İŞ) GEYİMİN İSTEHSALI </t>
  </si>
  <si>
    <t>Mavritaniya</t>
  </si>
  <si>
    <t>UGX</t>
  </si>
  <si>
    <t>Uganda Shilling</t>
  </si>
  <si>
    <t>14130</t>
  </si>
  <si>
    <t>ÜST GEYİMİN İSTEHSALI </t>
  </si>
  <si>
    <t>Meksika</t>
  </si>
  <si>
    <t>MKD</t>
  </si>
  <si>
    <t>Denar</t>
  </si>
  <si>
    <t>14140</t>
  </si>
  <si>
    <t>ALT PALTARI İSTEHSALI </t>
  </si>
  <si>
    <t>Mən Adası</t>
  </si>
  <si>
    <t>RUR</t>
  </si>
  <si>
    <t>Rusiya rubulu</t>
  </si>
  <si>
    <t>14191</t>
  </si>
  <si>
    <t>BAŞ GEYİMLƏRİNİN İSTEHSALI </t>
  </si>
  <si>
    <t>Mərakeş</t>
  </si>
  <si>
    <t>EGP</t>
  </si>
  <si>
    <t>Misir funtu</t>
  </si>
  <si>
    <t>14199</t>
  </si>
  <si>
    <t>SAİR GEYİM VƏ AKSESUARLARIN İSTEHSALI </t>
  </si>
  <si>
    <t>Mərkəzi Afrika Respublikası</t>
  </si>
  <si>
    <t>GBP</t>
  </si>
  <si>
    <t>İngilis funt sterlinqi</t>
  </si>
  <si>
    <t>14200</t>
  </si>
  <si>
    <t>XƏZ MƏMULATLARININ İSTEHSALI </t>
  </si>
  <si>
    <t>Meyot (Fransa)</t>
  </si>
  <si>
    <t>TZS</t>
  </si>
  <si>
    <t>Tanzanian Shilling</t>
  </si>
  <si>
    <t>14311</t>
  </si>
  <si>
    <t>TRİKOTAJ CORAB MƏMULATLARININ İSTEHSALI </t>
  </si>
  <si>
    <t>Mikroneziya Federativ Ştatları</t>
  </si>
  <si>
    <t>Amerika dolları</t>
  </si>
  <si>
    <t>14312</t>
  </si>
  <si>
    <t>TRİKOTAJ PULOVERLƏRİN, CEMPERLƏRİN VƏ BUNA BƏNZƏR MƏMULATLARIN İSTEHSALI </t>
  </si>
  <si>
    <t>Misir</t>
  </si>
  <si>
    <t>UYU</t>
  </si>
  <si>
    <t>Peso Uruguayo</t>
  </si>
  <si>
    <t>14390</t>
  </si>
  <si>
    <t>DİGƏR TRİKOTAJ MƏMULATLARININ İSTEHSALI </t>
  </si>
  <si>
    <t>Moldova Respublikası</t>
  </si>
  <si>
    <t>UZS</t>
  </si>
  <si>
    <t>Özbək somu</t>
  </si>
  <si>
    <t>15110</t>
  </si>
  <si>
    <t>DƏRİNİN AŞILANMASI, RƏNGLƏNMƏSİ VƏ HAZIRLANMASI </t>
  </si>
  <si>
    <t>Monako</t>
  </si>
  <si>
    <t>VEB</t>
  </si>
  <si>
    <t>15120</t>
  </si>
  <si>
    <t>DƏRİDƏN ÇAMADAN, ÇANTA VƏ DİGƏR MƏMULATLARIN İSTEHSALI </t>
  </si>
  <si>
    <t>Monqolustan</t>
  </si>
  <si>
    <t>WST</t>
  </si>
  <si>
    <t>Tala</t>
  </si>
  <si>
    <t>15201</t>
  </si>
  <si>
    <t>GÖN-DƏRİ AYAQQABILARIN İSTEHSALI </t>
  </si>
  <si>
    <t>Monserrat</t>
  </si>
  <si>
    <t>YER</t>
  </si>
  <si>
    <t>Yemeni Rial</t>
  </si>
  <si>
    <t>15202</t>
  </si>
  <si>
    <t>DİGƏR MATERİALLARDAN OLAN AYAQQABILARIN İSTEHSALI </t>
  </si>
  <si>
    <t>Monteneqro</t>
  </si>
  <si>
    <t>CSD</t>
  </si>
  <si>
    <t>16100</t>
  </si>
  <si>
    <t>TAXTA-ŞALBANIN KƏSİLMƏSİ VƏ YONULMASI, ODUNCAĞIN HOPDURULMASI </t>
  </si>
  <si>
    <t>Mozambik</t>
  </si>
  <si>
    <t>ZMK</t>
  </si>
  <si>
    <t>Zambian Kwacha</t>
  </si>
  <si>
    <t>16210</t>
  </si>
  <si>
    <t>ŞPON, FANER VƏ AĞAC LÖVHƏLƏRİN İSTEHSALI </t>
  </si>
  <si>
    <t>Müqəddəs Prestol (Vatikan)</t>
  </si>
  <si>
    <t>TWD</t>
  </si>
  <si>
    <t>New Taiwan Dollar</t>
  </si>
  <si>
    <t>16220</t>
  </si>
  <si>
    <t>YIĞMA PARKET DÖŞƏMƏLƏRİN İSTEHSALI </t>
  </si>
  <si>
    <t>Müqəddəs Yelena Adası (Birləşmiş Krallıq)</t>
  </si>
  <si>
    <t>BYN</t>
  </si>
  <si>
    <t>Belarus rublu</t>
  </si>
  <si>
    <t>16230</t>
  </si>
  <si>
    <t>AĞAC TİKİNTİ KONSTRUKSİYALARI VƏ XARRATLIQ MƏMULATLARININ İSTEHSALI </t>
  </si>
  <si>
    <t>Myanma</t>
  </si>
  <si>
    <t>TMT</t>
  </si>
  <si>
    <t>Türkmən manatı</t>
  </si>
  <si>
    <t>16240</t>
  </si>
  <si>
    <t>TAXTA TARALARIN İSTEHSALI </t>
  </si>
  <si>
    <t>Namibiya</t>
  </si>
  <si>
    <t>VEF</t>
  </si>
  <si>
    <t>Bolivar Fuerte</t>
  </si>
  <si>
    <t>16290</t>
  </si>
  <si>
    <t>AĞAC VƏ MANTARDAN, NAZİK YONQARLARDAN VƏ HÖRMƏ ÜÇÜN MATERİALLARDAN SAİR MƏMULATLARIN İSTEHSALI </t>
  </si>
  <si>
    <t>Nauru</t>
  </si>
  <si>
    <t>SDG</t>
  </si>
  <si>
    <t>Sudanese Pound</t>
  </si>
  <si>
    <t>17110</t>
  </si>
  <si>
    <t>KAĞIZ KÜTLƏSİ (SELLÜLOZ ) İSTEHSALI </t>
  </si>
  <si>
    <t>Nepal</t>
  </si>
  <si>
    <t>RSD</t>
  </si>
  <si>
    <t>Serbiya dinarı</t>
  </si>
  <si>
    <t>17120</t>
  </si>
  <si>
    <t>KAĞIZ VƏ KARTON İSTEHSALI </t>
  </si>
  <si>
    <t>Niderland</t>
  </si>
  <si>
    <t>AZN</t>
  </si>
  <si>
    <t>Milli valyuta</t>
  </si>
  <si>
    <t>17210</t>
  </si>
  <si>
    <t>BÜZMƏLƏNMİŞ KARTON VƏ KAĞIZ, KARTON VƏ KAĞIZ TARALARIN İSTEHSALI </t>
  </si>
  <si>
    <t>Niderland Antil Adaları</t>
  </si>
  <si>
    <t>RON</t>
  </si>
  <si>
    <t>Rumıniya levi</t>
  </si>
  <si>
    <t>17220</t>
  </si>
  <si>
    <t>TƏSƏRRÜFAT-MƏİŞƏT VƏ SANİTAR-GİGİYENİYA TƏYİNATLI KAĞIZ MƏMULATLARININ İSTEHSALI </t>
  </si>
  <si>
    <t>Niger</t>
  </si>
  <si>
    <t>TRY</t>
  </si>
  <si>
    <t>Turkish Lira</t>
  </si>
  <si>
    <t>17230</t>
  </si>
  <si>
    <t>DƏFTƏRXANA, KAĞIZ MƏMULATLARININ İSTEHSALI </t>
  </si>
  <si>
    <t>Nigeriya</t>
  </si>
  <si>
    <t>XAF</t>
  </si>
  <si>
    <t>CFA Franc BEAC</t>
  </si>
  <si>
    <t>17240</t>
  </si>
  <si>
    <t>DİVAR KAĞIZLARININ İSTEHSALI </t>
  </si>
  <si>
    <t>Nikaraqua</t>
  </si>
  <si>
    <t>XCD</t>
  </si>
  <si>
    <t>East Caribbean Dollar</t>
  </si>
  <si>
    <t>17290</t>
  </si>
  <si>
    <t>KAĞIZ VƏ KARTONDAN SAİR MƏMULATLARIN İSTEHSALI </t>
  </si>
  <si>
    <t>Niue</t>
  </si>
  <si>
    <t>XOF</t>
  </si>
  <si>
    <t>CFA Franc BCEAO</t>
  </si>
  <si>
    <t>18110</t>
  </si>
  <si>
    <t>QƏZETLƏRİN ÇAP EDİLMƏSİ </t>
  </si>
  <si>
    <t>Norfolk Adası (Avstraliya)</t>
  </si>
  <si>
    <t>XPF</t>
  </si>
  <si>
    <t>CFP Franc</t>
  </si>
  <si>
    <t>18121</t>
  </si>
  <si>
    <t>DİGƏR POLİQRAFİYA MƏHSULLARININ (QƏZETLƏRDƏN ƏLAVƏ) ÇAP EDİLMƏSİ </t>
  </si>
  <si>
    <t>Normand Adaları</t>
  </si>
  <si>
    <t>XAU</t>
  </si>
  <si>
    <t>Qızıl</t>
  </si>
  <si>
    <t>18122</t>
  </si>
  <si>
    <t>ÇAP İŞLƏRİNİN YERİNƏ YETİRİLMƏSİ İLƏ ƏLAQƏDAR XİDMƏTLƏR </t>
  </si>
  <si>
    <t>Norveç</t>
  </si>
  <si>
    <t>XAG</t>
  </si>
  <si>
    <t>Gümüş</t>
  </si>
  <si>
    <t>18123</t>
  </si>
  <si>
    <t>BÜTÜN NÖV QİYMƏTLİ KAĞIZ BLANKLARININ HAZIRLANMASI VƏ SATIŞI ÜZRƏ FƏALİYYƏT </t>
  </si>
  <si>
    <t>Ölkə Təyin Olunmayıb</t>
  </si>
  <si>
    <t>XPD</t>
  </si>
  <si>
    <t>Palladium</t>
  </si>
  <si>
    <t>18124</t>
  </si>
  <si>
    <t>CİDDİ HESABAT BLANKLARININ HAZIRLANMASI </t>
  </si>
  <si>
    <t>Oman</t>
  </si>
  <si>
    <t>AFN</t>
  </si>
  <si>
    <t>Əfqanıstan əfqanisi</t>
  </si>
  <si>
    <t>18130</t>
  </si>
  <si>
    <t>ÇAP İŞLƏRİNİN HAZIRLANMASI </t>
  </si>
  <si>
    <t>OPEC Fondu</t>
  </si>
  <si>
    <t>TJS</t>
  </si>
  <si>
    <t>Somoni</t>
  </si>
  <si>
    <t>18140</t>
  </si>
  <si>
    <t>CİLDLƏMƏ VƏ BƏZƏK İŞLƏRİ </t>
  </si>
  <si>
    <t>Özbəkistan</t>
  </si>
  <si>
    <t>AOA</t>
  </si>
  <si>
    <t>Anqola kvanzası</t>
  </si>
  <si>
    <t>18201</t>
  </si>
  <si>
    <t>SƏS YAZILARININ SURƏTİNİN ÇIXARILMASI </t>
  </si>
  <si>
    <t>Pakistan</t>
  </si>
  <si>
    <t>BYR</t>
  </si>
  <si>
    <t>18202</t>
  </si>
  <si>
    <t>VİDEOYAZILARIN SURƏTİNİN ÇIXARILMASI </t>
  </si>
  <si>
    <t>Palau</t>
  </si>
  <si>
    <t>BGN</t>
  </si>
  <si>
    <t xml:space="preserve">Bolqarıstan lev </t>
  </si>
  <si>
    <t>18203</t>
  </si>
  <si>
    <t>MAŞIN DAŞIYICILARININ MƏLUMATLARININ SURƏTİNİN ÇIXARILMASI </t>
  </si>
  <si>
    <t>Panama</t>
  </si>
  <si>
    <t>CDF</t>
  </si>
  <si>
    <t>Congolese Franc</t>
  </si>
  <si>
    <t>19100</t>
  </si>
  <si>
    <t>KOKS İSTEHSALI </t>
  </si>
  <si>
    <t>Papua-Yeni Qvineya</t>
  </si>
  <si>
    <t>BAM</t>
  </si>
  <si>
    <t>Convertible Mark</t>
  </si>
  <si>
    <t>19200</t>
  </si>
  <si>
    <t>TƏMİZLƏNMİŞ NEFT MƏHSULLARININ İSTEHSALI, O CÜMLƏDƏN NEFT MƏHSULLARINDAN BRİKETLƏR </t>
  </si>
  <si>
    <t>Paraqvay</t>
  </si>
  <si>
    <t>Avro</t>
  </si>
  <si>
    <t>20110</t>
  </si>
  <si>
    <t>SƏNAYE QAZLARININ İSTEHSALI </t>
  </si>
  <si>
    <t>Parlamentlərarası Assambleya</t>
  </si>
  <si>
    <t>MXV</t>
  </si>
  <si>
    <t>Mexican Unidad de Inversion (UDI)</t>
  </si>
  <si>
    <t>20120</t>
  </si>
  <si>
    <t>BOYAQ MADDƏLƏRİ VƏ PİQMENTLƏRİN İSTEHSALI </t>
  </si>
  <si>
    <t>Peru</t>
  </si>
  <si>
    <t>UAH</t>
  </si>
  <si>
    <t>Hryvnia</t>
  </si>
  <si>
    <t>20130</t>
  </si>
  <si>
    <t>SAİR ƏSAS QEYRİ-ÜZVİ KİMYƏVİ MADDƏLƏRİN İSTEHSALI </t>
  </si>
  <si>
    <t>Pitkern (Birləşmiş Krallıq)</t>
  </si>
  <si>
    <t>GEL</t>
  </si>
  <si>
    <t>Gürcü larisi</t>
  </si>
  <si>
    <t>20140</t>
  </si>
  <si>
    <t>SAİR ƏSAS ÜZVİ KİMYƏVİ MADDƏLƏRİN İSTEHSALI </t>
  </si>
  <si>
    <t>Polşa</t>
  </si>
  <si>
    <t>PLN</t>
  </si>
  <si>
    <t>Polşa zlotası</t>
  </si>
  <si>
    <t>20150</t>
  </si>
  <si>
    <t>GÜBRƏ VƏ AZOT BİRLƏŞMƏLƏRİNİN İSTEHSALI </t>
  </si>
  <si>
    <t>Portuqaliya</t>
  </si>
  <si>
    <t>BRL</t>
  </si>
  <si>
    <t>Braziliya rialı</t>
  </si>
  <si>
    <t>20160</t>
  </si>
  <si>
    <t>İLKİN FORMALARDA PLASTİK KÜTLƏ İSTEHSALI </t>
  </si>
  <si>
    <t>Puerto-Riko (ABŞ)</t>
  </si>
  <si>
    <t>USN</t>
  </si>
  <si>
    <t>US Dollar (Next day)</t>
  </si>
  <si>
    <t>20170</t>
  </si>
  <si>
    <t>İLKİN FORMADA SİNTETİK KAUÇUK İSTEHSALI </t>
  </si>
  <si>
    <t>Qabon</t>
  </si>
  <si>
    <t>USS</t>
  </si>
  <si>
    <t>US Dollar (Same day)</t>
  </si>
  <si>
    <t>20200</t>
  </si>
  <si>
    <t>AQROKİMYƏVİ MƏHSULLARIN İSTEHSALI </t>
  </si>
  <si>
    <t>Qambiya</t>
  </si>
  <si>
    <t>20300</t>
  </si>
  <si>
    <t>BOYA, LAK VƏ BUNA BƏNZƏR ÖRTÜKLƏRİN, MƏTBƏƏ BOYALARININ VƏ MASTİKALARIN İSTEHSALI </t>
  </si>
  <si>
    <t>Qana</t>
  </si>
  <si>
    <t>20410</t>
  </si>
  <si>
    <t>SABUN VƏ YUYUCU TOZLARIN, TƏMİZLƏYİCİ VƏ CİLALAYICI VASİTƏLƏRİN İSTEHSALI </t>
  </si>
  <si>
    <t>Qara Dəniz Ticarət Və İnkişaf Bankı</t>
  </si>
  <si>
    <t>20420</t>
  </si>
  <si>
    <t>ƏTRİYYAT VƏ KOSMETİKA VASİTƏLƏRİNİN İSTEHSALI </t>
  </si>
  <si>
    <t>Qayana</t>
  </si>
  <si>
    <t>20510</t>
  </si>
  <si>
    <t>PARTLAYICI MADDƏLƏRİN İSTEHSALI </t>
  </si>
  <si>
    <t>Qazaxıstan</t>
  </si>
  <si>
    <t>20520</t>
  </si>
  <si>
    <t>YAPIŞQAN İSTEHSALI </t>
  </si>
  <si>
    <t>Qəmər Adaları</t>
  </si>
  <si>
    <t>20530</t>
  </si>
  <si>
    <t>EFİR YAĞLARININ İSTEHSALI </t>
  </si>
  <si>
    <t>Qərb Sahili Və Qəzza Sektoru</t>
  </si>
  <si>
    <t>20591</t>
  </si>
  <si>
    <t>FOTOMATERİALLARIN İSTEHSALI </t>
  </si>
  <si>
    <t>Qərbi Sahara</t>
  </si>
  <si>
    <t>20599</t>
  </si>
  <si>
    <t>DİGƏR QRUPLARA DAXİL EDİLMƏMİŞ SAİR KİMYƏVİ MƏHSULLARIN İSTEHSALI </t>
  </si>
  <si>
    <t>Qətər</t>
  </si>
  <si>
    <t>20600</t>
  </si>
  <si>
    <t>SÜNİ VƏ SİNTETİK KİMYƏVİ LİFLƏRİN İSTEHSALI </t>
  </si>
  <si>
    <t>Qırğızıstan</t>
  </si>
  <si>
    <t>21100</t>
  </si>
  <si>
    <t>ƏSAS ƏCZAÇILIQ MƏHSULLARININ İSTEHSALI </t>
  </si>
  <si>
    <t>Qrenada</t>
  </si>
  <si>
    <t>21200</t>
  </si>
  <si>
    <t>ƏCZAÇILIQ PREPARATLARININ VƏ MATERİALLARININ İSTEHSALI </t>
  </si>
  <si>
    <t>Qrenlandiya</t>
  </si>
  <si>
    <t>22110</t>
  </si>
  <si>
    <t>REZİN ŞİN TƏKƏR VƏ KAMERALARIN İSTEHSALI VƏ BƏRPASI </t>
  </si>
  <si>
    <t>Quam (ABŞ)</t>
  </si>
  <si>
    <t>22191</t>
  </si>
  <si>
    <t>REZİNDƏN SƏNAYE TƏYİNATLI MƏHSULLARIN VƏ YARIMFABRİKATLARIN İSTEHSALI </t>
  </si>
  <si>
    <t>Qvadelupa (Fransa)</t>
  </si>
  <si>
    <t>22192</t>
  </si>
  <si>
    <t>REZİN MƏMULATLARIN İSTEHSALI </t>
  </si>
  <si>
    <t>Qvatemala</t>
  </si>
  <si>
    <t>22193</t>
  </si>
  <si>
    <t>MÜXTƏLİF NÖV MÖHÜRLƏRİN VƏ ŞTAMPLARIN HAZIRLANMASI </t>
  </si>
  <si>
    <t>Qvineya</t>
  </si>
  <si>
    <t>22210</t>
  </si>
  <si>
    <t>PLASTİK LÖVHƏLƏRİN, ZOLAQLARIN, BORULARIN, PROFİLLƏRİN İSTEHSALI </t>
  </si>
  <si>
    <t>Qvineya-Bissau</t>
  </si>
  <si>
    <t>22220</t>
  </si>
  <si>
    <t>ƏMTƏƏLƏRİN QABLAŞDIRILMASI ÜÇÜN PLASTİK MƏMULATLARIN İSTEHSALI </t>
  </si>
  <si>
    <t>Reyunyon (Fransa)</t>
  </si>
  <si>
    <t>22230</t>
  </si>
  <si>
    <t>TİKİNTİDƏ İSTİFADƏ EDİLƏN PLASTİK KÜTLƏDƏN MƏMULATLARIN İSTEHSALI </t>
  </si>
  <si>
    <t>Ruanda</t>
  </si>
  <si>
    <t>22290</t>
  </si>
  <si>
    <t>SAİR PLASTİK MƏMULATLARIN İSTEHSALI </t>
  </si>
  <si>
    <t>Rumıniya</t>
  </si>
  <si>
    <t>23110</t>
  </si>
  <si>
    <t>ŞÜŞƏ TƏBƏQƏSİNİN İSTEHSALI </t>
  </si>
  <si>
    <t>Rusiya Federasiyası</t>
  </si>
  <si>
    <t>23120</t>
  </si>
  <si>
    <t>ŞÜŞƏ TƏBƏQƏSİNİN FORMALAŞDIRILMASI VƏ EMALI </t>
  </si>
  <si>
    <t>Salvador</t>
  </si>
  <si>
    <t>23130</t>
  </si>
  <si>
    <t>İÇİBOŞ ŞÜŞƏ MƏMULATLARININ İSTEHSALI </t>
  </si>
  <si>
    <t>Samoa</t>
  </si>
  <si>
    <t>23140</t>
  </si>
  <si>
    <t>ŞÜŞƏ LİFİN İSTEHSALI </t>
  </si>
  <si>
    <t>San-Marino</t>
  </si>
  <si>
    <t>23190</t>
  </si>
  <si>
    <t>TEXNİKİ ŞÜŞƏ MƏMULATLARI DAXİL OLMAQLA SAİR ŞÜŞƏ MƏMULATLARIN İSTEHSALI VƏ EMALI </t>
  </si>
  <si>
    <t>San-Tome Və Prinsipi</t>
  </si>
  <si>
    <t>23200</t>
  </si>
  <si>
    <t>ODADAVAMLI MƏMULATLARIN İSTEHSALI </t>
  </si>
  <si>
    <t>Seneqal</t>
  </si>
  <si>
    <t>23310</t>
  </si>
  <si>
    <t>SAXSI LÖVHƏCİKLƏRİN VƏ LÖVHƏLƏRİN İSTEHSALI </t>
  </si>
  <si>
    <t>Sen-Pyer Və Mikelon (Fransa)</t>
  </si>
  <si>
    <t>23320</t>
  </si>
  <si>
    <t>KƏRPİC, KİRƏMİT VƏ YANDIRILMIŞ GİLDƏN SAİR TİKİNTİ MƏMULATLARININ İSTEHSALI </t>
  </si>
  <si>
    <t>Sent-Bartelemi (Fransa)</t>
  </si>
  <si>
    <t>23410</t>
  </si>
  <si>
    <t>TƏSƏRRÜFAT VƏ DEKORATİV SAXSI MƏMULATLARIN IN İSTEHSALI </t>
  </si>
  <si>
    <t>Sent-Kits Və Nevis</t>
  </si>
  <si>
    <t>23420</t>
  </si>
  <si>
    <t>SAXSI SANİTAR -TEXNİKİ MƏMULATLARIN İSTEHSALI </t>
  </si>
  <si>
    <t>Sent-Lusiya</t>
  </si>
  <si>
    <t>23430</t>
  </si>
  <si>
    <t>SAXSI İZOLYATORLARIN VƏ SAXSI İZOLYASİYA ARMATURUNUN İSTEHSALI </t>
  </si>
  <si>
    <t>Sent-Vinsent Və Qrenadin</t>
  </si>
  <si>
    <t>23440</t>
  </si>
  <si>
    <t>SAİR TEXNİKİ SAXSI MƏMULATLARIN İSTEHSALI </t>
  </si>
  <si>
    <t>Serbiya</t>
  </si>
  <si>
    <t>23490</t>
  </si>
  <si>
    <t>SAİR SAXSI MƏMULATLARIN İSTEHSALI </t>
  </si>
  <si>
    <t>Sərqi Timor</t>
  </si>
  <si>
    <t>23510</t>
  </si>
  <si>
    <t>SEMENT İSTEHSALI </t>
  </si>
  <si>
    <t>Səudiyyə Ərəbistanı</t>
  </si>
  <si>
    <t>23520</t>
  </si>
  <si>
    <t>ƏHƏNG VƏ GİPS İSTEHSALI </t>
  </si>
  <si>
    <t>Seyşel Adaları</t>
  </si>
  <si>
    <t>23610</t>
  </si>
  <si>
    <t>TİKİNTİDƏ İSTİFADƏ ETMƏK ÜÇÜN BETONDAN MƏMULATLARIN İSTEHSALI </t>
  </si>
  <si>
    <t>Şimali Maryana Adası</t>
  </si>
  <si>
    <t>23620</t>
  </si>
  <si>
    <t>TİKİNTİDƏ İSTİFADƏ ETMƏK ÜÇÜN GİPS MƏMULATLARININ İSTEHSALI </t>
  </si>
  <si>
    <t>Sinqapur</t>
  </si>
  <si>
    <t>23630</t>
  </si>
  <si>
    <t>ƏMTƏƏ BETONUNUN İSTEHSALI (HAZIR BETON QARIŞIĞI) </t>
  </si>
  <si>
    <t>Sint-Marten (Fransa)</t>
  </si>
  <si>
    <t>23640</t>
  </si>
  <si>
    <t>QURU BETON QATIŞIĞININ İSTEHSALI </t>
  </si>
  <si>
    <t>Sint-Marten (Niderland)</t>
  </si>
  <si>
    <t>23650</t>
  </si>
  <si>
    <t>LİFLİ SEMENTDƏN (AZBESTSEMENTDƏN) MƏMULATLARIN İSTEHSALI </t>
  </si>
  <si>
    <t>Slovakiya</t>
  </si>
  <si>
    <t>23690</t>
  </si>
  <si>
    <t>BETON, GİPS VƏ SEMENTDƏN SAİR MƏMULATLARIN İSTEHSALI </t>
  </si>
  <si>
    <t>Sloveniya</t>
  </si>
  <si>
    <t>23700</t>
  </si>
  <si>
    <t>DEKORATİV VƏ TİKİNTİ DAŞLARININ KƏSİLMƏSİ, EMALI VƏ NAXIŞLANMASI </t>
  </si>
  <si>
    <t>Solomon Adası</t>
  </si>
  <si>
    <t>23910</t>
  </si>
  <si>
    <t>ABRAZİV MƏMULATLARIN İSTEHSALI </t>
  </si>
  <si>
    <t>Somali</t>
  </si>
  <si>
    <t>23990</t>
  </si>
  <si>
    <t>DİGƏR QRUPLARA DAXİL EDİLMƏYƏN SAİR QEYRİ-METAL MİNERAL MƏHSULLARIN İSTEHSALI </t>
  </si>
  <si>
    <t>Spisbergen Və Yan Mayen (Norveç)</t>
  </si>
  <si>
    <t>24100</t>
  </si>
  <si>
    <t>ÇUQUN, POLAD VƏ FERROƏRİNTİ İSTEHSALI </t>
  </si>
  <si>
    <t>Şri-Lanka</t>
  </si>
  <si>
    <t>24200</t>
  </si>
  <si>
    <t>POLADDAN BORU, İÇİ BOŞ PROFİLLƏR VƏ BİRLƏŞDİRİCİ HİSSƏLƏRİN İSTEHSALI </t>
  </si>
  <si>
    <t>Sudan</t>
  </si>
  <si>
    <t>24310</t>
  </si>
  <si>
    <t>SOYUQ DARTMA </t>
  </si>
  <si>
    <t>Surinam</t>
  </si>
  <si>
    <t>24320</t>
  </si>
  <si>
    <t>ENSİZ ZOLAQLARIN VƏ LENTLƏRİN SOYUQ YAYILMASI </t>
  </si>
  <si>
    <t>Suriya Ərəb Respublikası</t>
  </si>
  <si>
    <t>24330</t>
  </si>
  <si>
    <t>MƏHSULLARIN SOYUQ ŞƏKİLDƏ ŞTAMPLANMASI VƏ ƏYİLMƏSİ </t>
  </si>
  <si>
    <t>Svazilend</t>
  </si>
  <si>
    <t>24340</t>
  </si>
  <si>
    <t>MƏFTİL İSTEHSALI </t>
  </si>
  <si>
    <t>Syerra- Leone</t>
  </si>
  <si>
    <t>24410</t>
  </si>
  <si>
    <t>NƏCİB (QİYMƏTLİ) METALLARIN İSTEHSALI </t>
  </si>
  <si>
    <t>Tacikistan</t>
  </si>
  <si>
    <t>24420</t>
  </si>
  <si>
    <t>ALÜMİNİUM İSTEHSALI </t>
  </si>
  <si>
    <t>Tailand</t>
  </si>
  <si>
    <t>24430</t>
  </si>
  <si>
    <t>QURĞUŞUN, SİNK VƏ QALAY İSTEHSALI </t>
  </si>
  <si>
    <t>Tayvan</t>
  </si>
  <si>
    <t>24440</t>
  </si>
  <si>
    <t>MİS İSTEHSALI </t>
  </si>
  <si>
    <t>Tokelau (Yeni Zelandiya)</t>
  </si>
  <si>
    <t>24450</t>
  </si>
  <si>
    <t>SAİR ƏLVAN METALLARIN İSTEHSALI </t>
  </si>
  <si>
    <t>Tonqa</t>
  </si>
  <si>
    <t>24460</t>
  </si>
  <si>
    <t>NÜVƏ YANACAĞININ EMALI </t>
  </si>
  <si>
    <t>Toqo</t>
  </si>
  <si>
    <t>24510</t>
  </si>
  <si>
    <t>ÇUQUN TÖKMƏ </t>
  </si>
  <si>
    <t>Trinidad Və Tobaqo</t>
  </si>
  <si>
    <t>24520</t>
  </si>
  <si>
    <t>POLAD TÖKMƏ </t>
  </si>
  <si>
    <t>Tunis</t>
  </si>
  <si>
    <t>24530</t>
  </si>
  <si>
    <t>YÜNGÜL METALLARIN TÖKÜLMƏSİ </t>
  </si>
  <si>
    <t>Türk Eksimbankı</t>
  </si>
  <si>
    <t>24540</t>
  </si>
  <si>
    <t>SAİR ƏLVAN METALLARIN TÖKÜLMƏSİ </t>
  </si>
  <si>
    <t>Türk Və Kaykos Adaları</t>
  </si>
  <si>
    <t>25110</t>
  </si>
  <si>
    <t>METALDAN TİKİNTİ KONSTRUKSİYALARI VƏ ONLARIN HİSSƏLƏRİNİN İSTEHSALI </t>
  </si>
  <si>
    <t>Türkiyə</t>
  </si>
  <si>
    <t>25120</t>
  </si>
  <si>
    <t>METAL QAPI VƏ PƏNCƏRƏLƏRİN İSTEHSALI </t>
  </si>
  <si>
    <t>25210</t>
  </si>
  <si>
    <t>MƏRKƏZİ İSTİLİK RADİATORLARININ VƏ QAZANLARININ İSTEHSALI </t>
  </si>
  <si>
    <t>Tuvalu</t>
  </si>
  <si>
    <t>25290</t>
  </si>
  <si>
    <t>METALDAN SAİR SİSTERNLƏRİN, ÇƏNLƏRİN VƏ KONTEYNERLƏRİN İSTEHSALI </t>
  </si>
  <si>
    <t>Ukrayna</t>
  </si>
  <si>
    <t>25300</t>
  </si>
  <si>
    <t>MƏRKƏZİ İSTİLİK QAZANLARINDAN BAŞQA BUXAR QAZANLARININ İSTEHSALI </t>
  </si>
  <si>
    <t>Uqanda</t>
  </si>
  <si>
    <t>25400</t>
  </si>
  <si>
    <t>SİLAH VƏ HƏRBİ SURSAT İSTEHSALI </t>
  </si>
  <si>
    <t>Uruqvay</t>
  </si>
  <si>
    <t>25500</t>
  </si>
  <si>
    <t>METALIN DÖYÜLMƏSİ, PRESLƏNMƏSİ, ŞTAMPLANMASI VƏ PROFİLLƏNMƏSİ, TOZ METALLURGİYASI </t>
  </si>
  <si>
    <t>Vanuatu</t>
  </si>
  <si>
    <t>25610</t>
  </si>
  <si>
    <t>METALLARIN EMALI VƏ METALLARA ÖRTÜK ÇƏKİLMƏSİ </t>
  </si>
  <si>
    <t>Venesuela</t>
  </si>
  <si>
    <t>25620</t>
  </si>
  <si>
    <t>MAŞINQAYIRMANIN ƏSAS TEXNOLOJİ PROSESLƏRİ </t>
  </si>
  <si>
    <t>Virgin Adaları (ABŞ)</t>
  </si>
  <si>
    <t>25710</t>
  </si>
  <si>
    <t>BIÇAQ MƏMULATLARININ İSTEHSALI </t>
  </si>
  <si>
    <t>Virgin Adaları (Britaniya)</t>
  </si>
  <si>
    <t>25720</t>
  </si>
  <si>
    <t>QIFIL VƏ HƏNCAMA İSTEHSALI </t>
  </si>
  <si>
    <t>Vollis Və Futuna Adaları (Fransa)</t>
  </si>
  <si>
    <t>25730</t>
  </si>
  <si>
    <t>ALƏTLƏRİN İSTEHSALI </t>
  </si>
  <si>
    <t>Vyetnam</t>
  </si>
  <si>
    <t>25910</t>
  </si>
  <si>
    <t>METAL ÇƏLLƏKLƏRİN VƏ BUNA BƏNZƏR TUTUMLULARIN İSTEHSALI </t>
  </si>
  <si>
    <t>Xarici Kiçik Adalar (ABŞ)</t>
  </si>
  <si>
    <t>25920</t>
  </si>
  <si>
    <t>YÜNGÜL METALLARDAN QABLAŞDIRMA MATERİALLARININ İSTEHSALI </t>
  </si>
  <si>
    <t>Xorvatiya</t>
  </si>
  <si>
    <t>25930</t>
  </si>
  <si>
    <t>MƏFTİL MƏMULATLARININ İSTEHSALI </t>
  </si>
  <si>
    <t>Yamayka</t>
  </si>
  <si>
    <t>25940</t>
  </si>
  <si>
    <t>BƏRKİDİCİ MƏMULATLARIN, ZƏNCİRLƏRİN VƏ YAYLARIN İSTEHSALI </t>
  </si>
  <si>
    <t>Yaponiya</t>
  </si>
  <si>
    <t>25990</t>
  </si>
  <si>
    <t>SAİR HAZIR METAL MƏMULATLARININ İSTEHSALI </t>
  </si>
  <si>
    <t>Yaponiya Beynəlxalq Əməkdaşlıq Bankı</t>
  </si>
  <si>
    <t>26110</t>
  </si>
  <si>
    <t>ELEKTRON DETALLARININ İSTEHSALI </t>
  </si>
  <si>
    <t>Yəmən</t>
  </si>
  <si>
    <t>26120</t>
  </si>
  <si>
    <t>ELEKTRON PLATALARININ İSTEHSALI </t>
  </si>
  <si>
    <t>Yeni Kaledoniya</t>
  </si>
  <si>
    <t>26200</t>
  </si>
  <si>
    <t>KOMPYUTERLƏRİN VƏ PERİFERİYA QURĞULARININ İSTEHSALI </t>
  </si>
  <si>
    <t>Yeni Zelandiya</t>
  </si>
  <si>
    <t>26301</t>
  </si>
  <si>
    <t>ELEKTRO VƏ RADİOELEMENTLƏRİN İSTEHSALI </t>
  </si>
  <si>
    <t>Yunanıstan</t>
  </si>
  <si>
    <t>26302</t>
  </si>
  <si>
    <t>ÖTÜRÜCÜ CİHAZLARIN İSTEHSALI </t>
  </si>
  <si>
    <t>YUNESKO</t>
  </si>
  <si>
    <t>26303</t>
  </si>
  <si>
    <t>SƏSİ VƏ TƏSVİRİ QƏBUL ETMƏK, YAZMAQ VƏ GÖSTƏRMƏK ÜÇÜN CİHAZLARIN İSTEHSALI </t>
  </si>
  <si>
    <t>Zambiya</t>
  </si>
  <si>
    <t>26304</t>
  </si>
  <si>
    <t>ƏMƏLİYYAT-AXTARIŞ FƏALİYYƏTİNİN HƏYATA KEÇİRİLMƏSİNƏ MÜVƏKKİL EDİLMƏMİŞ HÜQUQİ VƏ FİZİKİ ŞƏXSLƏR TƏRƏFİNDƏN QEYRİ-LEQAL YOLLA İNFORMASİYA ALINMASI ÜÇÜN NƏZƏRDƏ TUTULMUŞ TEXNİKİ VASİTƏLƏRİN İŞLƏNİLMƏSİ, İSTEHSALI </t>
  </si>
  <si>
    <t>Zimbabve</t>
  </si>
  <si>
    <t>26400</t>
  </si>
  <si>
    <t>MƏİŞƏT ELEKTRON AVADANLIQLARININ İSTEHSALI </t>
  </si>
  <si>
    <t>26510</t>
  </si>
  <si>
    <t>NƏZARƏT-ÖLÇÜ CİHAZLARININ İSTEHSALI </t>
  </si>
  <si>
    <t>26520</t>
  </si>
  <si>
    <t>BÜTÜN NÖVLƏRDƏN OLAN SAATLARIN İSTEHSALI </t>
  </si>
  <si>
    <t>26600</t>
  </si>
  <si>
    <t>ŞÜALANDIRMA, ELEKTRİK TİBB VƏ ELEKTROTERAPİYA AVADANLIQLARI </t>
  </si>
  <si>
    <t>26700</t>
  </si>
  <si>
    <t>OPTİK CİHAZLARIN VƏ FOTOAVADANLIQLARIN İSTEHSALI </t>
  </si>
  <si>
    <t>26800</t>
  </si>
  <si>
    <t>MAQNİT VƏ OPTİK DAŞIYICILARIN İSTEHSALI </t>
  </si>
  <si>
    <t>27111</t>
  </si>
  <si>
    <t>ELEKTRİK MÜHƏRRİKLƏRİNİN, GENERATORLARININ VƏ TRANSFORMATORLARIN İSTEHSALI </t>
  </si>
  <si>
    <t>27112</t>
  </si>
  <si>
    <t>ELEKTRİK MÜHƏRRİKLƏRİNİN, GENERATORLARININ VƏ TRANSFORMATORLARININ TƏMİRİ </t>
  </si>
  <si>
    <t>27120</t>
  </si>
  <si>
    <t>ELEKTRİK PAYLAYICI VƏ TƏNZİMLƏYİCİ CİHAZLARININ İSTEHSALI </t>
  </si>
  <si>
    <t>27200</t>
  </si>
  <si>
    <t>BATAREYALARIN VƏ AKKUMULYATORLARIN İSTEHSALI </t>
  </si>
  <si>
    <t>27310</t>
  </si>
  <si>
    <t>OPTİK LİFLƏRDƏN KABEL İSTEHSALI </t>
  </si>
  <si>
    <t>27320</t>
  </si>
  <si>
    <t>DİGƏR ELEKTRON VƏ ELEKTRİK NAQİLLƏRİNİN VƏ KABELLƏRİN İSTEHSALI </t>
  </si>
  <si>
    <t>27330</t>
  </si>
  <si>
    <t>ELEKTRİK ŞƏBƏKƏLƏRİ ÜÇÜN CİHAZLARIN İSTEHSALI </t>
  </si>
  <si>
    <t>27400</t>
  </si>
  <si>
    <t>ELEKTRİK LAMPALARI VƏ İŞIQLANDIRICI AVADANLIQLARIN İSTEHSALI </t>
  </si>
  <si>
    <t>27511</t>
  </si>
  <si>
    <t>ELEKTRİK MƏİŞƏT CİHAZLARININ İSTEHSALI </t>
  </si>
  <si>
    <t>27512</t>
  </si>
  <si>
    <t>ELEKTRİK QIZDIRICI MƏİŞƏT CİHAZLARININ İSTEHSALI </t>
  </si>
  <si>
    <t>27520</t>
  </si>
  <si>
    <t>QEYRİ-ELEKTRİK MƏİŞƏT CİHAZLARININ İSTEHSALI </t>
  </si>
  <si>
    <t>27900</t>
  </si>
  <si>
    <t>SAİR ELEKTRİK AVADANLIQLARININ İSTEHSALI </t>
  </si>
  <si>
    <t>28110</t>
  </si>
  <si>
    <t>TƏYYARƏ, AVTOMOBİL VƏ MOTOSİKLET MÜHƏRRİKLƏRİNDƏN BAŞQA, MÜHƏRRİKLƏRİN VƏ TURBİNLƏRİN İSTEHSALI </t>
  </si>
  <si>
    <t>28120</t>
  </si>
  <si>
    <t>HİDRAVLİK VƏ PNEVMATİK SİSTEMLƏRİN İSTEHSALI </t>
  </si>
  <si>
    <t>28130</t>
  </si>
  <si>
    <t>NASOS VƏ KOMPRESSORLARIN İSTEHSALI </t>
  </si>
  <si>
    <t>28140</t>
  </si>
  <si>
    <t>KRAN VƏ KLAPANLARIN İSTEHSALI </t>
  </si>
  <si>
    <t>28150</t>
  </si>
  <si>
    <t>ÖTÜRÜCÜLƏRİN VƏ MEXANİKİ ÖTÜRÜCÜ ELEMENTLƏRİN, DİŞLİ ÖTÜRÜCÜLƏRİN VƏ YASTIQLARIN İSTEHSALI </t>
  </si>
  <si>
    <t>28210</t>
  </si>
  <si>
    <t>SOBALAR VƏ SOBA ODLUQLARININ İSTEHSALI </t>
  </si>
  <si>
    <t>28220</t>
  </si>
  <si>
    <t>QALDIRICI NƏQLİYYAT AVADANLIĞININ İSTEHSALI </t>
  </si>
  <si>
    <t>28230</t>
  </si>
  <si>
    <t>KOMPYUTER VƏ PEREFERİYA AVADANLIQLARINDAN BAŞQA OFİS AVADANLIQLARININ İSTEHSALI </t>
  </si>
  <si>
    <t>28240</t>
  </si>
  <si>
    <t>MEXANİKİ ÖTÜRÜCÜLÜ CİHAZLARIN İSTEHSALI </t>
  </si>
  <si>
    <t>28250</t>
  </si>
  <si>
    <t>QEYRİ-MƏİŞƏT SOYUDUCULARI VƏ VENTİLYASİYA AVADANLIQLARININ İSTEHSALI  </t>
  </si>
  <si>
    <t>28290</t>
  </si>
  <si>
    <t>DİGƏR QRUPLARA DAXİL EDİLMƏYƏN ÜMUMİ TƏYİNATLI SAİR MAŞIN VƏ AVADANLIQLARIN İSTEHSALI </t>
  </si>
  <si>
    <t>28301</t>
  </si>
  <si>
    <t>KƏND VƏ MEŞƏ TƏSƏRRÜFATI TRAKTORLARININ VƏ ONLARA HİSSƏLƏRİN İSTEHSALI  </t>
  </si>
  <si>
    <t>28302</t>
  </si>
  <si>
    <t>KƏND TƏSƏRRÜFATI VƏ MEŞƏ TƏSƏRRÜFATI TRAKTORLARININ TƏMİRİ </t>
  </si>
  <si>
    <t>28410</t>
  </si>
  <si>
    <t>METALKƏSİCİ AVADANLIQLARIN İSTEHSALI </t>
  </si>
  <si>
    <t>28490</t>
  </si>
  <si>
    <t>SAİR DƏZGAHLARIN İSTEHSALI </t>
  </si>
  <si>
    <t>28911</t>
  </si>
  <si>
    <t>METALLURGİYA ÜÇÜN MAŞIN VƏ AVADANLIQLARIN İSTEHSALI  </t>
  </si>
  <si>
    <t>28912</t>
  </si>
  <si>
    <t>METALLURGİYA ÜÇÜN MAŞIN VƏ AVADANLIQLARIN TƏMİRİ </t>
  </si>
  <si>
    <t>28920</t>
  </si>
  <si>
    <t>DAĞ-MƏDƏN ÇIXARMA, NEFTÇIXARMA SƏNAYESİ, KARXANA İŞLƏRİ VƏ TİKİNTİ ÜÇÜN MAŞIN VƏ AVADANLIQLARIN İSTEHSALI  </t>
  </si>
  <si>
    <t>28930</t>
  </si>
  <si>
    <t>İÇKİ VƏ TÜTÜN MƏMULATLARI DA DAXİL OLMAQLA QİDA MƏHSULLARININ HAZIRLANMASI ÜÇÜN MAŞIN VƏ AVADANLIQLARIN İSTEHSALI </t>
  </si>
  <si>
    <t>28940</t>
  </si>
  <si>
    <t>TOXUCULUQ, TİKİŞ, XƏZ VƏ DƏRİ MƏMULATLARININ HAZIRLANMASI ÜÇÜN MAŞIN VƏ AVADANLIQLARIN İSTEHSALI </t>
  </si>
  <si>
    <t>28950</t>
  </si>
  <si>
    <t>KAĞIZ VƏ KARTONUN HAZIRLANMASI ÜÇÜN MAŞIN VƏ AVADANLIQLARIN İSTEHSALI </t>
  </si>
  <si>
    <t>28960</t>
  </si>
  <si>
    <t>PLASTİK KÜTLƏ VƏ REZİNİN EMALI ÜÇÜN MAŞIN VƏ AVADANLIQLARIN İSTEHSALI </t>
  </si>
  <si>
    <t>28991</t>
  </si>
  <si>
    <t>DİGƏR QRUPLARA DAXİL EDİLMƏYƏN XÜSUSİ TƏYİNATLI SAİR MAŞIN VƏ AVADANLIQLARIN İSTEHSALI </t>
  </si>
  <si>
    <t>28992</t>
  </si>
  <si>
    <t>YANĞINSÖNDÜRMƏ LƏVAZİMATININ, İLKİN YANĞINSÖNDÜRMƏ VASİTƏLƏRİNİN TƏMİRİ VƏ ONLARA XİDMƏT, YANĞINSÖNDÜRMƏ VASİTƏLƏRİNİN KEYFİYYƏTİNİN BƏRPASI </t>
  </si>
  <si>
    <t>29101</t>
  </si>
  <si>
    <t>AVTOMOBİLLƏRİN İSTEHSALI </t>
  </si>
  <si>
    <t>29102</t>
  </si>
  <si>
    <t>YANĞINSÖNDÜRMƏ TEXNİKASI MƏHSULUNUN İSTEHSALI VƏ ALINMASI, SINAQLARIN KEÇİRİLMƏSİ </t>
  </si>
  <si>
    <t>29103</t>
  </si>
  <si>
    <t>AVTOMOBİL MÜHƏRRİKLƏRİNİN İSTEHSALI </t>
  </si>
  <si>
    <t>29200</t>
  </si>
  <si>
    <t>AVTOMOBİLLƏR ÜÇÜN GÖVDƏLƏRİN (KUZOVLARIN) İSTEHSALI, QOŞQU VƏ YARIMQOŞQULARIN İSTEHSALI </t>
  </si>
  <si>
    <t>29310</t>
  </si>
  <si>
    <t>AVTOMOBİLLƏR ÜÇÜN ELEKTRON VƏ ELEKTRİK AVADANLIQLARININ İSTEHSALI </t>
  </si>
  <si>
    <t>29320</t>
  </si>
  <si>
    <t>AVTOMOBİLLƏR ÜÇÜN DİGƏR HİSSƏLƏRİN VƏ LƏVAZİMATLARIN İSTEHSALI </t>
  </si>
  <si>
    <t>30110</t>
  </si>
  <si>
    <t>GƏMİLƏRİN VƏ ÜZƏN QURĞULARIN QAYIRILMASI </t>
  </si>
  <si>
    <t>30120</t>
  </si>
  <si>
    <t>TURİST-İDMAN GƏMİLƏRİNİN QAYIRILMASI </t>
  </si>
  <si>
    <t>30200</t>
  </si>
  <si>
    <t>DƏMİR YOLU NƏQLİYYATI VASİTƏLƏRİNİN İSTEHSALI </t>
  </si>
  <si>
    <t>30300</t>
  </si>
  <si>
    <t>KOSMİK APARATLAR DA DAXİL OLMAQLA UÇAN APARATLARIN İSTEHSALI  </t>
  </si>
  <si>
    <t>30400</t>
  </si>
  <si>
    <t>HƏRBİ AVTOMOBİLLƏRİN İSTEHSALI </t>
  </si>
  <si>
    <t>30910</t>
  </si>
  <si>
    <t>MOTOSİKLETLƏRİN İSTEHSALI </t>
  </si>
  <si>
    <t>30920</t>
  </si>
  <si>
    <t>VELOSİPEDLƏRİN VƏ ƏLİL ARABALARININ, ONLARA HİSSƏLƏRİN İSTEHSALI </t>
  </si>
  <si>
    <t>30990</t>
  </si>
  <si>
    <t>DİGƏR QRUPLARA DAXİL EDİLMƏYƏN SAİR NƏQLİYYAT VASİTƏLƏRİ VƏ AVADANLIQLARININ İSTEHSALI </t>
  </si>
  <si>
    <t>31010</t>
  </si>
  <si>
    <t>OFİS VƏ TİCARƏT MÜƏSSİSƏLƏRİ ÜÇÜN MEBELLƏRİN İSTEHSALI  </t>
  </si>
  <si>
    <t>31020</t>
  </si>
  <si>
    <t>MƏTBƏX MEBELLƏRİNİN İSTEHSALI </t>
  </si>
  <si>
    <t>31030</t>
  </si>
  <si>
    <t>DÖŞƏKLƏRİN İSTEHSALI </t>
  </si>
  <si>
    <t>31090</t>
  </si>
  <si>
    <t>SAİR MEBELLƏRİN İSTEHSALI </t>
  </si>
  <si>
    <t>32110</t>
  </si>
  <si>
    <t>SİKKƏLƏRİN VƏ MEDALLARIN KƏSİLMƏSİ </t>
  </si>
  <si>
    <t>32120</t>
  </si>
  <si>
    <t>ZƏRGƏRLİK MƏMULATLARININ İSTEHSALI </t>
  </si>
  <si>
    <t>32130</t>
  </si>
  <si>
    <t>AZQİYMƏTLİ MATERİALLARDAN ZƏRGƏRLİK MƏMULATININ İSTEHSALI (SÜNİ DAŞ-QAŞLARIN) İSTEHSALI  </t>
  </si>
  <si>
    <t>32200</t>
  </si>
  <si>
    <t>MUSİQİ ALƏTLƏRİNİN İSTEHSALI </t>
  </si>
  <si>
    <t>32300</t>
  </si>
  <si>
    <t>İDMAN MALLARININ İSTEHSALI </t>
  </si>
  <si>
    <t>32400</t>
  </si>
  <si>
    <t>OYUN VƏ OYUNCAQLARIN İSTEHSALI  </t>
  </si>
  <si>
    <t>32500</t>
  </si>
  <si>
    <t>TİBBİ VƏ STOMOTOLOGİYA PRAKTİKASINDA TƏTBİQ OLUNAN ALƏTLƏRİN İSTEHSALI </t>
  </si>
  <si>
    <t>32910</t>
  </si>
  <si>
    <t>SÜPÜRGƏ VƏ ŞOTKA İSTEHSALI </t>
  </si>
  <si>
    <t>32990</t>
  </si>
  <si>
    <t>DİGƏR QRUPLARA DAXİL EDİLMƏYƏN SAİR MƏHSULLARIN İSTEHSALI </t>
  </si>
  <si>
    <t>33110</t>
  </si>
  <si>
    <t>HAZIR METAL MƏMULATLARININ TƏMİRİ </t>
  </si>
  <si>
    <t>33120</t>
  </si>
  <si>
    <t>MAŞIN VƏ AVADANLIQLARIN TƏMİRİ </t>
  </si>
  <si>
    <t>33130</t>
  </si>
  <si>
    <t>ELEKTRON VƏ OPTİK AVADANLIQLARIN TƏMİRİ </t>
  </si>
  <si>
    <t>33140</t>
  </si>
  <si>
    <t>ELEKTRİK AVADANLIQLARININ TƏMİRİ </t>
  </si>
  <si>
    <t>33150</t>
  </si>
  <si>
    <t>GƏMİLƏRİN TƏMİRİ VƏ ONLARA TEXNİKİ XİDMƏT </t>
  </si>
  <si>
    <t>33160</t>
  </si>
  <si>
    <t>KOSMİK APARATLAR DA DAXİL OLMAQLA UÇUŞ APARATLARININ TƏMİRİ VƏ ONLARA TEXNİKİ XİDMƏT </t>
  </si>
  <si>
    <t>33170</t>
  </si>
  <si>
    <t>DİGƏR NƏQLİYYAT VASİTƏLƏRİNİN TƏMİRİ VƏ ONLARA TEXNİKİ XİDMƏT </t>
  </si>
  <si>
    <t>33190</t>
  </si>
  <si>
    <t>DİGƏR AVADANLIQLARIN TƏMİRİ </t>
  </si>
  <si>
    <t>33200</t>
  </si>
  <si>
    <t>SƏNAYE MAŞIN VƏ AVADANLIQLARININ QURAŞDIRILMASI </t>
  </si>
  <si>
    <t>35110</t>
  </si>
  <si>
    <t>ELEKTRİK ENERJİSİNİN İSTEHSALI </t>
  </si>
  <si>
    <t>35120</t>
  </si>
  <si>
    <t>ELEKTRİK ENERJİSİNİN ÖTÜRÜLMƏSİ </t>
  </si>
  <si>
    <t>35130</t>
  </si>
  <si>
    <t>ELEKTRİK ENERJİSİNİN BÖLÜŞDÜRÜLMƏSİ </t>
  </si>
  <si>
    <t>35140</t>
  </si>
  <si>
    <t>ELEKTRİK ENERJİSİNİN SATIŞI </t>
  </si>
  <si>
    <t>35210</t>
  </si>
  <si>
    <t>QAZIN İSTEHSALI </t>
  </si>
  <si>
    <t>35220</t>
  </si>
  <si>
    <t>QAZABƏNZƏR YANACAĞIN QAZ TƏCHİZATI ŞƏBƏKƏLƏRİ VASİTƏSİLƏ BÖLÜŞDÜRÜLMƏSİ </t>
  </si>
  <si>
    <t>35231</t>
  </si>
  <si>
    <t>QAZABƏNZƏR YANACAĞIN QAZ TƏCHİZATI ŞƏBƏKƏLƏRİ VASİTƏSİLƏ SATIŞI </t>
  </si>
  <si>
    <t>35232</t>
  </si>
  <si>
    <t>QAZ MƏHSULLARININ SATIŞI </t>
  </si>
  <si>
    <t>35300</t>
  </si>
  <si>
    <t>BUXAR VƏ KONDİSİYALANMIŞ HAVA İLƏ TƏCHİZAT </t>
  </si>
  <si>
    <t>36000</t>
  </si>
  <si>
    <t>SUYUN YIĞILMASI, TƏMİZLƏNMƏSİ VƏ PAYLANMASI </t>
  </si>
  <si>
    <t>37000</t>
  </si>
  <si>
    <t>ÇİRKLİ SULARIN YIĞILMASI VƏ EMALI </t>
  </si>
  <si>
    <t>38110</t>
  </si>
  <si>
    <t>TƏHLÜKƏSİZ TULLANTILARIN YIĞILMASI </t>
  </si>
  <si>
    <t>38120</t>
  </si>
  <si>
    <t>TƏHLÜKƏLİ TULLANTILARIN YIĞILMASI </t>
  </si>
  <si>
    <t>38210</t>
  </si>
  <si>
    <t>TƏHLÜKƏSİZ TULLANTILARIN EMALI VƏ LƏĞV EDİLMƏSİ </t>
  </si>
  <si>
    <t>38220</t>
  </si>
  <si>
    <t>TƏHLÜKƏLİ TULLANTILARIN EMALI VƏ LƏĞV EDİLMƏSİ </t>
  </si>
  <si>
    <t>38310</t>
  </si>
  <si>
    <t>SINIQ ƏŞYALARIN SÖKÜLMƏSİ </t>
  </si>
  <si>
    <t>38320</t>
  </si>
  <si>
    <t>ÇEŞİDLƏŞDİRİLMİŞ MATERİALLARDAN BAŞQA MƏQSƏDLƏ İSTİFADƏ EDİLMƏSİ (TƏKRAR XAMMALIN ALINMASI) </t>
  </si>
  <si>
    <t>39001</t>
  </si>
  <si>
    <t>DİGƏR TULLANTILARIN YIĞILMASI VƏ MƏHV EDİLMƏSİ </t>
  </si>
  <si>
    <t>39002</t>
  </si>
  <si>
    <t>SANİTAR, DƏRMAN VƏ OXŞAR XİDMƏTLƏR </t>
  </si>
  <si>
    <t>39003</t>
  </si>
  <si>
    <t>RADİOAKTİV VƏ İONİZƏ ŞÜALARI VERƏN MADDƏLƏRİN TULLANTILARININ SAXLANMASI VƏ BASDIRILMASI </t>
  </si>
  <si>
    <t>39004</t>
  </si>
  <si>
    <t>TOKSİKİ İSTEHSALAT TULLANTILARININ ÜTİLİZASİYASI VƏ ZƏRƏRSİZLƏŞDİRİLMƏSİ </t>
  </si>
  <si>
    <t>39005</t>
  </si>
  <si>
    <t>ƏLVAN METAL, TƏRKİBİNDƏ QİYMƏTLİ METALLAR VƏ DAŞLAR OLAN SƏNAYE VƏ İSTEHSALAT TULLANTILARININ TƏDARÜKÜ, EMALI VƏ SATIŞI </t>
  </si>
  <si>
    <t>41100</t>
  </si>
  <si>
    <t>TƏCRÜBƏ-TİKİNTİ İŞLƏRİ </t>
  </si>
  <si>
    <t>41200</t>
  </si>
  <si>
    <t>YAŞAYIŞ VƏ QEYRİ-YAŞAYIŞ BİNALARININ TİKİNTİSİ </t>
  </si>
  <si>
    <t>41202</t>
  </si>
  <si>
    <t>MƏNZİL TİKİNTİSİ </t>
  </si>
  <si>
    <t>42110</t>
  </si>
  <si>
    <t>AVTOMOBİL YOLLARI, YOLLAR VƏ KÜÇƏLƏRİN SALINMASI </t>
  </si>
  <si>
    <t>42120</t>
  </si>
  <si>
    <t>DƏMİR YOLLARI VƏ YERALTI DƏMİR YOLLARININ TİKİNTİSİ </t>
  </si>
  <si>
    <t>42131</t>
  </si>
  <si>
    <t>KÖRPÜ VƏ TUNELLƏRİN TİKİNTİSİ </t>
  </si>
  <si>
    <t>42132</t>
  </si>
  <si>
    <t>MAYE VƏ TƏBİİ QAZ TƏSƏRRÜFATI OBYEKTLƏRİNİN QURAŞDIRILMASI VƏ İSTİSMARI </t>
  </si>
  <si>
    <t>42133</t>
  </si>
  <si>
    <t>ENERGETİKA OBYEKTLƏRİNİN, AVADANLIQLARIN VƏ QURĞULARIN QURAŞDIRILMASI, SAZLANMASI VƏ TƏMİRİ </t>
  </si>
  <si>
    <t>42134</t>
  </si>
  <si>
    <t>YANĞINDAN MÜHAFİZƏ BİNALARININ, QURĞULARININ, OTAQLARININ TİKİLMƏSİ, YENİDƏN QURULMASI VƏ TƏMİRİ </t>
  </si>
  <si>
    <t>42210</t>
  </si>
  <si>
    <t>BORU KƏMƏRLƏRİNİN TİKİNTİSİ </t>
  </si>
  <si>
    <t>42220</t>
  </si>
  <si>
    <t>RABİTƏ VƏ ELEKTRİK XƏTLƏRİNİN ÇƏKİLMƏSİ </t>
  </si>
  <si>
    <t>42910</t>
  </si>
  <si>
    <t>SU QURĞULARININ TİKİNTİSİ </t>
  </si>
  <si>
    <t>42990</t>
  </si>
  <si>
    <t>DİGƏR MÜLKÜ TİKİNTİLƏR </t>
  </si>
  <si>
    <t>43111</t>
  </si>
  <si>
    <t>BİNALARIN SÖKÜLMƏSİ </t>
  </si>
  <si>
    <t>43112</t>
  </si>
  <si>
    <t>DAĞ-MƏDƏN İŞLƏRİ, DAĞ VƏ BURUQ QAZMALARININ APARILMASI </t>
  </si>
  <si>
    <t>43120</t>
  </si>
  <si>
    <t>TİKİNTİ SAHƏSİNİN HAZIRLANMASI </t>
  </si>
  <si>
    <t>43130</t>
  </si>
  <si>
    <t>KƏŞFİYYAT QAZINTISI </t>
  </si>
  <si>
    <t>43211</t>
  </si>
  <si>
    <t>ELEKTRİK QURAŞDIRMA İŞLƏRİ </t>
  </si>
  <si>
    <t>43212</t>
  </si>
  <si>
    <t>LİFT VƏ ESKALATORLARIN QURAŞDIRILMASI </t>
  </si>
  <si>
    <t>43213</t>
  </si>
  <si>
    <t>YANĞINDAN MÜHAFİZƏ SİSTEMLƏRİNİN VƏ VASİTƏLƏRİNİN QURAŞDIRILMASI, TEXNİKİ XİDMƏTİ VƏ TƏMİRİ </t>
  </si>
  <si>
    <t>43221</t>
  </si>
  <si>
    <t>SANİTAR-TEXNİKİ İŞLƏRİ, İSTİLİK VƏ HAVANIN KONDİSİYALANDIRILMASI SİSTEMLƏRİNİN QURAŞDIRILMASI </t>
  </si>
  <si>
    <t>43222</t>
  </si>
  <si>
    <t>AVTOMATİK YANĞINSÖNDÜRMƏ SİSTEMLƏRİ </t>
  </si>
  <si>
    <t>43290</t>
  </si>
  <si>
    <t>SAİR MÜHƏNDİS AVADANLIQLARININ QURAŞDIRILMASI </t>
  </si>
  <si>
    <t>43310</t>
  </si>
  <si>
    <t>SUVAQ İŞLƏRİ </t>
  </si>
  <si>
    <t>43320</t>
  </si>
  <si>
    <t>XARRATLIQ VƏ DÜLGƏRLİK İŞLƏRİ </t>
  </si>
  <si>
    <t>43330</t>
  </si>
  <si>
    <t>DÖŞƏMƏ ÖRTÜYÜNÜN QURULMASI VƏ DİVARA ÖRTÜYÜN ÇƏKİLMƏSİ </t>
  </si>
  <si>
    <t>43340</t>
  </si>
  <si>
    <t>RƏNGLƏMƏ VƏ ŞÜŞƏ SALMA İŞLƏRİ </t>
  </si>
  <si>
    <t>43390</t>
  </si>
  <si>
    <t>SAİR BƏZƏK VƏ TAMAMLAYICI TİKİNTİ İŞLƏRİ </t>
  </si>
  <si>
    <t>43910</t>
  </si>
  <si>
    <t>BİNA VƏ TİKİLİLƏRİN ÖRTÜKLƏRİNİN QURAŞDIRILMASI </t>
  </si>
  <si>
    <t>43990</t>
  </si>
  <si>
    <t>DİGƏR QRUPLARA DAXİL EDİLMƏYƏN İXTİSASLAŞDIRILMIŞ TİKİNTİ İŞLƏRİ </t>
  </si>
  <si>
    <t>45111</t>
  </si>
  <si>
    <t>AVTOMOBİLLƏRİN VƏ MİNİK AVTOMOBİL VASİTƏLƏRİNİN TOPDAN SATIŞI </t>
  </si>
  <si>
    <t>45112</t>
  </si>
  <si>
    <t>AVTOMOBİLLƏRİN VƏ MİNİK AVTOMOBİL VASİTƏLƏRİNİN PƏRAKƏNDƏ SATIŞI </t>
  </si>
  <si>
    <t>45190</t>
  </si>
  <si>
    <t>SAİR AVTOMOBİL VASİTƏLƏRİNİN SATIŞI </t>
  </si>
  <si>
    <t>45200</t>
  </si>
  <si>
    <t>AVTOMOBİLLƏRƏ TEXNİKİ XİDMƏT GÖSTƏRİLMƏSİ VƏ ONLARIN TƏMİRİ </t>
  </si>
  <si>
    <t>45310</t>
  </si>
  <si>
    <t>AVTOMOBİLLƏR ÜÇÜN HİSSƏLƏRİN, QOVŞAQLARIN VƏ LƏVAZİMATIN TOPDAN SATIŞI </t>
  </si>
  <si>
    <t>45320</t>
  </si>
  <si>
    <t>AVTOMOBİLLƏR ÜÇÜN HİSSƏLƏRİN, QOVŞAQLARIN VƏ LƏVAZİMATLARIN PƏRAKƏNDƏ SATIŞI </t>
  </si>
  <si>
    <t>45400</t>
  </si>
  <si>
    <t>MOTOSİKLETLƏRİN, ONLARIN HİSSƏLƏRİNİN, QOVŞAQLARININ VƏ LƏVAZİMATLARININ SATIŞI, MOTOSİKLETLƏRƏ TEXNİKİ XİDMƏT VƏ TƏMİRİ </t>
  </si>
  <si>
    <t>46110</t>
  </si>
  <si>
    <t>KƏND TƏSƏRRÜFATI XAMMALLARININ, DİRİ HEYVANLARIN, TOXUCULUQ XAMMALININ VƏ YARIMFABRİKATLARIN TOPDAN SATIŞI ÜZRƏ AGENTLİK FƏALİYYƏTİ </t>
  </si>
  <si>
    <t>46120</t>
  </si>
  <si>
    <t>YANACAQ, FİLİZ, METAL VƏ KİMYƏVİ VASİTƏLƏRİN TOPDAN SATIŞI ÜZRƏ AGENTLİK FƏALİYYƏTİ  </t>
  </si>
  <si>
    <t>46130</t>
  </si>
  <si>
    <t>AĞAC VƏ TİKİNTİ MATERİALLARININ TOPDAN SATIŞI ÜZRƏ AGENTLİK FƏALİYYƏTİ </t>
  </si>
  <si>
    <t>46140</t>
  </si>
  <si>
    <t>MAŞIN, SƏNAYE AVADANLIĞI, GƏMİ VƏ UÇAN APARATLARIN TOPDAN SATIŞI ÜZRƏ AGENTLİK FƏALİYYƏTİ </t>
  </si>
  <si>
    <t>46150</t>
  </si>
  <si>
    <t>MEBEL, MƏİŞƏT MALLARI, DƏMİR MƏMULATI VƏ SAİR METAL MƏMULATLARIN TOPDAN SATIŞI ÜZRƏ AGENTLİK FƏALİYYƏTİ </t>
  </si>
  <si>
    <t>46160</t>
  </si>
  <si>
    <t>PARÇA, GEYİM, AYAQQABI XƏZ VƏ DƏRİ MƏMULATLARININ TOPDAN SATIŞI ÜZRƏ AGENTLİK FƏALİYYƏTİ </t>
  </si>
  <si>
    <t>46171</t>
  </si>
  <si>
    <t>İÇKİ VƏ TÜTÜN MƏMULATLARI DA DAXİL OLMAQLA ƏRZAQ MALLARININ TOPDAN SATIŞI ÜZRƏ AGENTLİK FƏALİYYƏTİ </t>
  </si>
  <si>
    <t>46172</t>
  </si>
  <si>
    <t>ETİL (YEYİNTİ) SPİRTİNİN VƏ ALKOQOLLU İÇKİLƏRİN İDXALI </t>
  </si>
  <si>
    <t>46173</t>
  </si>
  <si>
    <t>TÜTÜN MƏMULATININ İDXALI </t>
  </si>
  <si>
    <t>46174</t>
  </si>
  <si>
    <t>ETİL (YEYİNTİ) SPİRTİNİN VƏ ALKOQOLLU İÇKİLƏRİN TOPDAN SATIŞI </t>
  </si>
  <si>
    <t>46175</t>
  </si>
  <si>
    <t>TÜTÜN MƏMULATLARININ TOPDAN SATIŞI </t>
  </si>
  <si>
    <t>46180</t>
  </si>
  <si>
    <t>AYRI-AYRI MƏHSULLARIN VƏ YA MƏHSUL QRUPLARININ TOPDAN SATIŞI ÜZRƏ İXTİSASLAŞMIŞ AGENTLİK FƏALİYYƏTİ </t>
  </si>
  <si>
    <t>46190</t>
  </si>
  <si>
    <t>GENİŞ ÇEŞİDLİ MALLARIN TOPDAN SATIŞI ÜZRƏ AGENTLİK FƏALİYYƏTİ </t>
  </si>
  <si>
    <t>46210</t>
  </si>
  <si>
    <t>TAXILIN, EMAL OLUNMAMIŞ TÜTÜNÜN, TOXUMLARIN VƏ HEYVANLAR ÜÇÜN YEMİN TOPDAN SATIŞI </t>
  </si>
  <si>
    <t>46220</t>
  </si>
  <si>
    <t>GÜLLƏRİN VƏ DİGƏR BİTKİLƏRİN TOPDAN SATIŞI </t>
  </si>
  <si>
    <t>46230</t>
  </si>
  <si>
    <t>DİRİ HEYVANLARIN TOPDAN SATIŞI </t>
  </si>
  <si>
    <t>46240</t>
  </si>
  <si>
    <t>DƏRİ VƏ GÖNÜN TOPDAN SATIŞI </t>
  </si>
  <si>
    <t>46310</t>
  </si>
  <si>
    <t>MEYVƏ VƏ TƏRƏVƏZİN TOPDAN SATIŞI </t>
  </si>
  <si>
    <t>46320</t>
  </si>
  <si>
    <t>ƏT VƏ ƏT MƏHSULLARININ TOPDAN SATIŞI </t>
  </si>
  <si>
    <t>46330</t>
  </si>
  <si>
    <t>SÜD MƏHSULLARI, YUMURTA, YEYİNTİ YAĞLARI VƏ PİYLƏRİNİN TOPDAN SATIŞI </t>
  </si>
  <si>
    <t>46340</t>
  </si>
  <si>
    <t>ALKOQOLLU VƏ DİGƏR İÇKİLƏRİN TOPDAN SATIŞI </t>
  </si>
  <si>
    <t>46350</t>
  </si>
  <si>
    <t>46360</t>
  </si>
  <si>
    <t>ŞƏKƏR, ŞOKOLAD VƏ QƏNNADI MƏMULATLARININ TOPDAN SATIŞI </t>
  </si>
  <si>
    <t>46370</t>
  </si>
  <si>
    <t>KOFE, ÇAY, KAKAO VƏ ƏDVİYYATIN TOPDAN SATIŞI </t>
  </si>
  <si>
    <t>46380</t>
  </si>
  <si>
    <t>BALIQ, XƏRÇƏNGKİMİLƏR VƏ MOLYUCKALAR DA DAXİL OLMAQLA SAİR ƏRZAQ MƏHSULLARININ TOPDAN SATIŞI </t>
  </si>
  <si>
    <t>46390</t>
  </si>
  <si>
    <t>İÇKİ VƏ TÜTÜN MƏMULATLARI DA DAXİL OLMAQLA YEYİNTİ MƏHSULLARININ İXTİSASLAŞDIRILMAMIŞ TOPDAN SATIŞI </t>
  </si>
  <si>
    <t>46410</t>
  </si>
  <si>
    <t>TOXUCULUQ MALLARININ TOPDAN SATIŞI </t>
  </si>
  <si>
    <t>46420</t>
  </si>
  <si>
    <t>GEYİM VƏ AYAQQABININ TOPDAN SATIŞI </t>
  </si>
  <si>
    <t>46430</t>
  </si>
  <si>
    <t>ELEKTRİK-MƏİŞƏT MALLARININ TOPDAN SATIŞI </t>
  </si>
  <si>
    <t>46440</t>
  </si>
  <si>
    <t>ÇİNİ VƏ ŞÜŞƏ MƏMULATLARIN, DİVAR KAĞIZLARININ VƏ TƏMİZLƏYİCİ VASİTƏLƏRİN TOPDAN SATIŞI </t>
  </si>
  <si>
    <t>46450</t>
  </si>
  <si>
    <t>ƏTİRLƏRİN VƏ KOSMETİKA MALLARININ (SABUN DA DAXİL OLMAQLA) TOPDAN SATIŞI </t>
  </si>
  <si>
    <t>46460</t>
  </si>
  <si>
    <t>ƏCZAÇILIQ MALLARININ TOPDAN SATIŞI </t>
  </si>
  <si>
    <t>46470</t>
  </si>
  <si>
    <t>MEBEL, XALÇA VƏ İŞIQLANDIRICI AVADANLIQLARIN TOPDAN SATIŞI </t>
  </si>
  <si>
    <t>46480</t>
  </si>
  <si>
    <t>SAATLARIN VƏ ZƏRGƏRLİK MƏMULATLARININ TOPDAN SATIŞI </t>
  </si>
  <si>
    <t>46491</t>
  </si>
  <si>
    <t>İSTEHLAK TƏYİNATLI SAİR QEYRİ-ƏRZAQ MALLARININ TOPDAN SATIŞI  </t>
  </si>
  <si>
    <t>46492</t>
  </si>
  <si>
    <t>İXTİSASLAŞDIRILMAMIŞ MAĞAZALARDA QİYMƏTLİ METALLARIN VƏ QİYMƏTLİ DAŞLARIN DÖVRİYYƏSİ (QİYMƏTLİ METALLARIN VƏ QİYMƏTLİ DAŞLARIN, ONLARDAN HAZIRLANAN MƏHSULLARIN, O CÜMLƏDƏN ZƏRGƏRLİK VƏ DİGƏR MƏİŞƏT MƏMULATLARININ TOPDAN SATIŞI) </t>
  </si>
  <si>
    <t>46510</t>
  </si>
  <si>
    <t>KOMPYUTERLƏRİN, KOMPYUTER PERİFERİYA AVADANLIQLARININ VƏ PROQRAM TƏMİNATININ TOPDAN SATIŞI </t>
  </si>
  <si>
    <t>46521</t>
  </si>
  <si>
    <t>ELEKTRON VƏ TELEKOMMUNİKASİYA AVADANLIQLARININ VƏ ONLARIN HİSSƏLƏRİNİN TOPDAN SATIŞI </t>
  </si>
  <si>
    <t>46522</t>
  </si>
  <si>
    <t>ƏMƏLİYYAT AXTARIŞ FƏALİYYƏTİNİN HƏYATA KEÇİRİLMƏSİNƏ MÜVƏKKİL EDİLMƏMİŞ HÜQUQİ VƏ FİZİKİ ŞƏXSLƏR TƏRƏFİNDƏN QEYRİ-LEQAL YOLLA İNFORMASİYA ALINMASI ÜÇÜN NƏZƏRDƏ TUTULMUŞ TEXNİKİ VASİTƏLƏRİN TOPDAN SATIŞI </t>
  </si>
  <si>
    <t>46523</t>
  </si>
  <si>
    <t>ƏMƏLİYYAT AXTARIŞ FƏALİYYƏTİNİN HƏYATA K EÇİRİLMƏSİNƏ MÜVƏKKİL EDİLMƏMİŞ HÜQUQİ VƏ FİZİKİ ŞƏXSLƏR TƏRƏFİNDƏN QEYRİ-LEQAL YOLLA İNFORMASİYA ALINMASI ÜÇÜN NƏZƏRDƏ TUTULMUŞ TEXNİKİ VASİTƏLƏRİN ÖLKƏYƏ GƏTİRİLMƏSİ </t>
  </si>
  <si>
    <t>46610</t>
  </si>
  <si>
    <t>KƏND TƏSƏRRÜFATI MAŞINLARININ VƏ AVADANLIQLARININ TOPDAN SATIŞI </t>
  </si>
  <si>
    <t>46620</t>
  </si>
  <si>
    <t>DƏZGAHLARIN TOPDAN SATIŞI </t>
  </si>
  <si>
    <t>46630</t>
  </si>
  <si>
    <t>DAĞ-MƏDƏN VƏ TİKİNTİ, O CÜMLƏDƏN MÜLKİ TİKİNTİ ÜÇÜN MAŞIN VƏ AVADANLIQLARIN TOPDAN SATIŞI </t>
  </si>
  <si>
    <t>46640</t>
  </si>
  <si>
    <t>TOXUCULUQ SƏNAYESİ ÜÇÜN MAŞINLARIN, TİKİŞ VƏ TRİKOTAJ MAŞINLARININ TOPDAN SATIŞI </t>
  </si>
  <si>
    <t>46650</t>
  </si>
  <si>
    <t>OFİS MEBELLƏRİNİN TOPDAN SATIŞI </t>
  </si>
  <si>
    <t>46660</t>
  </si>
  <si>
    <t>OFİS MAŞINLARI VƏ AVADANLIQLARININ TOPDAN SATIŞI </t>
  </si>
  <si>
    <t>46690</t>
  </si>
  <si>
    <t>SAİR MAŞIN AVADANLIQLARIN TOPDAN SATIŞI </t>
  </si>
  <si>
    <t>46711</t>
  </si>
  <si>
    <t>YANACAĞIN TOPDAN SATIŞI </t>
  </si>
  <si>
    <t>46712</t>
  </si>
  <si>
    <t>NEFT MƏHSULLARININ VƏ SƏMT QAZININ TOPDAN SATIŞI </t>
  </si>
  <si>
    <t>46720</t>
  </si>
  <si>
    <t>METAL VƏ METAL FİLİZİNİN TOPDAN SATIŞI </t>
  </si>
  <si>
    <t>46730</t>
  </si>
  <si>
    <t>MEŞƏ MATERİALLARININ, TİKİNTİ MATERİALLARININ VƏ SANİTAR-TEXNİKİ AVADANLIQLARIN TOPDAN SATIŞI </t>
  </si>
  <si>
    <t>46740</t>
  </si>
  <si>
    <t>DƏMİR MƏMULATLARININ, SU KƏMƏRİ VƏ İSTİLİK ŞƏBƏKƏSİ AVADANLIQLARININ TOPDAN SATIŞI </t>
  </si>
  <si>
    <t>46750</t>
  </si>
  <si>
    <t>KİMYƏVİ MƏHSULLARIN TOPDAN SATIŞI </t>
  </si>
  <si>
    <t>46752</t>
  </si>
  <si>
    <t>GÜBRƏ VƏ AQROKİMYƏVİ MƏHSULLARIN TOPDAN SATIŞI </t>
  </si>
  <si>
    <t>46760</t>
  </si>
  <si>
    <t>SAİR ARALIQ MƏHSULLARININ TOPDAN SATIŞI </t>
  </si>
  <si>
    <t>46770</t>
  </si>
  <si>
    <t>TULLANTILARIN VƏ QIRINTILARIN TOPDAN SATIŞI </t>
  </si>
  <si>
    <t>46901</t>
  </si>
  <si>
    <t>İXTİSASLAŞDIRILMAMIŞ TOPDANSATIŞ </t>
  </si>
  <si>
    <t>46902</t>
  </si>
  <si>
    <t>PREKURSORLARIN İDXALI, İXRACI, TRANZİT NƏQL EDİLMƏSİ VƏ İSTEHSALI </t>
  </si>
  <si>
    <t>47111</t>
  </si>
  <si>
    <t>İÇKİ VƏ TÜTÜN MƏMULATLARI DA DAXİL OLMAQLA ƏSASƏN YEYİNTİ MƏHSULLARININ İXTİSASLAŞDIRILMAMIŞ MAĞAZALARDA PƏRAKƏNDƏ SATIŞI </t>
  </si>
  <si>
    <t>47112</t>
  </si>
  <si>
    <t>ETİL (YEYİNTİ) SPİRTİNİN VƏ ALKOQOLLU İÇKİLƏRİN İXTİSASLAŞDIRILMAMIŞ MAĞAZALARDA PƏRAKƏNDƏ SATIŞI </t>
  </si>
  <si>
    <t>47113</t>
  </si>
  <si>
    <t>TÜTÜN MƏHSULLARININ İXTİSASLAŞDIRILMAMIŞ MAĞAZALARDA PƏRAKƏNDƏ SATIŞI </t>
  </si>
  <si>
    <t>47191</t>
  </si>
  <si>
    <t>İXTİSASLAŞDIRILMAMIŞ MAĞAZALARDA SAİR MƏHSULLARIN PƏRAKƏNDƏ SATIŞI </t>
  </si>
  <si>
    <t>47192</t>
  </si>
  <si>
    <t>İXTİSASLAŞDIRILMAMIŞ MAĞAZALARDA QİYMƏTLİ METALLARIN VƏ QİYMƏTLİ DAŞLARIN DÖVRİYYƏSİ (QİYMƏTLİ METALLARIN VƏ QİYMƏTLİ DAŞLARIN, ONLARDAN HAZIRLANAN MƏHSULLARIN, CÜMLƏDƏN ZƏRGƏRLİK VƏ DİGƏR MƏİŞƏT MƏLUMATLARININ PƏRAKƏNDƏ SATIŞI) </t>
  </si>
  <si>
    <t>47210</t>
  </si>
  <si>
    <t>İXTİSASLAŞDIRILMIŞ MAĞAZALARDA MEYVƏ VƏ TƏRƏVƏZLƏRİN PƏRAKƏNDƏ SATIŞI </t>
  </si>
  <si>
    <t>47220</t>
  </si>
  <si>
    <t>İXTİSASLAŞDIRILMIŞ MAĞAZALARDA ƏT VƏ ƏT MƏHSULLARININ PƏRAKƏNDƏ SATIŞI </t>
  </si>
  <si>
    <t>47230</t>
  </si>
  <si>
    <t>İXTİSASLAŞDIRILMIŞ MAĞAZALARDA BALIĞIN, XƏRÇƏNGKİMİLƏRİN VƏ MOLYUSKALARIN PƏRAKƏNDƏ SATIŞI  </t>
  </si>
  <si>
    <t>47240</t>
  </si>
  <si>
    <t>İXTİSASLAŞDIRILMIŞ MAĞAZALARDA ÇÖRƏK-BULKA MƏMULATLARININ, UN VƏ QƏNNADI MƏMULATLARININ PƏRAKƏNDƏ SATIŞI  </t>
  </si>
  <si>
    <t>47250</t>
  </si>
  <si>
    <t>İXTİSASLAŞDIRILMIŞ MAĞAZALARDA ALKOQOLLU VƏ DİGƏR İÇKİLƏRİN PƏRAKƏNDƏ SATIŞI </t>
  </si>
  <si>
    <t>47260</t>
  </si>
  <si>
    <t>İXTİSASLAŞDIRILMIŞ MAĞAZALARDA TÜTÜN MƏMULATLARININ PƏRAKƏNDƏ SATIŞI </t>
  </si>
  <si>
    <t>47290</t>
  </si>
  <si>
    <t>İXTİSASLAŞDIRILMIŞ MAĞAZALARDA DİGƏR ƏRZAQ MƏHSULLARININ PƏRAKƏNDƏ SATIŞI </t>
  </si>
  <si>
    <t>47301</t>
  </si>
  <si>
    <t>İXTİSASLAŞDIRILMIŞ MAĞAZALARDA MOTOR YANACAĞININ PƏRAKƏNDƏ SATIŞI </t>
  </si>
  <si>
    <t>47302</t>
  </si>
  <si>
    <t>NEFT MƏHSULLARININ PƏRAKƏNDƏ SATIŞI </t>
  </si>
  <si>
    <t>47411</t>
  </si>
  <si>
    <t>İXTİSASLAŞDIRILMIŞ MAĞAZALARDA KOMPYUTERLƏRİN, KOMPYUTER PERİFERİYA AVADANLIQLARININ VƏ PROQRAM TƏMİNATININ PƏRAKƏNDƏ SATIŞI </t>
  </si>
  <si>
    <t>47412</t>
  </si>
  <si>
    <t>ƏMƏLİYYAT AXTARIŞ FƏALİYYƏTİNİN HƏYATA KEÇİRİLMƏSİNƏ MÜVƏKKİL EDİLMƏMİŞ HÜQUQİ VƏ FİZİKİ ŞƏXSLƏR TƏRƏFİNDƏN QEYRİ-LEQAL YOLLA İNFORMASİYA ALINMASI ÜÇÜN NƏZƏRDƏ TUTULMUŞ TEXNİKİ VASİTƏLƏRİN PƏRAKƏNDƏ SATIŞI </t>
  </si>
  <si>
    <t>47420</t>
  </si>
  <si>
    <t>İXTİSASLAŞDIRILMIŞ MAĞAZALARDA TELEKOMUNİKASİYA AVADANLIQLARININ PƏRAKƏNDƏ SATIŞI  </t>
  </si>
  <si>
    <t>47430</t>
  </si>
  <si>
    <t>İXTİSASLAŞDIRILMIŞ MAĞAZALARDA AUDİO VƏ VİDEO AVADANLIQLARININ PƏRAKƏNDƏ SATIŞI </t>
  </si>
  <si>
    <t>47510</t>
  </si>
  <si>
    <t>İXTİSASLAŞDIRILMIŞ MAĞAZALARDA TOXUCULUQ MƏMULATLARININ PƏRAKƏNDƏ SATIŞI </t>
  </si>
  <si>
    <t>47520</t>
  </si>
  <si>
    <t>İXTİSASLAŞDIRILMIŞ MAĞAZALARDA DƏMİR MƏMULATLARININ, LAK-BOYA MADDƏLƏRİNİN VƏ ŞÜŞƏNİN PƏRAKƏNDƏ SATIŞI </t>
  </si>
  <si>
    <t>47530</t>
  </si>
  <si>
    <t>İXTİSASLAŞDIRILMIŞ MAĞAZALARDA XALÇA, DİVAR VƏ DÖŞƏMƏ ÜÇÜN ÖRTÜKLƏRİN PƏRAKƏNDƏ SATIŞI  </t>
  </si>
  <si>
    <t>47541</t>
  </si>
  <si>
    <t>İXTİSASLAŞDIRILMIŞ MAĞAZALARDA ELEKTRİK-MƏİŞƏT MALLARININ PƏRAKƏNDƏ SATIŞI </t>
  </si>
  <si>
    <t>47542</t>
  </si>
  <si>
    <t>İXTİSASLAŞDIRILMIŞ MAĞAZALARDA MOBİL TELEFONLARIN PƏRAKƏNDƏ SATIŞI VƏ TƏMİRİ </t>
  </si>
  <si>
    <t>47590</t>
  </si>
  <si>
    <t>İXTİSASLAŞDIRILMIŞ MAĞAZALARDA MEBELLƏRİN, İŞIQLANDIRICI AVADANLIQLARIN VƏ DİGƏR MƏİŞƏT CİHAZLARININ PƏRAKƏNDƏ SATIŞI </t>
  </si>
  <si>
    <t>47610</t>
  </si>
  <si>
    <t>İXTİSASLAŞDIRILMIŞ MAĞAZALARDA KİTABLARIN PƏRAKƏNDƏ SATIŞI  </t>
  </si>
  <si>
    <t>47620</t>
  </si>
  <si>
    <t>İXTİSASLAŞDIRILMIŞ MAĞAZALARDA QƏZETLƏRİN VƏ DƏFTƏRXANA LƏVAZİMATLARININ PƏRAKƏNDƏ SATIŞI </t>
  </si>
  <si>
    <t>47630</t>
  </si>
  <si>
    <t>İXTİSASLAŞDIRILMIŞ MAĞAZALARDA MUSİQİ VƏ VİDEO YAZILARININ PƏRAKƏNDƏ SATIŞI </t>
  </si>
  <si>
    <t>47640</t>
  </si>
  <si>
    <t>İXTİSASLAŞDIRILMIŞ MAĞAZALARDA İDMAN MALLARININ PƏRAKƏNDƏ SATIŞI </t>
  </si>
  <si>
    <t>47650</t>
  </si>
  <si>
    <t>İXTİSASLAŞDIRILMIŞ MAĞAZALARDA OYUN VƏ OYUNCAQLARIN PƏRAKƏNDƏ SATIŞI </t>
  </si>
  <si>
    <t>47711</t>
  </si>
  <si>
    <t>İXTİSASLAŞDIRILMIŞ MAĞAZALARDA GEYİMLƏRİN PƏRAKƏNDƏ SATIŞI  </t>
  </si>
  <si>
    <t>47712</t>
  </si>
  <si>
    <t>İXTİSASLAŞDIRILMIŞ MAĞAZALARDA TRİKOTAJ VƏ CORAB MƏMULATLARININ PƏRAKƏNDƏ SATIŞI </t>
  </si>
  <si>
    <t>47720</t>
  </si>
  <si>
    <t>İXTİSASLAŞDIRILMIŞ MAĞAZALARDA AYAQQABI VƏ DƏRİ MƏMULATLARININ PƏRAKƏNDƏ SATIŞI </t>
  </si>
  <si>
    <t>47730</t>
  </si>
  <si>
    <t>İXTİSASLAŞDIRILMIŞ MAĞAZALARDA ƏZCAÇILIQ MALLARININ PƏRAKƏNDƏ SATIŞI </t>
  </si>
  <si>
    <t>47740</t>
  </si>
  <si>
    <t>İXTİSASLAŞDIRILMIŞ MAĞAZALARDA TİBB VƏ ORTOPEDİYA MALLARININ PƏRAKƏNDƏ SATIŞI </t>
  </si>
  <si>
    <t>47750</t>
  </si>
  <si>
    <t>İXTİSASLAŞDIRILMIŞ MAĞAZALARDA KOSMETİKA VƏ ƏTRİYYAT MALLARININ PƏRAKƏNDƏ SATIŞI </t>
  </si>
  <si>
    <t>47760</t>
  </si>
  <si>
    <t>İXTİSASLAŞDIRILMIŞ MAĞAZALARDA GÜLLƏRİN VƏ DİGƏR BİTKİLƏRİN, TOXUMLARIN, GÜBRƏLƏRİN, EV HEYVANLARININ VƏ EV HEYVANLARI ÜÇÜN YEMLƏRİN PƏRAKƏNDƏ SATIŞI </t>
  </si>
  <si>
    <t>47770</t>
  </si>
  <si>
    <t>İXTİSASLAŞDIRILMIŞ MAĞAZALARDA SAATLARIN VƏ ZƏRGƏRLİK MƏMULATLARININ PƏRAKƏNDƏ SATIŞI </t>
  </si>
  <si>
    <t>47780</t>
  </si>
  <si>
    <t>İXTİSASLAŞDIRILMIŞ MAĞAZALARDA SAİR YENİ MALLARIN PƏRAKƏNDƏ SATIŞI </t>
  </si>
  <si>
    <t>47790</t>
  </si>
  <si>
    <t>İXTİSASLAŞDIRILMIŞ MAĞAZALARDA KÖHNƏ MALLARIN PƏRAKƏNDƏ SATIŞI </t>
  </si>
  <si>
    <t>47810</t>
  </si>
  <si>
    <t>İÇKİ VƏ TÜTÜN MƏMULATLARI DA DAXİL OLMAQLA ÇADIRLARDA VƏ BAZARLARDA ƏRZAQ MƏHSULLARININ PƏRAKƏNDƏ SATIŞI </t>
  </si>
  <si>
    <t>47820</t>
  </si>
  <si>
    <t>ÇADIRLARDA VƏ BAZARLARDA TOXUCULUQ MƏMULATLARININ, GEYİMLƏRİN VƏ AYAQQABILARIN PƏRAKƏNDƏ SATIŞI </t>
  </si>
  <si>
    <t>47890</t>
  </si>
  <si>
    <t>ÇADIRLARDA VƏ BAZARLARDA SAİR MALLARIN PƏRAKƏNDƏ SATIŞ </t>
  </si>
  <si>
    <t>47910</t>
  </si>
  <si>
    <t>POÇT VƏ YA İNTERNET İLƏ SİFARİŞLƏRİ YERİNƏ YETİRƏN FİRMALAR VASİTƏSİLƏ PƏRAKƏNDƏ SATIŞ </t>
  </si>
  <si>
    <t>47990</t>
  </si>
  <si>
    <t>MAĞAZA, ÇADIR VƏ BAZARLARDAN KƏNARDA SAİR PƏRAKƏNDƏ SATIŞ </t>
  </si>
  <si>
    <t>49100</t>
  </si>
  <si>
    <t>ŞƏHƏRLƏRARASI DƏMİR YOLU XƏTTİ İLƏ SƏRNİŞİN DAŞINMASI </t>
  </si>
  <si>
    <t>49201</t>
  </si>
  <si>
    <t>DƏMİR YOLU VASİTƏSİ İLƏ YÜK DAŞINMASI </t>
  </si>
  <si>
    <t>49202</t>
  </si>
  <si>
    <t>TƏHLÜKƏLİ YÜKLƏRİN DƏMİR YOLU VASİTƏSİ İLƏ DAŞINMASI </t>
  </si>
  <si>
    <t>49310</t>
  </si>
  <si>
    <t>ŞƏHƏR VƏ ŞƏHƏRƏTRAFI SƏRNİŞİN QURUYOL NƏQLİYYATI FƏALİYYƏTİ </t>
  </si>
  <si>
    <t>49320</t>
  </si>
  <si>
    <t>TAKSİ FƏALİYYƏTİ </t>
  </si>
  <si>
    <t>49391</t>
  </si>
  <si>
    <t>DİGƏR QRUPLARA DAXİL EDİLMƏYƏN SAİR QURU YOL SƏRNİŞİN NƏQLİYYATININ FƏALİYYƏTİ </t>
  </si>
  <si>
    <t>49392</t>
  </si>
  <si>
    <t>AVTOMOBİL NƏQLİYYATI İLƏ BEYNƏLXALQ SƏRNİŞİN DAŞINMASI </t>
  </si>
  <si>
    <t>49411</t>
  </si>
  <si>
    <t>YÜK AVTOMOBİL NƏQLİYYATLARININ FƏALİYYƏTİ </t>
  </si>
  <si>
    <t>49412</t>
  </si>
  <si>
    <t>TƏHLÜKƏLİ YÜKLƏRİN YÜK AVTOMOBİL NƏQLİYYATI VASİTƏSİLƏ DAŞINMASI </t>
  </si>
  <si>
    <t>49413</t>
  </si>
  <si>
    <t>AVTOMOBİL NƏQLİYYATI İLƏ BEYNƏLXALQ YÜK DAŞINMASI </t>
  </si>
  <si>
    <t>49420</t>
  </si>
  <si>
    <t>YERDƏYİŞMƏ İLƏ ƏLAQƏDAR XİDMƏTLƏRİN GÖSTƏRİLMƏSİ </t>
  </si>
  <si>
    <t>49501</t>
  </si>
  <si>
    <t>BORU KƏMƏRİ VASİTƏSİLƏ QAZŞƏKİLLİ MATERİALLARIN NƏQLİ </t>
  </si>
  <si>
    <t>49502</t>
  </si>
  <si>
    <t>BORU KƏMƏRİ VASİTƏSİLƏ MAYEŞƏKİLLİ MATERİALLARIN DAŞINMASI </t>
  </si>
  <si>
    <t>49503</t>
  </si>
  <si>
    <t>TƏHLÜKƏLİ YÜKLƏRİN BORU KƏMƏRİ VASİTƏSİLƏ DAŞINMASI </t>
  </si>
  <si>
    <t>50101</t>
  </si>
  <si>
    <t>DƏNİZ NƏQLİYYATI VASİTƏSİLƏ SƏRNİŞİN DAŞINMASI </t>
  </si>
  <si>
    <t>50102</t>
  </si>
  <si>
    <t>EKSKURSİYA, GƏZİNTİ VƏ TURİST GƏMİLƏRİNİN XİDMƏTLƏRİ </t>
  </si>
  <si>
    <t>50201</t>
  </si>
  <si>
    <t>DƏNİZ NƏQLİYYATI VASİTƏSİLƏ YÜKLƏRİN DAŞINMASI </t>
  </si>
  <si>
    <t>50202</t>
  </si>
  <si>
    <t>TƏHLÜKƏLİ YÜKLƏRİN DƏNİZ NƏQLİYYATI VASİTƏSİLƏ DAŞINMASI </t>
  </si>
  <si>
    <t>50300</t>
  </si>
  <si>
    <t>DAXİLİ SU NƏQLİYYATI VASİTƏSİ İLƏ (ÇAYLARDA) SƏRNİŞİN DAŞINMASI </t>
  </si>
  <si>
    <t>50401</t>
  </si>
  <si>
    <t>ÇAY NƏQLİYYATI VASİTƏSİLƏ YÜKLƏRİN DAŞINMASI  </t>
  </si>
  <si>
    <t>50402</t>
  </si>
  <si>
    <t>TƏHLÜKƏLİ YÜKLƏRİN ÇAY NƏQLİYYATI VASİTƏSİLƏ DAŞINMASI </t>
  </si>
  <si>
    <t>51100</t>
  </si>
  <si>
    <t>HAVA NƏQLİYYATI VASİTƏSİLƏ SƏRNİŞİNLƏRİN DAŞINMASI </t>
  </si>
  <si>
    <t>51211</t>
  </si>
  <si>
    <t>HAVA NƏQLİYYATI VASİTƏSİLƏ YÜKLƏRİN DAŞINMASI </t>
  </si>
  <si>
    <t>51212</t>
  </si>
  <si>
    <t>HAVA NƏQLİYYATI VASİTƏSİLƏ TƏHLÜKƏLİ YÜKLƏRİN DAŞINMASI </t>
  </si>
  <si>
    <t>51221</t>
  </si>
  <si>
    <t>KOSMİK NƏQLİYYATIN FƏALİYYƏTİ </t>
  </si>
  <si>
    <t>51222</t>
  </si>
  <si>
    <t>TƏHLÜKƏLİ YÜKLƏRİN KOSMİK NƏQLİYYATI VASİTƏSİLƏ DAŞINMASI </t>
  </si>
  <si>
    <t>52101</t>
  </si>
  <si>
    <t>SAXLAMA VƏ ANBARLARA YIĞMA </t>
  </si>
  <si>
    <t>52102</t>
  </si>
  <si>
    <t>GÖMRÜK ANBARLARININ, MÜVƏQQƏTİ SAXLANC ANBARLARININ, SƏRBƏST ANBARLARIN TƏSİS EDİLMƏSİ </t>
  </si>
  <si>
    <t>52210</t>
  </si>
  <si>
    <t>YERÜSTÜ NƏQLİYYATLARIN YARDIMÇI FƏALİYYƏTİ </t>
  </si>
  <si>
    <t>52220</t>
  </si>
  <si>
    <t>SU NƏQLİYYATLARININ YARDIMÇI FƏALİYYƏTİ </t>
  </si>
  <si>
    <t>52230</t>
  </si>
  <si>
    <t>HAVA NƏQLİYYATININ YARDIMÇI FƏALİYYƏTİ </t>
  </si>
  <si>
    <t>52240</t>
  </si>
  <si>
    <t>YÜKLƏRİN NƏQLİYYAT EMALI </t>
  </si>
  <si>
    <t>52290</t>
  </si>
  <si>
    <t>SAİR YARDIMÇI NƏQLİYYAT FƏALİYYƏTİ </t>
  </si>
  <si>
    <t>52292</t>
  </si>
  <si>
    <t>GÖMRÜK BROKERİ, GÖMRÜK DAŞIYICISI, GÖMRÜK ƏRAZİSİNDƏ MALLARIN EMALI VƏ GÖMRÜK ƏRAZİSİNDƏN KƏNARDA MALLARIN EMALI </t>
  </si>
  <si>
    <t>53101</t>
  </si>
  <si>
    <t>POÇT FƏALİYYƏTİ </t>
  </si>
  <si>
    <t>53102</t>
  </si>
  <si>
    <t>SÜRƏTLİ POÇT XİDMƏTİ </t>
  </si>
  <si>
    <t>53200</t>
  </si>
  <si>
    <t>SAİR POÇT VƏ KURYER FƏALİYYƏTİ </t>
  </si>
  <si>
    <t>55100</t>
  </si>
  <si>
    <t>MEHMANXANALAR VƏ OXŞAR YERLƏR TƏRƏFİNDƏN XİDMƏTLƏRİN GÖSTƏRİLMƏSİ </t>
  </si>
  <si>
    <t>55200</t>
  </si>
  <si>
    <t>KİÇİK YAYLAQ EVLƏRİ VƏ QISA MÜDDƏT QALMAQ ÜÇÜN SAİR YERLƏR TƏRƏFİNDƏN XİDMƏTLƏRİN GÖSTƏRİLMƏSİ </t>
  </si>
  <si>
    <t>55300</t>
  </si>
  <si>
    <t>KEMPİNQ, AVTO-QOŞQU EVLƏR VƏ AVTO-QOŞQU EVLƏR DAYANACAQLARI TƏRƏFİNDƏN XİDMƏTLƏRİN GÖSTƏRİLMƏSİ </t>
  </si>
  <si>
    <t>55900</t>
  </si>
  <si>
    <t>YAŞAYIŞ ÜÇÜN SAİR YERLƏR TƏRƏFİNDƏN XİDMƏTLƏRİN GÖSTƏRİLMƏSİ </t>
  </si>
  <si>
    <t>56100</t>
  </si>
  <si>
    <t>RESTORANLAR TƏRƏFİNDƏN XİDMƏTLƏRİN GÖSTƏRİLMƏSİ VƏ YEMƏKLƏRİN ÇATDIRILMASI ÜZRƏ XİDMƏTLƏR </t>
  </si>
  <si>
    <t>56102</t>
  </si>
  <si>
    <t>ŞADLIQ EVLƏRİNİN XİDMƏTLƏRİ </t>
  </si>
  <si>
    <t>56103</t>
  </si>
  <si>
    <t>ÇAYXANALAR TƏRƏFİNDƏN XİDMƏTLƏRİN GÖSTƏRİLMƏSİ </t>
  </si>
  <si>
    <t>56210</t>
  </si>
  <si>
    <t>HAZIR YEMƏKLƏRİN GÖNDƏRİLMƏSİ </t>
  </si>
  <si>
    <t>56290</t>
  </si>
  <si>
    <t>YEMƏKLƏRİN SATIŞI İLƏ ƏLAQƏDAR SAİR XİDMƏTLƏRİN GÖSTƏRİLMƏSİ  </t>
  </si>
  <si>
    <t>56292</t>
  </si>
  <si>
    <t>YEMƏKXANALAR TƏRƏFİNDƏN XİDMƏTLƏRİN GÖSTƏRİLMƏSİ </t>
  </si>
  <si>
    <t>56300</t>
  </si>
  <si>
    <t>İÇKİLƏRİN SATIŞI İLƏ ƏLAQƏDAR (BARLAR TƏRƏFİNDƏN) XİDMƏTLƏRİN GÖSTƏRİLMƏSİ </t>
  </si>
  <si>
    <t>58110</t>
  </si>
  <si>
    <t>KİTAB NƏŞRİ </t>
  </si>
  <si>
    <t>58120</t>
  </si>
  <si>
    <t>MƏLUMAT KİTABLARININ VƏ ÜNVAN SİYAHILARININ NƏŞRİ </t>
  </si>
  <si>
    <t>58130</t>
  </si>
  <si>
    <t>QƏZET NƏŞRİ </t>
  </si>
  <si>
    <t>58140</t>
  </si>
  <si>
    <t>JURNAL VƏ DÖVRİ NƏŞRLƏRİN DƏRC EDİLMƏSİ </t>
  </si>
  <si>
    <t>58190</t>
  </si>
  <si>
    <t>SAİR NƏŞRİYYAT FƏALİYYƏTİ </t>
  </si>
  <si>
    <t>58210</t>
  </si>
  <si>
    <t>KOMPYUTER OYUNLARININ NƏŞRİ </t>
  </si>
  <si>
    <t>58290</t>
  </si>
  <si>
    <t>SAİR PROQRAM TƏMİNATININ NƏŞRİ </t>
  </si>
  <si>
    <t>59110</t>
  </si>
  <si>
    <t>KİNOFİLMLƏRİN, VİDEO VƏ TELEVİZİYA PROQRAMLARININ İSTEHSALI İLƏ ƏLAQƏDAR FƏALİYYƏT </t>
  </si>
  <si>
    <t>59120</t>
  </si>
  <si>
    <t>KİNOFİLMLƏRİN, VİDEO VƏ TELEVİZİYA PROQRAMLARININ HAZIRLANMASINDAN SONRA FƏALİYYƏT (YIĞILMASI) </t>
  </si>
  <si>
    <t>59130</t>
  </si>
  <si>
    <t>KİNOFİLMLƏRİN, VİDEO VƏ TELEVİZİYA PROQRAMLARININ YAYIMI İLƏ ƏLAQƏDAR FƏALİYYƏT </t>
  </si>
  <si>
    <t>59140</t>
  </si>
  <si>
    <t>KİNOFİLMLƏRİN NÜMAYİŞİ İLƏ ƏLAQƏDAR FƏALİYYƏT </t>
  </si>
  <si>
    <t>59200</t>
  </si>
  <si>
    <t>SƏSYAZMA VƏ MUSİQİ NƏŞRLƏRİ İLƏ ƏLAQƏDAR FƏALİYYƏT </t>
  </si>
  <si>
    <t>60100</t>
  </si>
  <si>
    <t>RADİOVERİLİŞLƏRİN TRANSLYASİYA EDİLMƏSİ </t>
  </si>
  <si>
    <t>60200</t>
  </si>
  <si>
    <t>TELEVİZİYA PROQRAMLARININ TƏRTİB EDİLMƏSİ VƏ TELEVERİLİŞLƏRİN TRANSLYASİYA EDİLMƏSİ </t>
  </si>
  <si>
    <t>61101</t>
  </si>
  <si>
    <t>SİMLİ TELEKOMMUNİKASİYA FƏALİYYƏTİ </t>
  </si>
  <si>
    <t>61102</t>
  </si>
  <si>
    <t>TELEFON RABİTƏSİ </t>
  </si>
  <si>
    <t>61103</t>
  </si>
  <si>
    <t>TELEQRAF RABİTƏSİ </t>
  </si>
  <si>
    <t>61104</t>
  </si>
  <si>
    <t>TELEKS </t>
  </si>
  <si>
    <t>61201</t>
  </si>
  <si>
    <t>SİMSİZ TELEKOMMUNİKASİYA FƏALİYYƏTİ </t>
  </si>
  <si>
    <t>61202</t>
  </si>
  <si>
    <t>MOBİL TELEFON RABİTƏSİ XİDMƏTLƏRİNİN GÖSTƏRİLMƏSİ </t>
  </si>
  <si>
    <t>61300</t>
  </si>
  <si>
    <t>PEYK RABİTƏSİ XİDMƏTLƏRİNİN GÖSTƏRİLMƏSİ </t>
  </si>
  <si>
    <t>61900</t>
  </si>
  <si>
    <t>SAİR TELEKOMMUNİKASİYA FƏALİYYƏTİ </t>
  </si>
  <si>
    <t>61902</t>
  </si>
  <si>
    <t>İNTERNET RABİTƏSİ </t>
  </si>
  <si>
    <t>62010</t>
  </si>
  <si>
    <t>PROQRAM TƏMİNATININ İŞLƏNMƏSİ </t>
  </si>
  <si>
    <t>62021</t>
  </si>
  <si>
    <t>HESABLAMA TEXNİKASI VASİTƏLƏRİ ÜZRƏ MƏSLƏHƏTLƏR </t>
  </si>
  <si>
    <t>62022</t>
  </si>
  <si>
    <t>SAİR MƏSLƏHƏTLƏR VƏ PROQRAM TƏMİNATININ GÖNDƏRİLMƏSİ </t>
  </si>
  <si>
    <t>62023</t>
  </si>
  <si>
    <t>İNFORMASİYA MÜHAFİZƏ VASİTƏLƏRİNİN LAYİHƏLƏNDİRİLMƏSİ VƏ İSTEHSALI SAHƏSİNDƏ FƏALİYYƏT </t>
  </si>
  <si>
    <t>62030</t>
  </si>
  <si>
    <t>HESABLAMA SİSTEMLƏRİNİN İDARƏ EDİLMƏSİ </t>
  </si>
  <si>
    <t>62090</t>
  </si>
  <si>
    <t>MƏLUMAT TEXNOLOGİYALARI VƏ HESABLAMA TEXNİKASI SAHƏSİNDƏ SAİR FƏALİYYƏT </t>
  </si>
  <si>
    <t>63110</t>
  </si>
  <si>
    <t>MƏLUMATLARIN İŞLƏNMƏSİ VƏ BUNUNLA BAĞLI FƏALİYYƏT </t>
  </si>
  <si>
    <t>63120</t>
  </si>
  <si>
    <t>VEB SƏHİFƏLƏRİNDƏN (İNTERNET PORTALLARINDAN) İSTİFADƏ </t>
  </si>
  <si>
    <t>63910</t>
  </si>
  <si>
    <t>MƏLUMAT AGENTLİKLƏRİNİN FƏALİYYƏTİ </t>
  </si>
  <si>
    <t>63991</t>
  </si>
  <si>
    <t>DİGƏR QRUPLARA DAXİL EDİLMƏYƏN SAİR İNFORMASİYA XİDMƏTLƏRİ </t>
  </si>
  <si>
    <t>63992</t>
  </si>
  <si>
    <t>ŞƏBƏKƏLƏRƏ TEXNİKİ XİDMƏT GÖSTƏRİLMƏSİ </t>
  </si>
  <si>
    <t>64110</t>
  </si>
  <si>
    <t>MƏRKƏZİ BANKIN FƏALİYYƏTİ </t>
  </si>
  <si>
    <t>DİGƏR PUL VASİTƏÇİLİYİ </t>
  </si>
  <si>
    <t>64200</t>
  </si>
  <si>
    <t>HOLDİNQ KOMPANİYALARININ FƏALİYYƏTİ </t>
  </si>
  <si>
    <t>64300</t>
  </si>
  <si>
    <t>TRAST-KOMPANİYALARININ, İNVESTİSİYA FONDLARININ VƏ OXŞAR MALİYYƏ TƏŞKİLATLARININ FƏALİYYƏTİ </t>
  </si>
  <si>
    <t>64910</t>
  </si>
  <si>
    <t>MALİYYƏ LİZİNQİ </t>
  </si>
  <si>
    <t>64920</t>
  </si>
  <si>
    <t>KREDİTİN VERİLMƏSİ </t>
  </si>
  <si>
    <t>64922</t>
  </si>
  <si>
    <t>LOMBARDLARIN FƏALİYYƏTİ </t>
  </si>
  <si>
    <t>64991</t>
  </si>
  <si>
    <t>QİYMƏTLİ KAĞIZLAR BAZARININ PROFESSİONAL İŞTİRAKÇILARININ FƏALİYYƏTİ (BROKER, DİLER, QİYMƏTLİ KAĞIZLARIN İDARƏ EDİLMƏSİ, QARŞILIQLI ÖHDƏLİKLƏRİN MÜƏYYƏN EDİLMƏSİ (KLİRİNQ), DEPOZİTAR) </t>
  </si>
  <si>
    <t>64992</t>
  </si>
  <si>
    <t>DİGƏR QRUPLARA DAXİL EDİLMƏYƏN SAİR MALİYYƏ VASİTƏÇİLİYİ </t>
  </si>
  <si>
    <t>65110</t>
  </si>
  <si>
    <t>HƏYATIN SIĞORTASI </t>
  </si>
  <si>
    <t>65120</t>
  </si>
  <si>
    <t>SIĞORTANIN SAİR NÖVLƏRİ (HƏYATIN SIĞORTALANMASINDAN BAŞQA) </t>
  </si>
  <si>
    <t>65200</t>
  </si>
  <si>
    <t>TƏKRAR SIĞORTALAR </t>
  </si>
  <si>
    <t>65300</t>
  </si>
  <si>
    <t>PENSİYA TƏMİNATI </t>
  </si>
  <si>
    <t>66110</t>
  </si>
  <si>
    <t>MALİYYƏ BAZARLARININ İDARƏ EDİLMƏSİ </t>
  </si>
  <si>
    <t>66121</t>
  </si>
  <si>
    <t>FOND BAZARI VƏ BİRJA ƏMƏLİYYATLARI </t>
  </si>
  <si>
    <t>66122</t>
  </si>
  <si>
    <t>ƏMTƏƏ BİRJASININ FƏALİYYƏTİ </t>
  </si>
  <si>
    <t>66190</t>
  </si>
  <si>
    <t>MALİYYƏ XİDMƏTLƏRİ SAHƏSİNDƏ SAİR YARDIMÇI FƏALİYYƏT </t>
  </si>
  <si>
    <t>66210</t>
  </si>
  <si>
    <t>RİSK VƏ ZƏRƏRİN QİYMƏTLƏNDİRİLMƏSİ </t>
  </si>
  <si>
    <t>66220</t>
  </si>
  <si>
    <t>SIĞORTA AGENTLƏRİNİN VƏ MAKLERLƏRİN FƏALİYYƏTİ </t>
  </si>
  <si>
    <t>66291</t>
  </si>
  <si>
    <t>SIĞORTA VƏ PENSİYA TƏMİNATI SAHƏSİNDƏ SAİR YARDIMÇI FƏALİYYƏT </t>
  </si>
  <si>
    <t>66292</t>
  </si>
  <si>
    <t>QEYRİ-DÖVLƏT PENSİYA FONDLARININ FƏALİYYƏTİ </t>
  </si>
  <si>
    <t>66300</t>
  </si>
  <si>
    <t>FONDLARIN İDARƏ EDİLMƏSİ </t>
  </si>
  <si>
    <t>68100</t>
  </si>
  <si>
    <t>ŞƏXSİ DAŞINMAZ ƏMLAKIN ALINMASI VƏ SATILMASI </t>
  </si>
  <si>
    <t>68200</t>
  </si>
  <si>
    <t>ŞƏXSİ DAŞINMAZ ƏMLAKIN İSTİSMARA VƏ KİRAYƏYƏ VERİLMƏSİ </t>
  </si>
  <si>
    <t>68310</t>
  </si>
  <si>
    <t>DAŞINMAZ ƏMLAKLA APARILAN ƏMƏLİYYATLAR ÜZRƏ AGENTLİKLƏRİN FƏALİYYƏTİ </t>
  </si>
  <si>
    <t>68320</t>
  </si>
  <si>
    <t>DAŞINMAZ ƏMLAKIN İDARƏ EDİLMƏSİ </t>
  </si>
  <si>
    <t>69100</t>
  </si>
  <si>
    <t>HÜQUQ SAHƏSİNDƏ FƏALİYYƏT </t>
  </si>
  <si>
    <t>69102</t>
  </si>
  <si>
    <t>XÜSUSİ NOTARİUSLARIN FƏALİYYƏTİ </t>
  </si>
  <si>
    <t>69103</t>
  </si>
  <si>
    <t>VƏKİLLİK FƏALİYYƏTİ </t>
  </si>
  <si>
    <t>69201</t>
  </si>
  <si>
    <t>MÜHASİBAT UÇOTU VƏ VERGİLƏR ÜZRƏ MƏSLƏHƏTLƏR </t>
  </si>
  <si>
    <t>69202</t>
  </si>
  <si>
    <t>AUDİTOR FƏALİYYƏTİ </t>
  </si>
  <si>
    <t>70100</t>
  </si>
  <si>
    <t>MƏRKƏZİ OFİSLƏRİN FƏALİYYƏTİ </t>
  </si>
  <si>
    <t>70210</t>
  </si>
  <si>
    <t>İCTİMAİ ƏLAQƏLƏRİN SAXLANILMASI VƏ MƏLUMAT MÜBADİLƏSİ </t>
  </si>
  <si>
    <t>70220</t>
  </si>
  <si>
    <t>KOMMERSİYA FƏALİYYƏTİ VƏ İDARƏETMƏ MƏSƏLƏLƏRİ ÜZRƏ SAİR MƏSLƏHƏTLƏR </t>
  </si>
  <si>
    <t>71111</t>
  </si>
  <si>
    <t>MEMARLIQ SAHƏSİNDƏ FƏALİYYƏT </t>
  </si>
  <si>
    <t>71112</t>
  </si>
  <si>
    <t>LAYİHƏ İŞLƏRİ </t>
  </si>
  <si>
    <t>71113</t>
  </si>
  <si>
    <t>GEOLOJİ-KƏŞFİYYAT VƏ GEODEZİYA AXTARIŞ İŞLƏRİ </t>
  </si>
  <si>
    <t>71114</t>
  </si>
  <si>
    <t>KARTOQRAFİYA FƏALİYYƏTİ </t>
  </si>
  <si>
    <t>71115</t>
  </si>
  <si>
    <t>I VƏ II MƏSULİYYƏT SƏVİYYƏLİ BİNA VƏ TİKİLİLƏRİN DÖVLƏT STANDARTLARINA UYĞUN OLARAQ LAYİHƏLƏNDİRİLMƏSİ VƏ MÜHƏNDİS AXTARIŞI </t>
  </si>
  <si>
    <t>71120</t>
  </si>
  <si>
    <t>MÜHƏNDİS AXTARIŞLARI VƏ BU SAHƏDƏ TEXNİKİ MƏSLƏHƏTLƏRİN VERİLMƏSİ </t>
  </si>
  <si>
    <t>71201</t>
  </si>
  <si>
    <t>TEXNİKİ SINAQ VƏ NƏZARƏT </t>
  </si>
  <si>
    <t>71202</t>
  </si>
  <si>
    <t>TƏHLÜKƏ POTENSİALLI OBYEKTLƏRDƏ İSTİSMAR OLUNAN AVADANLIQLARIN VƏ TEXNİKİ QURĞULARIN DİAQNOSTİKASI VƏ DİGƏR TEXNİKİ YOXLAMALARIN KEÇİRİLMƏSİ </t>
  </si>
  <si>
    <t>72110</t>
  </si>
  <si>
    <t>BİOTEXNOLOGİYA SAHƏSİNDƏ TƏDQİQATLAR VƏ İŞLƏMƏLƏR </t>
  </si>
  <si>
    <t>72190</t>
  </si>
  <si>
    <t>TƏBİİ VƏ TEXNİKİ ELMLƏR SAHƏSİNDƏ SAİR TƏDQİQATLAR VƏ İŞLƏMƏLƏR (BİOTEXNOLOGİYADAN BAŞQA) </t>
  </si>
  <si>
    <t>72200</t>
  </si>
  <si>
    <t>İCTİMAİ VƏ HUMANİTAR ELMLƏR SAHƏSİNDƏ TƏDQİQAT LAR VƏ İŞLƏMƏLƏR </t>
  </si>
  <si>
    <t>73110</t>
  </si>
  <si>
    <t>REKLAM AGENLİKLƏRİNİN FƏALİYYƏTİ </t>
  </si>
  <si>
    <t>73120</t>
  </si>
  <si>
    <t>KÜTLƏVİ İNFORMASİYA VASİTƏLƏRİNİN REKLAM XİDMƏTİ GÖSTƏRİLMƏSİ ÜZRƏ FƏALİYYƏTİ </t>
  </si>
  <si>
    <t>73200</t>
  </si>
  <si>
    <t>BAZAR KONYUNKTURASININ TƏDQİQİ VƏ İCTİMAİ RƏYİN ÖYRƏNİLMƏSİ </t>
  </si>
  <si>
    <t>74100</t>
  </si>
  <si>
    <t>İXTİSASLAŞDIRILMIŞ DİZAYN FƏALİYYƏTİ </t>
  </si>
  <si>
    <t>74200</t>
  </si>
  <si>
    <t>FOTOQRAFİYA SAHƏSİNDƏ FƏALİYYƏT </t>
  </si>
  <si>
    <t>74300</t>
  </si>
  <si>
    <t>TƏRCÜMƏ ÜZRƏ XİDMƏTLƏR (YAZILI VƏ ŞİFAHİ) </t>
  </si>
  <si>
    <t>74900</t>
  </si>
  <si>
    <t>DİGƏR QRUPLARA DAXİL EDİLMƏYƏN SAİR PEŞƏKAR, ELMİ VƏ TEXNİKİ FƏALİYYƏT </t>
  </si>
  <si>
    <t>75000</t>
  </si>
  <si>
    <t>BAYTARLIQ FƏALİYYƏTİ </t>
  </si>
  <si>
    <t>77110</t>
  </si>
  <si>
    <t>MİNİK AVTOMOBİLLƏRİNIN İCARƏSİ VƏ LİZİNQİ </t>
  </si>
  <si>
    <t>77120</t>
  </si>
  <si>
    <t>YÜK AVTOMOBİLLƏRİNIN İCARƏSİ VƏ LİZİNQİ </t>
  </si>
  <si>
    <t>77210</t>
  </si>
  <si>
    <t>İDMAN VƏ İSTİRAHƏT ÜÇÜN NƏZƏRDƏ TUTULMUŞ MALLARIN İCARƏSİ </t>
  </si>
  <si>
    <t>77220</t>
  </si>
  <si>
    <t>VİDEOLENTLƏRİN VƏ DİSKLƏRİN KİRAYƏSİ </t>
  </si>
  <si>
    <t>77290</t>
  </si>
  <si>
    <t>SAİR MƏİŞƏT MƏMULATLARININ VƏ ŞƏXSİ İSTİFADƏ ƏŞYALARININ KİRAYƏSİ </t>
  </si>
  <si>
    <t>77310</t>
  </si>
  <si>
    <t>KƏND TƏSƏRRÜFATI AVADANLIQLARININ KİRAYƏSİ </t>
  </si>
  <si>
    <t>77320</t>
  </si>
  <si>
    <t>TİKİNTİ MAŞIN VƏ AVADANLIQLARININ KİRAYƏSİ </t>
  </si>
  <si>
    <t>77330</t>
  </si>
  <si>
    <t>HESABLAMA TEXNİKASINI DAXİL ETMƏKLƏ OFİS AVADANLIQLARININ KİRAYƏSİ </t>
  </si>
  <si>
    <t>77340</t>
  </si>
  <si>
    <t>SU NƏQLİYYATI VASİTƏLƏRİ VƏ AVADANLIQLARININ KİRAYƏSİ </t>
  </si>
  <si>
    <t>77350</t>
  </si>
  <si>
    <t>HAVA NƏQLİYYATI VASİTƏLƏRİ VƏ AVADANLIQLARININ KİRAYƏSİ </t>
  </si>
  <si>
    <t>77390</t>
  </si>
  <si>
    <t>DİGƏR QRUPLARA DAXİL EDİLMƏYƏN SAİR MAŞIN VƏ AVADANLIQLARIN İCARƏSİ </t>
  </si>
  <si>
    <t>77400</t>
  </si>
  <si>
    <t>MÜƏLLİFLİK HÜQUQU İLƏ MÜDAFİƏ OLUNAN ƏSƏRLƏRDƏN BAŞQA İNTELEKTUAL MÜLKİYYƏTİN VƏ OXŞAR MƏHSULLARIN İCARƏSİ </t>
  </si>
  <si>
    <t>78100</t>
  </si>
  <si>
    <t>İŞƏ DÜZƏLTMƏ AGENTLİKLƏRİNİN FƏALİYYƏTİ </t>
  </si>
  <si>
    <t>78102</t>
  </si>
  <si>
    <t>AZƏRBAYCAN RESPUBLİKASI VƏTƏNDAŞLARININ XARİCİ ÖLKƏLƏRDƏ İŞƏ DÜZƏLMƏLƏRİNDƏ VASİTƏÇİLİK FƏALİYYƏTİ </t>
  </si>
  <si>
    <t>78200</t>
  </si>
  <si>
    <t>MÜVƏQQƏTİ İŞÇİ QÜVVƏSİ İLƏ TƏMİNAT ÜZRƏ FƏALİYYƏT </t>
  </si>
  <si>
    <t>78300</t>
  </si>
  <si>
    <t>SAİR ƏMƏK EHTİYATLARININ TƏQDİM EDİLMƏSİ ÜZRƏ FƏALİYYƏT </t>
  </si>
  <si>
    <t>79110</t>
  </si>
  <si>
    <t>SƏYAHƏT AGENTLİKLƏRİNİN FƏALİYYƏTİ </t>
  </si>
  <si>
    <t>79120</t>
  </si>
  <si>
    <t>TUROPERATORLARIN FƏALİYYƏTİ </t>
  </si>
  <si>
    <t>79900</t>
  </si>
  <si>
    <t>TURİZM SAHƏSİNDƏ ƏVVƏLCƏDƏN SİFARİŞETMƏ XİDMƏTLƏRİ VƏ BUNUNLA ƏLAQƏDAR FƏALİYYƏT </t>
  </si>
  <si>
    <t>80100</t>
  </si>
  <si>
    <t>ŞƏXSİ MÜHAFİZƏÇİLƏRİN VƏ ŞƏXSİ MÜHAFİZƏ BÜROLARININ FƏALİYYƏTİ </t>
  </si>
  <si>
    <t>80200</t>
  </si>
  <si>
    <t>TƏHLÜKƏSİZLİK SİSTEMLƏRİNİN FƏALİYYƏTİNİN TƏMİN EDİLMƏSİ </t>
  </si>
  <si>
    <t>80201</t>
  </si>
  <si>
    <t>MÜHAFİZƏ İTLƏRİNİN ÖYRƏDİLMƏSİ </t>
  </si>
  <si>
    <t>80300</t>
  </si>
  <si>
    <t>İSTİNTAQIN APARILMASI </t>
  </si>
  <si>
    <t>81100</t>
  </si>
  <si>
    <t>YARDIMÇI-TEXNİKİ XİDMƏTLƏRİN FƏALİYYƏTİ </t>
  </si>
  <si>
    <t>81210</t>
  </si>
  <si>
    <t>BİNALARIN ƏSASLI TƏMİZLƏNMƏSİ VƏ YIĞIŞDIRILMASI </t>
  </si>
  <si>
    <t>81220</t>
  </si>
  <si>
    <t>SAİR İSTEHSAL VƏ YAŞAYIŞ BİNALARININ TƏMİZLƏNMƏSİ VƏ YIĞIŞDIRILMASI </t>
  </si>
  <si>
    <t>81290</t>
  </si>
  <si>
    <t>TƏMİZLİK İŞLƏRİ ÜZRƏ SAİR FƏALİYYƏT </t>
  </si>
  <si>
    <t>81300</t>
  </si>
  <si>
    <t>MƏNZƏRƏLƏRİN DƏYİŞDİRİLMƏSİ ÜZRƏ XİDMƏTLƏRİN GÖSTƏRİLMƏSİ </t>
  </si>
  <si>
    <t>82110</t>
  </si>
  <si>
    <t>MÜƏSSİSƏLƏRİN, TƏŞKİLATLARIN İNZİBATİ XİDMƏTLƏRİNİN KOMPLEKS FƏALİYYƏTİ </t>
  </si>
  <si>
    <t>82190</t>
  </si>
  <si>
    <t>FOTOSURƏT, SƏNƏDLƏRİN HAZIRLANMASI VƏ SAİR XÜSUSİ İNZİBATİ XİDMƏTLƏRİN GÖSTƏRİLMƏSİ </t>
  </si>
  <si>
    <t>82200</t>
  </si>
  <si>
    <t>TELEFON MƏLUMAT MƏRKƏZLƏRİNİN FƏALİYYƏTİ </t>
  </si>
  <si>
    <t>82300</t>
  </si>
  <si>
    <t>KONQRESSLƏRİN VƏ PEŞƏKAR SALONLARIN TƏŞKİLİ </t>
  </si>
  <si>
    <t>82910</t>
  </si>
  <si>
    <t>ÖDƏNİŞLƏRİN YIĞILMASI VƏ KREDİT ƏMƏLİYYATLARI HAQQINDA HESABATLAR ÜZRƏ AGENTLİKLƏRİNİN FƏALİYYƏTİ </t>
  </si>
  <si>
    <t>82920</t>
  </si>
  <si>
    <t>QABLAŞDIRMA </t>
  </si>
  <si>
    <t>82990</t>
  </si>
  <si>
    <t>DİGƏR QRUPLARA DAXİL EDİLMƏYƏN BİZNESİN DƏSTƏKLƏNMƏSİNƏ YÖNƏLDİLMİŞ SAİR ƏLAVƏ FƏALİYYƏT </t>
  </si>
  <si>
    <t>84111</t>
  </si>
  <si>
    <t>ÜMUMİ XARAKTERLİ DÖVLƏT İDARƏETMƏSİ </t>
  </si>
  <si>
    <t>84112</t>
  </si>
  <si>
    <t>YERLİ ÖZÜNÜİDARƏETMƏ ORQANLARININ FƏALİYYƏTİ </t>
  </si>
  <si>
    <t>84120</t>
  </si>
  <si>
    <t>SOSİAL PROQRAMLARIN İDARƏ EDİLMƏSİ </t>
  </si>
  <si>
    <t>84130</t>
  </si>
  <si>
    <t>İQTİSADİ FƏALİYYƏTİN SƏMƏRƏLİ APARILMASINA YARDIM VƏ ONUN TƏNZİMLƏNMƏSİ </t>
  </si>
  <si>
    <t>84210</t>
  </si>
  <si>
    <t>BEYNƏLXALQ FƏALİYYƏT </t>
  </si>
  <si>
    <t>84220</t>
  </si>
  <si>
    <t>MÜDAFİƏ FƏALİYYƏTİ </t>
  </si>
  <si>
    <t>84230</t>
  </si>
  <si>
    <t>ƏDLİYYƏ VƏ ƏDALƏT MƏHKƏMƏSİ SAHƏSİNDƏ FƏALİYYƏT </t>
  </si>
  <si>
    <t>84240</t>
  </si>
  <si>
    <t>İCTİMAİ QAYDALARIN VƏ TƏHLÜKƏSİZLİYİN TƏMİN EDİLMƏSİ ÜZRƏ FƏALİYYƏT </t>
  </si>
  <si>
    <t>84251</t>
  </si>
  <si>
    <t>FÖVQƏLADƏ HALLAR ZAMANI TƏHLÜKƏSİZLİYİN TƏMİN EDİLMƏSİ ÜZRƏ FƏALİYYƏT </t>
  </si>
  <si>
    <t>84252</t>
  </si>
  <si>
    <t>MÜƏSSİSƏLƏRİN VƏ YAŞAYIŞ MƏNTƏQƏLƏRİNİN MÜQAVİLƏ ƏSASINDA YANĞINLARDAN QORUNMASI </t>
  </si>
  <si>
    <t>84300</t>
  </si>
  <si>
    <t>MƏCBURİ SOSİAL SIĞORTA SAHƏSİNDƏ FƏALİYYƏT </t>
  </si>
  <si>
    <t>85100</t>
  </si>
  <si>
    <t>MƏKTƏBƏQƏDƏR TƏHSİL </t>
  </si>
  <si>
    <t>85200</t>
  </si>
  <si>
    <t>İBTİDAİ TƏHSİL (BİRİNCİ DƏRƏCƏLİ) </t>
  </si>
  <si>
    <t>85311</t>
  </si>
  <si>
    <t>ÜMUMİ ORTA TƏHSİL (İKİNCİ DƏRƏCƏLİ) </t>
  </si>
  <si>
    <t>85312</t>
  </si>
  <si>
    <t>HAZIRLIQ KURSLARININ FƏALİYYƏTİ </t>
  </si>
  <si>
    <t>85320</t>
  </si>
  <si>
    <t>ORTA TEXNİKİ VƏ PEŞƏ TƏHSİLİ </t>
  </si>
  <si>
    <t>85410</t>
  </si>
  <si>
    <t>NATAMAM ALİ TƏHSİL </t>
  </si>
  <si>
    <t>85420</t>
  </si>
  <si>
    <t>ALİ TƏHSİL </t>
  </si>
  <si>
    <t>85510</t>
  </si>
  <si>
    <t>BƏDƏN TƏRBİYƏSİ VƏ İDMAN SAHƏSİNDƏ TƏHSİL FƏALİYYƏTİ </t>
  </si>
  <si>
    <t>85520</t>
  </si>
  <si>
    <t>MƏDƏNİYYƏT SAHƏSİNDƏ TƏHSİL FƏALİYYƏTİ </t>
  </si>
  <si>
    <t>85530</t>
  </si>
  <si>
    <t>SÜRÜCÜ HAZIRLAYAN MƏKTƏBLƏRİN FƏALİYYƏTİ </t>
  </si>
  <si>
    <t>85590</t>
  </si>
  <si>
    <t>DİGƏR QRUPLARA DAXİL EDİLMƏYƏN TƏHSİL SAHƏSİNDƏ SAİR FƏALİYYƏT </t>
  </si>
  <si>
    <t>85600</t>
  </si>
  <si>
    <t>TƏHSİL SAHƏSİNDƏ YARDIMÇI FƏALİYYƏT </t>
  </si>
  <si>
    <t>86100</t>
  </si>
  <si>
    <t>XƏSTƏXANALARIN FƏALİYYƏTİ </t>
  </si>
  <si>
    <t>86210</t>
  </si>
  <si>
    <t>ÜMUMİ HƏKİM PRAKTİKASI SAHƏSİNDƏ FƏALİYYƏT </t>
  </si>
  <si>
    <t>86220</t>
  </si>
  <si>
    <t>XÜSUSİ HƏKİM PRAKTİKASI SAHƏSİNDƏ FƏALİYYƏT </t>
  </si>
  <si>
    <t>86230</t>
  </si>
  <si>
    <t>STOMATOLOGİYA SAHƏSİNDƏ FƏALİYYƏT </t>
  </si>
  <si>
    <t>86900</t>
  </si>
  <si>
    <t>SƏHİYYƏ SAHƏSİNDƏ SAİR FƏALİYYƏT </t>
  </si>
  <si>
    <t>87100</t>
  </si>
  <si>
    <t>ORTA TİBB HEYYƏTİ TƏRƏFİNDƏN XƏSTƏLƏRƏ QULLUQ VƏ YAŞAYIŞ TƏMİNATI DA DAXİL OLMAQLA SOSİAL XİDMƏTLƏRİN GÖSTƏRİLMƏSİ </t>
  </si>
  <si>
    <t>87200</t>
  </si>
  <si>
    <t>ƏQLİ İNKİŞAFDAN QALAN ŞƏXSLƏR, ALKOQOL VƏ NARKOTİKLƏRDƏN SUİ-İSTİFADƏ EDƏN PSİXİKİ POZULMALAR I VƏ YA FİZİKİ ÇATIŞMAZLIQLARI OLAN ŞƏXSLƏRƏ YAŞAYIŞ TƏMİNATI DAXİL OLMAQLA SOSİAL XİDMƏTLƏRİN GÖSTƏRİLMƏSİ </t>
  </si>
  <si>
    <t>87300</t>
  </si>
  <si>
    <t>QOCALAR VƏ ƏMƏK QABİLİYYƏTİNİ İTİRMİŞ ŞƏXSLƏR ÜÇÜN YAŞAYIŞ TƏMİNATI DAXİL OLMAQLA SOSİAL XİDMƏTLƏRİN GÖSTƏRİLMƏSİ </t>
  </si>
  <si>
    <t>87900</t>
  </si>
  <si>
    <t>YAŞAYIŞI TƏMİN ETMƏKLƏ SAİR SOSİAL TƏMİNAT </t>
  </si>
  <si>
    <t>88100</t>
  </si>
  <si>
    <t>QOCALAR VƏ ƏMƏK QABİLİYYƏTİNİ İTİRMİŞ ŞƏXSLƏR ÜÇÜN YAŞAYIŞA TƏMİNATSIZ SOSİAL XİDMƏTLƏRİN GÖSTƏRİLMƏSİ  </t>
  </si>
  <si>
    <t>88910</t>
  </si>
  <si>
    <t>UŞAQLARA GÜNDÜZ VAXTI QULLUQ ETMƏ </t>
  </si>
  <si>
    <t>88990</t>
  </si>
  <si>
    <t>DİGƏR QRUPLARA DAXİL EDİLMƏYƏN YAŞAYIŞA TƏMİNATSIZ SAİR SOSİAL XİDMƏTLƏRİN GÖSTƏRİLMƏSİ  </t>
  </si>
  <si>
    <t>90010</t>
  </si>
  <si>
    <t>SƏHNƏ SƏNƏTİ </t>
  </si>
  <si>
    <t>90012</t>
  </si>
  <si>
    <t>MUSİQİÇİLƏR </t>
  </si>
  <si>
    <t>90020</t>
  </si>
  <si>
    <t>SƏHNƏ SƏNƏTİ SAHƏSİNDƏ YARDIMÇI FƏALİYYƏT </t>
  </si>
  <si>
    <t>90030</t>
  </si>
  <si>
    <t>İNCƏSƏNƏTİN SAİR SAHƏLƏRİ ÜZRƏ FƏALİYYƏT </t>
  </si>
  <si>
    <t>90040</t>
  </si>
  <si>
    <t>TEATR VƏ KONSERT ZALLARININ FƏALİYYƏTİ </t>
  </si>
  <si>
    <t>91010</t>
  </si>
  <si>
    <t>KİTABXANA VƏ ARXİVLƏRİN FƏALİYYƏTİ </t>
  </si>
  <si>
    <t>91020</t>
  </si>
  <si>
    <t>MUZEYLƏRİN FƏALİYYƏTİ </t>
  </si>
  <si>
    <t>91030</t>
  </si>
  <si>
    <t>TARİXİ YERLƏRİN VƏ BİNALARIN MÜHAFİZƏSİ SAHƏSİNDƏ FƏALİYYƏTİ  </t>
  </si>
  <si>
    <t>91040</t>
  </si>
  <si>
    <t>NƏBATƏT BAĞLARININ, HEYVANXANALARIN VƏ QORUQLARIN FƏALİYYƏTİ  </t>
  </si>
  <si>
    <t>92000</t>
  </si>
  <si>
    <t>QUMAR OYUNLARININ TƏŞKİLİ VƏ MƏRC ÇƏKMƏK ÜZRƏ FƏALİYYƏT </t>
  </si>
  <si>
    <t>93110</t>
  </si>
  <si>
    <t>İDMAN OBYEKTLƏRİNİN İSTİSMARI VƏ İDARƏ EDİLMƏSİ </t>
  </si>
  <si>
    <t>93120</t>
  </si>
  <si>
    <t>İDMAN KLUBLARININ FƏALİYYƏTİ </t>
  </si>
  <si>
    <t>93130</t>
  </si>
  <si>
    <t>FİTNES KLUBLARININ FƏALİYYƏTİ </t>
  </si>
  <si>
    <t>93190</t>
  </si>
  <si>
    <t>İDMAN SAHƏSİNDƏ SAİR FƏALİYYƏT </t>
  </si>
  <si>
    <t>93210</t>
  </si>
  <si>
    <t>İSTİRAHƏT VƏ ƏYLƏNCƏ PARKLARININ FƏALİYYƏTİ </t>
  </si>
  <si>
    <t>93290</t>
  </si>
  <si>
    <t>İSTİRAHƏT VƏ ƏYLƏNCƏLƏRİN TƏŞKİLİ ÜZRƏ SAİR FƏALİYYƏT </t>
  </si>
  <si>
    <t>94110</t>
  </si>
  <si>
    <t>KOMMERSİYA VƏ SAHİBKAR TƏŞKİLATLARIN (CƏMİYYƏTLƏRİN, BİRLİKLƏRİN, İTTİFAQLARIN) FƏALİYYƏTİ </t>
  </si>
  <si>
    <t>94120</t>
  </si>
  <si>
    <t>PEŞƏKAR BİRLİKLƏRİN (İTTİFAQLARIN) FƏALİYYƏTİ </t>
  </si>
  <si>
    <t>94200</t>
  </si>
  <si>
    <t>HƏMKARLAR BİRLİKLƏRİNİN (İTTİFAQLARININ) FƏALİYYƏTİ </t>
  </si>
  <si>
    <t>94910</t>
  </si>
  <si>
    <t>DİNİ TƏŞKİLATLARIN FƏALİYYƏTİ </t>
  </si>
  <si>
    <t>94920</t>
  </si>
  <si>
    <t>SİYASİ TƏŞKİLATLARIN FƏALİYYƏTİ </t>
  </si>
  <si>
    <t>94990</t>
  </si>
  <si>
    <t>DİGƏR QRUPLARA DAXİL EDİLMƏYƏN SAİR İCTİMAİ TƏŞKİLATLARIN FƏALİYYƏTİ </t>
  </si>
  <si>
    <t>95110</t>
  </si>
  <si>
    <t>KOMPYUTERLƏRİN VƏ PERİFERİYA AVADANLIQLARININ TƏMİRİ </t>
  </si>
  <si>
    <t>95120</t>
  </si>
  <si>
    <t>RABİTƏ AVADANLIQLARININ TƏMİRİ </t>
  </si>
  <si>
    <t>95210</t>
  </si>
  <si>
    <t>MƏİŞƏT ELEKTRİK AVADANLIQLARININ TƏMİRİ </t>
  </si>
  <si>
    <t>95220</t>
  </si>
  <si>
    <t>MƏİŞƏT TEXNİKASININ VƏ BAĞ TƏSƏRRÜFATI AVADANLIQLARININ TƏMİRİ </t>
  </si>
  <si>
    <t>95230</t>
  </si>
  <si>
    <t>AYAQQABI VƏ DƏRİDƏN DİGƏR MƏMULATLARIN TƏMİRİ </t>
  </si>
  <si>
    <t>95240</t>
  </si>
  <si>
    <t>MEBELLƏRİN VƏ EV ÜÇÜN OXŞAR MƏMULATLARIN TƏMİRİ </t>
  </si>
  <si>
    <t>95251</t>
  </si>
  <si>
    <t>SAATLARIN VƏ ZƏRGƏRLİK MƏMULATLARININ TƏMİRİ </t>
  </si>
  <si>
    <t>95252</t>
  </si>
  <si>
    <t>QİYMƏTLİ METALLARDAN VƏ QİYMƏTLİ DAŞLARDAN MƏHSULLARIN, O CÜMLƏDƏN ZƏRGƏRLİK VƏ DİGƏR MƏİŞƏT MƏMULATLARININ HAZIRLANMASI VƏ TƏMİRİ </t>
  </si>
  <si>
    <t>95290</t>
  </si>
  <si>
    <t>SAİR ŞƏXSİ İSTİFADƏ ƏŞYALARININ VƏ MƏİŞƏT MALLARININ TƏMİRİ </t>
  </si>
  <si>
    <t>96010</t>
  </si>
  <si>
    <t>TOXUCULUQ VƏ XƏZ MƏMULATLARININ YUYULMASI, KİMYƏVİ TƏMİZLƏNMƏSİ VƏ BOYANMASI  </t>
  </si>
  <si>
    <t>96020</t>
  </si>
  <si>
    <t>BƏRBƏRXANA VƏ GÖZƏLLİK SALONLARI TƏRƏFİNDƏN XİDMƏTLƏRİN GÖSTƏRİLMƏSİ  </t>
  </si>
  <si>
    <t>96030</t>
  </si>
  <si>
    <t>DƏFN MƏRASİMLƏRİNİN TƏŞKİLİ VƏ BUNUNLA ƏLAQƏDAR XİDMƏTLƏRİN GÖSTƏRİLMƏSİ </t>
  </si>
  <si>
    <t>96040</t>
  </si>
  <si>
    <t>FİZİKİ RAHATLIĞIN TƏMİN EDİLMƏSİ ÜZRƏ FƏALİYYƏT </t>
  </si>
  <si>
    <t>96090</t>
  </si>
  <si>
    <t>DİGƏR QRUPLARA DAXİL EDİLMƏYƏN SAİR FƏRDİ XİDMƏTLƏRİN GÖSTƏRİLMƏSİ </t>
  </si>
  <si>
    <t>97000</t>
  </si>
  <si>
    <t>MUZDLU İŞÇİLƏRLƏ ŞƏXSİ EV TƏSƏRRÜFATLARININ FƏALİYYƏTİ </t>
  </si>
  <si>
    <t>97002</t>
  </si>
  <si>
    <t>MUZDLU İŞƏ GÖRƏ ƏMƏK HAQQINDAN GƏLİR VERGİSİ ÖDƏYƏN FİZİKİ ŞƏXS </t>
  </si>
  <si>
    <t>98100</t>
  </si>
  <si>
    <t>ŞƏXSİ EV TƏSƏRRÜFATINDA FƏRDİ İSTEHLAK ÜÇÜN İSTEHSAL EDİLƏN MƏHSULLAR VƏ GÖSTƏRİLƏN XİDMƏTLƏR </t>
  </si>
  <si>
    <t>98200</t>
  </si>
  <si>
    <t>EV TƏSƏRRÜFATLARI TƏRƏFİNDƏN ŞƏXSİ İSTEHLAK ÜÇÜN MÜXTƏLİF XİDMƏTLƏRİN GÖSTƏRİLMƏSİ </t>
  </si>
  <si>
    <t>99000</t>
  </si>
  <si>
    <t>TOXUNULMAZLIQ HÜQUQU OLAN TƏŞKİLATLARIN FƏALİYYƏTİ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</si>
</sst>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"/>
    <numFmt numFmtId="165" formatCode="#,##0.0"/>
    <numFmt numFmtId="166" formatCode="0.0%"/>
  </numFmts>
  <fonts count="3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  <charset val="204"/>
    </font>
    <font>
      <b/>
      <sz val="18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1"/>
      <name val="Arial"/>
      <family val="2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sz val="28"/>
      <color theme="1"/>
      <name val="Arial"/>
      <family val="2"/>
    </font>
    <font>
      <b/>
      <sz val="26"/>
      <color theme="1"/>
      <name val="Arial"/>
      <family val="2"/>
    </font>
    <font>
      <b/>
      <sz val="24"/>
      <color theme="1"/>
      <name val="Arial"/>
      <family val="2"/>
    </font>
    <font>
      <i/>
      <sz val="20"/>
      <color theme="1"/>
      <name val="Arial"/>
      <family val="2"/>
    </font>
    <font>
      <i/>
      <sz val="16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i/>
      <sz val="14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2" tint="-0.89999084444715716"/>
      <name val="Arial"/>
      <family val="2"/>
      <charset val="204"/>
    </font>
    <font>
      <b/>
      <sz val="22"/>
      <color theme="1"/>
      <name val="Arial"/>
      <family val="2"/>
    </font>
    <font>
      <sz val="16"/>
      <color theme="1"/>
      <name val="Arial"/>
      <family val="2"/>
    </font>
    <font>
      <sz val="2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rgb="FFFFFFCC"/>
        </stop>
        <stop position="1">
          <color rgb="FFFFFFFF"/>
        </stop>
      </gradientFill>
    </fill>
    <fill>
      <patternFill patternType="solid">
        <fgColor rgb="FFFFFF99"/>
        <bgColor theme="4" tint="0.59999389629810485"/>
      </patternFill>
    </fill>
    <fill>
      <patternFill patternType="solid">
        <fgColor rgb="FFFFFFCC"/>
        <bgColor theme="4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04998931852168340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43" applyNumberFormat="1" fontId="12" applyFont="0" fillId="0" applyFill="0" borderId="0" applyBorder="0" applyProtection="0" applyAlignment="0"/>
    <xf numFmtId="0" fontId="2" applyFont="1" fillId="0" borderId="0"/>
    <xf numFmtId="0" fontId="1" applyFont="1" fillId="0" borderId="0"/>
    <xf numFmtId="9" applyNumberFormat="1" fontId="12" applyFont="0" fillId="0" applyFill="0" borderId="0" applyBorder="0" applyProtection="0" applyAlignment="0"/>
  </cellStyleXfs>
  <cellXfs count="199">
    <xf numFmtId="0" fontId="0" fillId="0" borderId="0" xfId="0"/>
    <xf numFmtId="0" fontId="14" applyFont="1" fillId="0" borderId="1" applyBorder="1" xfId="0" applyProtection="1" applyAlignment="1">
      <alignment horizontal="center"/>
      <protection locked="0"/>
    </xf>
    <xf numFmtId="0" fontId="1" applyFont="1" fillId="0" applyFill="1" borderId="0" xfId="0" applyAlignment="1">
      <alignment horizontal="center"/>
    </xf>
    <xf numFmtId="0" fontId="1" applyFont="1" fillId="0" applyFill="1" borderId="0" xfId="0"/>
    <xf numFmtId="9" applyNumberFormat="1" fontId="1" applyFont="1" fillId="0" applyFill="1" borderId="0" xfId="4"/>
    <xf numFmtId="0" fontId="1" applyFont="1" fillId="0" applyFill="1" borderId="0" applyBorder="1" xfId="0" applyAlignment="1">
      <alignment horizontal="center"/>
    </xf>
    <xf numFmtId="0" fontId="1" applyFont="1" fillId="0" applyFill="1" borderId="0" xfId="0" applyAlignment="1">
      <alignment horizontal="left"/>
    </xf>
    <xf numFmtId="0" fontId="1" applyFont="1" fillId="0" applyFill="1" borderId="0" applyBorder="1" xfId="0" applyAlignment="1">
      <alignment horizontal="left"/>
    </xf>
    <xf numFmtId="0" fontId="24" applyFont="1" fillId="0" borderId="0" xfId="0" applyAlignment="1">
      <alignment horizontal="center"/>
    </xf>
    <xf numFmtId="0" fontId="1" applyFont="1" fillId="0" applyFill="1" borderId="0" applyBorder="1" xfId="0"/>
    <xf numFmtId="9" applyNumberFormat="1" fontId="1" applyFont="1" fillId="0" applyFill="1" borderId="0" xfId="4" applyAlignment="1">
      <alignment horizontal="center"/>
    </xf>
    <xf numFmtId="9" applyNumberFormat="1" fontId="1" applyFont="1" fillId="0" applyFill="1" borderId="0" xfId="4" applyAlignment="1">
      <alignment horizontal="left"/>
    </xf>
    <xf numFmtId="1" applyNumberFormat="1" fontId="1" applyFont="1" fillId="0" applyFill="1" borderId="0" xfId="0"/>
    <xf numFmtId="1" applyNumberFormat="1" fontId="1" applyFont="1" fillId="0" applyFill="1" borderId="0" xfId="0" applyAlignment="1">
      <alignment horizontal="center"/>
    </xf>
    <xf numFmtId="1" applyNumberFormat="1" fontId="1" applyFont="1" fillId="0" applyFill="1" borderId="0" xfId="0" applyAlignment="1">
      <alignment horizontal="left"/>
    </xf>
    <xf numFmtId="1" applyNumberFormat="1" fontId="14" applyFont="1" fillId="0" borderId="1" applyBorder="1" xfId="0" applyProtection="1" applyAlignment="1">
      <alignment horizontal="center"/>
      <protection locked="0"/>
    </xf>
    <xf numFmtId="10" applyNumberFormat="1" fontId="14" applyFont="1" fillId="0" borderId="1" applyBorder="1" xfId="0" applyProtection="1" applyAlignment="1">
      <alignment horizontal="center"/>
      <protection locked="0"/>
    </xf>
    <xf numFmtId="14" applyNumberFormat="1" fontId="14" applyFont="1" fillId="0" borderId="1" applyBorder="1" xfId="0" applyProtection="1" applyAlignment="1">
      <alignment horizontal="center"/>
      <protection locked="0"/>
    </xf>
    <xf numFmtId="9" applyNumberFormat="1" fontId="14" applyFont="1" fillId="0" borderId="1" applyBorder="1" xfId="4" applyProtection="1" applyAlignment="1">
      <alignment horizontal="center"/>
      <protection locked="0"/>
    </xf>
    <xf numFmtId="165" applyNumberFormat="1" fontId="14" applyFont="1" fillId="0" borderId="1" applyBorder="1" xfId="0" applyProtection="1" applyAlignment="1">
      <alignment horizontal="center" vertical="top" wrapText="1"/>
      <protection locked="0"/>
    </xf>
    <xf numFmtId="164" applyNumberFormat="1" fontId="14" applyFont="1" fillId="0" borderId="1" applyBorder="1" xfId="0" applyProtection="1" applyAlignment="1">
      <alignment horizontal="center"/>
      <protection locked="0"/>
    </xf>
    <xf numFmtId="164" applyNumberFormat="1" fontId="14" applyFont="1" fillId="0" borderId="1" applyBorder="1" xfId="0" applyProtection="1" applyAlignment="1">
      <alignment horizontal="left"/>
      <protection locked="0"/>
    </xf>
    <xf numFmtId="0" fontId="15" applyFont="1" fillId="0" borderId="0" xfId="0" applyAlignment="1">
      <alignment horizontal="justify" vertical="center"/>
    </xf>
    <xf numFmtId="0" fontId="24" applyFont="1" fillId="5" applyFill="1" borderId="16" applyBorder="1" xfId="0" applyAlignment="1">
      <alignment horizontal="center"/>
    </xf>
    <xf numFmtId="0" fontId="24" applyFont="1" fillId="5" applyFill="1" borderId="17" applyBorder="1" xfId="0" applyAlignment="1">
      <alignment horizontal="center"/>
    </xf>
    <xf numFmtId="0" fontId="24" applyFont="1" fillId="5" applyFill="1" borderId="18" applyBorder="1" xfId="0" applyAlignment="1">
      <alignment horizontal="center"/>
    </xf>
    <xf numFmtId="0" fontId="27" applyFont="1" fillId="6" applyFill="1" borderId="16" applyBorder="1" xfId="0" applyAlignment="1">
      <alignment horizontal="center"/>
    </xf>
    <xf numFmtId="0" fontId="24" applyFont="1" fillId="7" applyFill="1" borderId="19" applyBorder="1" xfId="0" applyAlignment="1">
      <alignment horizontal="center"/>
    </xf>
    <xf numFmtId="0" fontId="27" applyFont="1" fillId="6" applyFill="1" borderId="16" applyBorder="1" xfId="0" applyAlignment="1">
      <alignment horizontal="left"/>
    </xf>
    <xf numFmtId="0" fontId="24" applyFont="1" fillId="7" applyFill="1" borderId="19" applyBorder="1" xfId="0" applyAlignment="1">
      <alignment horizontal="left"/>
    </xf>
    <xf numFmtId="0" fontId="11" applyFont="1" fillId="0" applyFill="1" borderId="0" xfId="0"/>
    <xf numFmtId="0" fontId="10" applyFont="1" fillId="0" borderId="1" applyBorder="1" xfId="0" applyProtection="1" applyAlignment="1">
      <alignment horizontal="center" wrapText="1"/>
      <protection locked="0"/>
    </xf>
    <xf numFmtId="1" applyNumberFormat="1" fontId="14" applyFont="1" fillId="0" borderId="1" applyBorder="1" xfId="0" applyProtection="1" applyAlignment="1">
      <alignment horizontal="center" vertical="top" wrapText="1"/>
      <protection locked="0"/>
    </xf>
    <xf numFmtId="1" applyNumberFormat="1" fontId="14" applyFont="1" fillId="0" borderId="1" applyBorder="1" xfId="1" applyProtection="1" applyAlignment="1">
      <alignment horizontal="center" vertical="top" wrapText="1"/>
      <protection locked="0"/>
    </xf>
    <xf numFmtId="0" fontId="14" applyFont="1" fillId="2" applyFill="1" borderId="1" applyBorder="1" xfId="0" applyProtection="1" applyAlignment="1">
      <alignment horizontal="center"/>
      <protection locked="0"/>
    </xf>
    <xf numFmtId="0" fontId="14" applyFont="1" fillId="4" applyFill="1" borderId="1" applyBorder="1" xfId="0" applyProtection="1" applyAlignment="1">
      <alignment horizontal="center" vertical="center" wrapText="1"/>
    </xf>
    <xf numFmtId="0" fontId="14" applyFont="1" fillId="4" applyFill="1" borderId="1" applyBorder="1" xfId="0" applyProtection="1" applyAlignment="1">
      <alignment horizontal="center"/>
    </xf>
    <xf numFmtId="165" applyNumberFormat="1" fontId="14" applyFont="1" fillId="3" applyFill="1" borderId="1" applyBorder="1" xfId="4" applyProtection="1" applyAlignment="1">
      <alignment horizontal="center"/>
    </xf>
    <xf numFmtId="165" applyNumberFormat="1" fontId="14" applyFont="1" fillId="3" applyFill="1" borderId="1" applyBorder="1" xfId="4" applyProtection="1" applyAlignment="1">
      <alignment horizontal="center" vertical="center"/>
    </xf>
    <xf numFmtId="165" applyNumberFormat="1" fontId="14" applyFont="1" fillId="3" applyFill="1" borderId="1" applyBorder="1" xfId="0" applyProtection="1" applyAlignment="1">
      <alignment horizontal="center" vertical="center"/>
    </xf>
    <xf numFmtId="165" applyNumberFormat="1" fontId="14" applyFont="1" fillId="3" applyFill="1" borderId="1" applyBorder="1" xfId="0" applyProtection="1" applyAlignment="1">
      <alignment horizontal="center"/>
    </xf>
    <xf numFmtId="0" fontId="14" applyFont="1" fillId="3" applyFill="1" borderId="0" xfId="0" applyProtection="1" applyAlignment="1"/>
    <xf numFmtId="0" fontId="14" applyFont="1" fillId="2" applyFill="1" borderId="0" xfId="0" applyProtection="1" applyAlignment="1"/>
    <xf numFmtId="0" fontId="28" applyFont="1" fillId="3" applyFill="1" borderId="0" applyBorder="1" xfId="0" applyProtection="1" applyAlignment="1">
      <alignment horizontal="center" vertical="center"/>
    </xf>
    <xf numFmtId="0" fontId="14" applyFont="1" fillId="3" applyFill="1" borderId="0" applyBorder="1" xfId="0" applyProtection="1" applyAlignment="1"/>
    <xf numFmtId="0" fontId="14" applyFont="1" fillId="2" applyFill="1" borderId="0" applyBorder="1" xfId="0" applyProtection="1" applyAlignment="1"/>
    <xf numFmtId="0" fontId="16" applyFont="1" fillId="3" applyFill="1" borderId="0" xfId="0" applyProtection="1" applyAlignment="1"/>
    <xf numFmtId="0" fontId="13" applyFont="1" fillId="3" applyFill="1" borderId="0" xfId="0" applyProtection="1" applyAlignment="1"/>
    <xf numFmtId="0" fontId="14" applyFont="1" fillId="8" applyFill="1" borderId="0" xfId="0" applyProtection="1" applyAlignment="1"/>
    <xf numFmtId="0" fontId="14" applyFont="1" fillId="3" applyFill="1" borderId="0" applyBorder="1" xfId="0" applyProtection="1" applyAlignment="1">
      <alignment horizontal="left" vertical="center"/>
    </xf>
    <xf numFmtId="0" fontId="14" applyFont="1" fillId="3" applyFill="1" borderId="0" xfId="0" applyProtection="1" applyAlignment="1">
      <alignment horizontal="left" vertical="center"/>
    </xf>
    <xf numFmtId="0" fontId="16" applyFont="1" fillId="3" applyFill="1" borderId="0" xfId="0" applyProtection="1" applyAlignment="1">
      <alignment horizontal="center"/>
    </xf>
    <xf numFmtId="0" fontId="14" applyFont="1" fillId="3" applyFill="1" borderId="0" applyBorder="1" xfId="0" applyProtection="1" applyAlignment="1">
      <alignment horizontal="center" vertical="center"/>
    </xf>
    <xf numFmtId="0" fontId="14" applyFont="1" fillId="3" applyFill="1" borderId="0" xfId="0" applyProtection="1" applyAlignment="1">
      <alignment horizontal="center" vertical="center"/>
    </xf>
    <xf numFmtId="10" applyNumberFormat="1" fontId="13" applyFont="1" fillId="3" applyFill="1" borderId="0" applyBorder="1" xfId="0" applyProtection="1" applyAlignment="1">
      <alignment horizontal="center" vertical="center"/>
    </xf>
    <xf numFmtId="0" fontId="13" applyFont="1" fillId="3" applyFill="1" borderId="0" xfId="0" applyProtection="1" applyAlignment="1">
      <alignment horizontal="center" vertical="center" wrapText="1"/>
    </xf>
    <xf numFmtId="0" fontId="13" applyFont="1" fillId="3" applyFill="1" borderId="0" xfId="0" applyProtection="1" applyAlignment="1">
      <alignment horizontal="left" vertical="center" wrapText="1"/>
    </xf>
    <xf numFmtId="10" applyNumberFormat="1" fontId="13" applyFont="1" fillId="3" applyFill="1" borderId="0" applyBorder="1" xfId="0" applyProtection="1" applyAlignment="1">
      <alignment horizontal="left" vertical="center"/>
    </xf>
    <xf numFmtId="10" applyNumberFormat="1" fontId="13" applyFont="1" fillId="3" applyFill="1" borderId="0" applyBorder="1" xfId="0" applyProtection="1" applyAlignment="1">
      <alignment horizontal="center"/>
    </xf>
    <xf numFmtId="0" fontId="29" applyFont="1" fillId="3" applyFill="1" borderId="0" xfId="0" applyProtection="1" applyAlignment="1">
      <alignment horizontal="right"/>
    </xf>
    <xf numFmtId="0" fontId="14" applyFont="1" fillId="3" applyFill="1" borderId="0" applyBorder="1" xfId="0" applyProtection="1" applyAlignment="1">
      <alignment horizontal="right"/>
    </xf>
    <xf numFmtId="0" fontId="3" applyFont="1" fillId="3" applyFill="1" borderId="0" applyBorder="1" xfId="0" applyProtection="1" applyAlignment="1">
      <alignment vertical="center" wrapText="1"/>
    </xf>
    <xf numFmtId="0" fontId="4" applyFont="1" fillId="3" applyFill="1" borderId="0" applyBorder="1" xfId="0" applyProtection="1" applyAlignment="1">
      <alignment vertical="center" wrapText="1"/>
    </xf>
    <xf numFmtId="0" fontId="15" applyFont="1" fillId="8" applyFill="1" borderId="0" xfId="0" applyProtection="1" applyAlignment="1"/>
    <xf numFmtId="0" fontId="15" applyFont="1" fillId="2" applyFill="1" borderId="0" applyBorder="1" xfId="0" applyProtection="1" applyAlignment="1"/>
    <xf numFmtId="0" fontId="15" applyFont="1" fillId="2" applyFill="1" borderId="0" applyBorder="1" xfId="0" applyProtection="1" applyAlignment="1"/>
    <xf numFmtId="0" fontId="15" applyFont="1" fillId="2" applyFill="1" borderId="0" applyBorder="1" xfId="0" applyProtection="1" applyAlignment="1">
      <alignment horizontal="left"/>
    </xf>
    <xf numFmtId="0" fontId="15" applyFont="1" fillId="2" applyFill="1" borderId="0" applyBorder="1" xfId="0" applyProtection="1" applyAlignment="1">
      <alignment horizontal="center"/>
    </xf>
    <xf numFmtId="164" applyNumberFormat="1" fontId="15" applyFont="1" fillId="2" applyFill="1" borderId="0" applyBorder="1" xfId="0" applyProtection="1" applyAlignment="1"/>
    <xf numFmtId="0" fontId="5" applyFont="1" fillId="2" applyFill="1" borderId="0" applyBorder="1" xfId="0" applyProtection="1" applyAlignment="1">
      <alignment horizontal="center"/>
    </xf>
    <xf numFmtId="0" fontId="15" applyFont="1" fillId="2" applyFill="1" borderId="0" applyBorder="1" xfId="0" applyProtection="1" applyAlignment="1">
      <alignment horizontal="left" wrapText="1"/>
    </xf>
    <xf numFmtId="0" fontId="5" applyFont="1" fillId="2" applyFill="1" borderId="0" applyBorder="1" xfId="0" applyProtection="1" applyAlignment="1">
      <alignment horizontal="left"/>
    </xf>
    <xf numFmtId="0" fontId="16" applyFont="1" fillId="2" applyFill="1" borderId="0" applyBorder="1" xfId="0" applyProtection="1" applyAlignment="1">
      <alignment wrapText="1"/>
    </xf>
    <xf numFmtId="0" fontId="16" applyFont="1" fillId="2" applyFill="1" borderId="0" applyBorder="1" xfId="0" applyProtection="1" applyAlignment="1">
      <alignment horizontal="left" wrapText="1"/>
    </xf>
    <xf numFmtId="0" fontId="15" applyFont="1" fillId="2" applyFill="1" borderId="0" applyBorder="1" xfId="0" applyProtection="1" applyAlignment="1">
      <alignment horizontal="center" wrapText="1"/>
    </xf>
    <xf numFmtId="164" applyNumberFormat="1" fontId="15" applyFont="1" fillId="2" applyFill="1" borderId="0" applyBorder="1" xfId="0" applyProtection="1" applyAlignment="1">
      <alignment horizontal="center" wrapText="1"/>
    </xf>
    <xf numFmtId="49" applyNumberFormat="1" fontId="15" applyFont="1" fillId="2" applyFill="1" borderId="0" applyBorder="1" xfId="0" applyProtection="1" applyAlignment="1">
      <alignment horizontal="center"/>
    </xf>
    <xf numFmtId="166" applyNumberFormat="1" fontId="15" applyFont="1" fillId="2" applyFill="1" borderId="0" applyBorder="1" xfId="0" applyProtection="1" applyAlignment="1">
      <alignment horizontal="left" wrapText="1"/>
    </xf>
    <xf numFmtId="0" fontId="15" applyFont="1" fillId="2" applyFill="1" borderId="0" applyBorder="1" xfId="0" applyProtection="1" applyAlignment="1">
      <alignment wrapText="1"/>
    </xf>
    <xf numFmtId="0" fontId="17" applyFont="1" fillId="2" applyFill="1" borderId="0" applyBorder="1" xfId="0" applyProtection="1" applyAlignment="1">
      <alignment horizontal="left" vertical="center" wrapText="1"/>
    </xf>
    <xf numFmtId="0" fontId="15" applyFont="1" fillId="2" applyFill="1" borderId="0" applyBorder="1" xfId="0" applyProtection="1" applyAlignment="1">
      <alignment horizontal="left" vertical="center" wrapText="1"/>
    </xf>
    <xf numFmtId="0" fontId="14" applyFont="1" fillId="2" applyFill="1" borderId="0" xfId="0" applyProtection="1" applyAlignment="1">
      <alignment horizontal="left"/>
    </xf>
    <xf numFmtId="0" fontId="14" applyFont="1" fillId="2" applyFill="1" borderId="0" xfId="0" applyProtection="1" applyAlignment="1">
      <alignment horizontal="center"/>
    </xf>
    <xf numFmtId="0" fontId="18" applyFont="1" fillId="2" applyFill="1" borderId="0" applyBorder="1" xfId="0" applyProtection="1" applyAlignment="1"/>
    <xf numFmtId="0" fontId="23" applyFont="1" fillId="2" applyFill="1" borderId="0" applyBorder="1" xfId="0" applyProtection="1" applyAlignment="1"/>
    <xf numFmtId="0" fontId="23" applyFont="1" fillId="2" applyFill="1" borderId="0" applyBorder="1" xfId="0" applyProtection="1" applyAlignment="1">
      <alignment horizontal="center"/>
    </xf>
    <xf numFmtId="0" fontId="18" applyFont="1" fillId="2" applyFill="1" borderId="0" applyBorder="1" xfId="0" applyProtection="1" applyAlignment="1">
      <alignment horizontal="left"/>
    </xf>
    <xf numFmtId="0" fontId="19" applyFont="1" fillId="2" applyFill="1" borderId="0" applyBorder="1" xfId="0" applyProtection="1" applyAlignment="1"/>
    <xf numFmtId="0" fontId="20" applyFont="1" fillId="2" applyFill="1" borderId="0" applyBorder="1" xfId="0" applyProtection="1" applyAlignment="1">
      <alignment horizontal="center"/>
    </xf>
    <xf numFmtId="164" applyNumberFormat="1" fontId="15" applyFont="1" fillId="2" applyFill="1" borderId="0" applyBorder="1" xfId="0" applyProtection="1" applyAlignment="1">
      <alignment horizontal="center"/>
    </xf>
    <xf numFmtId="0" fontId="15" applyFont="1" fillId="2" applyFill="1" borderId="0" applyBorder="1" xfId="0" applyProtection="1" applyAlignment="1">
      <alignment horizontal="center" vertical="center"/>
    </xf>
    <xf numFmtId="0" fontId="26" applyFont="1" fillId="2" applyFill="1" borderId="2" applyBorder="1" xfId="0" applyProtection="1" applyAlignment="1"/>
    <xf numFmtId="0" fontId="15" applyFont="1" fillId="2" applyFill="1" borderId="2" applyBorder="1" xfId="0" applyProtection="1" applyAlignment="1">
      <alignment horizontal="center"/>
    </xf>
    <xf numFmtId="0" fontId="21" applyFont="1" fillId="2" applyFill="1" borderId="2" applyBorder="1" xfId="0" applyProtection="1" applyAlignment="1"/>
    <xf numFmtId="0" fontId="21" applyFont="1" fillId="2" applyFill="1" borderId="2" applyBorder="1" xfId="0" applyProtection="1" applyAlignment="1">
      <alignment horizontal="left"/>
    </xf>
    <xf numFmtId="0" fontId="16" applyFont="1" fillId="2" applyFill="1" borderId="2" applyBorder="1" xfId="0" applyProtection="1" applyAlignment="1"/>
    <xf numFmtId="165" applyNumberFormat="1" fontId="6" applyFont="1" fillId="2" applyFill="1" borderId="0" applyBorder="1" xfId="2" applyProtection="1" applyAlignment="1">
      <alignment horizontal="left"/>
    </xf>
    <xf numFmtId="0" fontId="22" applyFont="1" fillId="2" applyFill="1" borderId="0" applyBorder="1" xfId="0" applyProtection="1" applyAlignment="1">
      <alignment horizontal="center"/>
    </xf>
    <xf numFmtId="165" applyNumberFormat="1" fontId="6" applyFont="1" fillId="2" applyFill="1" borderId="0" applyBorder="1" xfId="2" applyProtection="1" applyAlignment="1">
      <alignment horizontal="center"/>
    </xf>
    <xf numFmtId="0" fontId="15" applyFont="1" fillId="2" applyFill="1" borderId="0" applyBorder="1" xfId="0" applyProtection="1" applyAlignment="1">
      <alignment horizontal="left" vertical="center"/>
    </xf>
    <xf numFmtId="49" applyNumberFormat="1" fontId="15" applyFont="1" fillId="2" applyFill="1" borderId="0" applyBorder="1" xfId="0" applyProtection="1" applyAlignment="1">
      <alignment horizontal="center" vertical="center"/>
    </xf>
    <xf numFmtId="0" fontId="15" applyFont="1" fillId="2" applyFill="1" borderId="2" applyBorder="1" xfId="0" applyProtection="1" applyAlignment="1"/>
    <xf numFmtId="49" applyNumberFormat="1" fontId="23" applyFont="1" fillId="2" applyFill="1" borderId="0" applyBorder="1" xfId="0" applyProtection="1" applyAlignment="1">
      <alignment horizontal="center" vertical="center"/>
    </xf>
    <xf numFmtId="0" fontId="23" applyFont="1" fillId="2" applyFill="1" borderId="0" applyBorder="1" xfId="0" applyProtection="1" applyAlignment="1">
      <alignment horizontal="center" vertical="center"/>
    </xf>
    <xf numFmtId="0" fontId="15" applyFont="1" fillId="3" applyFill="1" borderId="3" applyBorder="1" xfId="0" applyProtection="1" applyAlignment="1">
      <alignment horizontal="center" vertical="center" wrapText="1"/>
    </xf>
    <xf numFmtId="0" fontId="6" applyFont="1" fillId="3" applyFill="1" borderId="3" applyBorder="1" xfId="0" applyProtection="1" applyAlignment="1">
      <alignment horizontal="center" vertical="center" wrapText="1"/>
    </xf>
    <xf numFmtId="0" fontId="15" applyFont="1" fillId="3" applyFill="1" borderId="1" applyBorder="1" xfId="0" applyProtection="1" applyAlignment="1">
      <alignment horizontal="center" vertical="center" wrapText="1"/>
    </xf>
    <xf numFmtId="0" fontId="6" applyFont="1" fillId="3" applyFill="1" borderId="1" applyBorder="1" xfId="0" applyProtection="1" applyAlignment="1">
      <alignment horizontal="center" vertical="center" wrapText="1"/>
    </xf>
    <xf numFmtId="2" applyNumberFormat="1" fontId="15" applyFont="1" fillId="3" applyFill="1" borderId="1" applyBorder="1" xfId="0" applyProtection="1" applyAlignment="1">
      <alignment horizontal="center" vertical="center" wrapText="1"/>
    </xf>
    <xf numFmtId="0" fontId="5" applyFont="1" fillId="3" applyFill="1" borderId="3" applyBorder="1" xfId="0" applyProtection="1" applyAlignment="1">
      <alignment horizontal="center" vertical="center" wrapText="1"/>
    </xf>
    <xf numFmtId="49" applyNumberFormat="1" fontId="6" applyFont="1" fillId="3" applyFill="1" borderId="3" applyBorder="1" xfId="3" applyProtection="1" applyAlignment="1">
      <alignment horizontal="center" vertical="center" wrapText="1"/>
    </xf>
    <xf numFmtId="0" fontId="14" applyFont="1" fillId="3" applyFill="1" borderId="4" applyBorder="1" xfId="0" applyProtection="1" applyAlignment="1">
      <alignment horizontal="center"/>
    </xf>
    <xf numFmtId="0" fontId="14" applyFont="1" fillId="2" applyFill="1" borderId="0" applyBorder="1" xfId="0" applyProtection="1" applyAlignment="1">
      <alignment horizontal="center"/>
    </xf>
    <xf numFmtId="165" applyNumberFormat="1" fontId="15" applyFont="1" fillId="2" applyFill="1" borderId="0" applyBorder="1" xfId="0" applyProtection="1" applyAlignment="1"/>
    <xf numFmtId="165" applyNumberFormat="1" fontId="15" applyFont="1" fillId="2" applyFill="1" borderId="0" applyBorder="1" xfId="0" applyProtection="1" applyAlignment="1">
      <alignment horizontal="left"/>
    </xf>
    <xf numFmtId="0" fontId="5" applyFont="1" fillId="2" applyFill="1" borderId="0" applyBorder="1" xfId="0" applyProtection="1" applyAlignment="1"/>
    <xf numFmtId="0" fontId="5" applyFont="1" fillId="2" applyFill="1" borderId="0" applyBorder="1" xfId="0" applyProtection="1" applyAlignment="1"/>
    <xf numFmtId="0" fontId="9" applyFont="1" fillId="2" applyFill="1" borderId="0" applyBorder="1" xfId="0" applyProtection="1" applyAlignment="1">
      <alignment horizontal="left" wrapText="1"/>
    </xf>
    <xf numFmtId="0" fontId="5" applyFont="1" fillId="2" applyFill="1" borderId="0" applyBorder="1" xfId="0" applyProtection="1" applyAlignment="1">
      <alignment horizontal="left" wrapText="1"/>
    </xf>
    <xf numFmtId="0" fontId="8" applyFont="1" fillId="2" applyFill="1" borderId="0" applyBorder="1" xfId="0" applyProtection="1" applyAlignment="1"/>
    <xf numFmtId="0" fontId="7" applyFont="1" fillId="2" applyFill="1" borderId="0" applyBorder="1" xfId="0" applyProtection="1" applyAlignment="1"/>
    <xf numFmtId="0" fontId="25" applyFont="1" fillId="2" applyFill="1" borderId="2" applyBorder="1" xfId="0" applyProtection="1" applyAlignment="1"/>
    <xf numFmtId="0" fontId="6" applyFont="1" fillId="3" applyFill="1" borderId="1" applyBorder="1" xfId="3" applyProtection="1" applyAlignment="1">
      <alignment horizontal="center" vertical="center" wrapText="1"/>
    </xf>
    <xf numFmtId="0" fontId="15" applyFont="1" fillId="3" applyFill="1" borderId="5" applyBorder="1" xfId="0" applyProtection="1" applyAlignment="1">
      <alignment horizontal="center" vertical="center" wrapText="1"/>
    </xf>
    <xf numFmtId="0" fontId="13" applyFont="1" fillId="0" applyFill="1" borderId="1" applyBorder="1" xfId="0" applyProtection="1" applyAlignment="1">
      <alignment horizontal="center" vertical="center"/>
      <protection locked="0"/>
    </xf>
    <xf numFmtId="0" fontId="30" applyFont="1" fillId="3" applyFill="1" borderId="0" xfId="0" applyProtection="1" applyAlignment="1">
      <alignment horizontal="center" vertical="center" wrapText="1"/>
    </xf>
    <xf numFmtId="0" fontId="30" applyFont="1" fillId="3" applyFill="1" borderId="0" applyBorder="1" xfId="0" applyProtection="1" applyAlignment="1">
      <alignment horizontal="center" vertical="center"/>
    </xf>
    <xf numFmtId="0" fontId="13" applyFont="1" fillId="3" applyFill="1" borderId="0" xfId="0" applyProtection="1" applyAlignment="1">
      <alignment horizontal="left" vertical="center" wrapText="1"/>
    </xf>
    <xf numFmtId="0" fontId="13" applyFont="1" fillId="3" applyFill="1" borderId="8" applyBorder="1" xfId="0" applyProtection="1" applyAlignment="1">
      <alignment horizontal="left" vertical="center" wrapText="1"/>
    </xf>
    <xf numFmtId="49" applyNumberFormat="1" fontId="13" applyFont="1" fillId="0" applyFill="1" borderId="3" applyBorder="1" xfId="0" applyProtection="1" applyAlignment="1">
      <alignment horizontal="center" vertical="center"/>
      <protection locked="0"/>
    </xf>
    <xf numFmtId="0" fontId="13" applyFont="1" fillId="3" applyFill="1" borderId="0" xfId="0" applyProtection="1" applyAlignment="1">
      <alignment horizontal="center"/>
    </xf>
    <xf numFmtId="49" applyNumberFormat="1" fontId="13" applyFont="1" fillId="2" applyFill="1" borderId="6" applyBorder="1" xfId="0" applyProtection="1" applyAlignment="1">
      <alignment horizontal="center" vertical="center"/>
      <protection locked="0"/>
    </xf>
    <xf numFmtId="49" applyNumberFormat="1" fontId="13" applyFont="1" fillId="2" applyFill="1" borderId="7" applyBorder="1" xfId="0" applyProtection="1" applyAlignment="1">
      <alignment horizontal="center" vertical="center"/>
      <protection locked="0"/>
    </xf>
    <xf numFmtId="166" applyNumberFormat="1" fontId="13" applyFont="1" fillId="0" applyFill="1" borderId="5" applyBorder="1" xfId="0" applyProtection="1" applyAlignment="1">
      <alignment horizontal="center" vertical="center"/>
      <protection locked="0"/>
    </xf>
    <xf numFmtId="166" applyNumberFormat="1" fontId="13" applyFont="1" fillId="0" applyFill="1" borderId="4" applyBorder="1" xfId="0" applyProtection="1" applyAlignment="1">
      <alignment horizontal="center" vertical="center"/>
      <protection locked="0"/>
    </xf>
    <xf numFmtId="0" fontId="13" applyFont="1" fillId="3" applyFill="1" borderId="0" xfId="0" applyProtection="1" applyAlignment="1">
      <alignment horizontal="left" vertical="center"/>
    </xf>
    <xf numFmtId="0" fontId="13" applyFont="1" fillId="3" applyFill="1" borderId="8" applyBorder="1" xfId="0" applyProtection="1" applyAlignment="1">
      <alignment horizontal="left" vertical="center"/>
    </xf>
    <xf numFmtId="0" fontId="19" applyFont="1" fillId="3" applyFill="1" borderId="0" applyBorder="1" xfId="0" applyProtection="1" applyAlignment="1">
      <alignment horizontal="center"/>
    </xf>
    <xf numFmtId="0" applyNumberFormat="1" fontId="13" applyFont="1" fillId="0" applyFill="1" borderId="5" applyBorder="1" xfId="0" applyProtection="1" applyAlignment="1">
      <alignment horizontal="center" vertical="center"/>
      <protection locked="0"/>
    </xf>
    <xf numFmtId="0" applyNumberFormat="1" fontId="13" applyFont="1" fillId="0" applyFill="1" borderId="9" applyBorder="1" xfId="0" applyProtection="1" applyAlignment="1">
      <alignment horizontal="center" vertical="center"/>
      <protection locked="0"/>
    </xf>
    <xf numFmtId="0" applyNumberFormat="1" fontId="13" applyFont="1" fillId="0" applyFill="1" borderId="4" applyBorder="1" xfId="0" applyProtection="1" applyAlignment="1">
      <alignment horizontal="center" vertical="center"/>
      <protection locked="0"/>
    </xf>
    <xf numFmtId="0" applyNumberFormat="1" fontId="13" applyFont="1" fillId="9" applyFill="1" borderId="5" applyBorder="1" xfId="0" applyProtection="1" applyAlignment="1">
      <alignment horizontal="left" vertical="center"/>
    </xf>
    <xf numFmtId="0" applyNumberFormat="1" fontId="13" applyFont="1" fillId="9" applyFill="1" borderId="9" applyBorder="1" xfId="0" applyProtection="1" applyAlignment="1">
      <alignment horizontal="left" vertical="center"/>
    </xf>
    <xf numFmtId="0" applyNumberFormat="1" fontId="13" applyFont="1" fillId="9" applyFill="1" borderId="4" applyBorder="1" xfId="0" applyProtection="1" applyAlignment="1">
      <alignment horizontal="left" vertical="center"/>
    </xf>
    <xf numFmtId="0" fontId="14" applyFont="1" fillId="2" applyFill="1" borderId="0" xfId="0" applyProtection="1" applyAlignment="1">
      <alignment horizontal="center"/>
    </xf>
    <xf numFmtId="49" applyNumberFormat="1" fontId="6" applyFont="1" fillId="3" applyFill="1" borderId="5" applyBorder="1" xfId="3" applyProtection="1" applyAlignment="1">
      <alignment horizontal="center" vertical="center" wrapText="1"/>
    </xf>
    <xf numFmtId="49" applyNumberFormat="1" fontId="6" applyFont="1" fillId="3" applyFill="1" borderId="4" applyBorder="1" xfId="3" applyProtection="1" applyAlignment="1">
      <alignment horizontal="center" vertical="center" wrapText="1"/>
    </xf>
    <xf numFmtId="164" applyNumberFormat="1" fontId="15" applyFont="1" fillId="3" applyFill="1" borderId="3" applyBorder="1" xfId="0" applyProtection="1" applyAlignment="1">
      <alignment horizontal="center" vertical="center" wrapText="1"/>
    </xf>
    <xf numFmtId="164" applyNumberFormat="1" fontId="15" applyFont="1" fillId="3" applyFill="1" borderId="10" applyBorder="1" xfId="0" applyProtection="1" applyAlignment="1">
      <alignment horizontal="center" vertical="center" wrapText="1"/>
    </xf>
    <xf numFmtId="0" fontId="15" applyFont="1" fillId="3" applyFill="1" borderId="5" applyBorder="1" xfId="0" applyProtection="1" applyAlignment="1">
      <alignment horizontal="center" vertical="center"/>
    </xf>
    <xf numFmtId="0" fontId="15" applyFont="1" fillId="3" applyFill="1" borderId="9" applyBorder="1" xfId="0" applyProtection="1" applyAlignment="1">
      <alignment horizontal="center" vertical="center"/>
    </xf>
    <xf numFmtId="0" fontId="15" applyFont="1" fillId="3" applyFill="1" borderId="4" applyBorder="1" xfId="0" applyProtection="1" applyAlignment="1">
      <alignment horizontal="center" vertical="center"/>
    </xf>
    <xf numFmtId="0" fontId="15" applyFont="1" fillId="3" applyFill="1" borderId="12" applyBorder="1" xfId="0" applyProtection="1" applyAlignment="1">
      <alignment horizontal="center" vertical="center" wrapText="1"/>
    </xf>
    <xf numFmtId="0" fontId="15" applyFont="1" fillId="3" applyFill="1" borderId="13" applyBorder="1" xfId="0" applyProtection="1" applyAlignment="1">
      <alignment horizontal="center" vertical="center" wrapText="1"/>
    </xf>
    <xf numFmtId="0" fontId="15" applyFont="1" fillId="3" applyFill="1" borderId="14" applyBorder="1" xfId="0" applyProtection="1" applyAlignment="1">
      <alignment horizontal="center" vertical="center" wrapText="1"/>
    </xf>
    <xf numFmtId="0" fontId="15" applyFont="1" fillId="3" applyFill="1" borderId="8" applyBorder="1" xfId="0" applyProtection="1" applyAlignment="1">
      <alignment horizontal="center" vertical="center" wrapText="1"/>
    </xf>
    <xf numFmtId="0" fontId="15" applyFont="1" fillId="3" applyFill="1" borderId="3" applyBorder="1" xfId="0" applyProtection="1" applyAlignment="1">
      <alignment horizontal="center" vertical="center" wrapText="1"/>
    </xf>
    <xf numFmtId="0" fontId="15" applyFont="1" fillId="3" applyFill="1" borderId="10" applyBorder="1" xfId="0" applyProtection="1" applyAlignment="1">
      <alignment horizontal="center" vertical="center" wrapText="1"/>
    </xf>
    <xf numFmtId="0" fontId="6" applyFont="1" fillId="3" applyFill="1" borderId="3" applyBorder="1" xfId="0" applyProtection="1" applyAlignment="1">
      <alignment horizontal="center" vertical="center" wrapText="1"/>
    </xf>
    <xf numFmtId="0" fontId="6" applyFont="1" fillId="3" applyFill="1" borderId="10" applyBorder="1" xfId="0" applyProtection="1" applyAlignment="1">
      <alignment horizontal="center" vertical="center" wrapText="1"/>
    </xf>
    <xf numFmtId="0" fontId="15" applyFont="1" fillId="3" applyFill="1" borderId="1" applyBorder="1" xfId="0" applyProtection="1" applyAlignment="1">
      <alignment horizontal="center" vertical="center"/>
    </xf>
    <xf numFmtId="164" applyNumberFormat="1" fontId="15" applyFont="1" fillId="3" applyFill="1" borderId="11" applyBorder="1" xfId="0" applyProtection="1" applyAlignment="1">
      <alignment horizontal="center" vertical="center" wrapText="1"/>
    </xf>
    <xf numFmtId="0" fontId="23" applyFont="1" fillId="2" applyFill="1" borderId="0" xfId="0" applyProtection="1" applyAlignment="1">
      <alignment horizontal="center"/>
    </xf>
    <xf numFmtId="0" fontId="15" applyFont="1" fillId="2" applyFill="1" borderId="2" applyBorder="1" xfId="0" applyProtection="1" applyAlignment="1">
      <alignment horizontal="center"/>
    </xf>
    <xf numFmtId="49" applyNumberFormat="1" fontId="6" applyFont="1" fillId="3" applyFill="1" borderId="1" applyBorder="1" xfId="3" applyProtection="1" applyAlignment="1">
      <alignment horizontal="center" vertical="center" wrapText="1"/>
    </xf>
    <xf numFmtId="0" fontId="6" applyFont="1" fillId="3" applyFill="1" borderId="5" applyBorder="1" xfId="3" applyProtection="1" applyAlignment="1">
      <alignment horizontal="center" vertical="center" wrapText="1"/>
    </xf>
    <xf numFmtId="0" fontId="6" applyFont="1" fillId="3" applyFill="1" borderId="4" applyBorder="1" xfId="3" applyProtection="1" applyAlignment="1">
      <alignment horizontal="center" vertical="center" wrapText="1"/>
    </xf>
    <xf numFmtId="0" fontId="6" applyFont="1" fillId="3" applyFill="1" borderId="12" applyBorder="1" xfId="0" applyProtection="1" applyAlignment="1">
      <alignment horizontal="center" vertical="center" wrapText="1"/>
    </xf>
    <xf numFmtId="0" fontId="6" applyFont="1" fillId="3" applyFill="1" borderId="15" applyBorder="1" xfId="0" applyProtection="1" applyAlignment="1">
      <alignment horizontal="center" vertical="center" wrapText="1"/>
    </xf>
    <xf numFmtId="0" fontId="6" applyFont="1" fillId="3" applyFill="1" borderId="13" applyBorder="1" xfId="0" applyProtection="1" applyAlignment="1">
      <alignment horizontal="center" vertical="center" wrapText="1"/>
    </xf>
    <xf numFmtId="0" fontId="15" applyFont="1" fillId="3" applyFill="1" borderId="5" applyBorder="1" xfId="0" applyProtection="1" applyAlignment="1">
      <alignment horizontal="center" vertical="center" wrapText="1"/>
    </xf>
    <xf numFmtId="0" fontId="15" applyFont="1" fillId="3" applyFill="1" borderId="9" applyBorder="1" xfId="0" applyProtection="1" applyAlignment="1">
      <alignment horizontal="center" vertical="center" wrapText="1"/>
    </xf>
    <xf numFmtId="0" fontId="15" applyFont="1" fillId="3" applyFill="1" borderId="4" applyBorder="1" xfId="0" applyProtection="1" applyAlignment="1">
      <alignment horizontal="center" vertical="center" wrapText="1"/>
    </xf>
    <xf numFmtId="0" fontId="6" applyFont="1" fillId="3" applyFill="1" borderId="11" applyBorder="1" xfId="0" applyProtection="1" applyAlignment="1">
      <alignment horizontal="center" vertical="center" wrapText="1"/>
    </xf>
    <xf numFmtId="0" fontId="6" applyFont="1" fillId="3" applyFill="1" borderId="1" applyBorder="1" xfId="3" applyProtection="1" applyAlignment="1">
      <alignment horizontal="center" vertical="center" wrapText="1"/>
    </xf>
    <xf numFmtId="0" fontId="6" applyFont="1" fillId="3" applyFill="1" borderId="9" applyBorder="1" xfId="3" applyProtection="1" applyAlignment="1">
      <alignment horizontal="center" vertical="center" wrapText="1"/>
    </xf>
    <xf numFmtId="0" fontId="5" applyFont="1" fillId="3" applyFill="1" borderId="12" applyBorder="1" xfId="0" applyProtection="1" applyAlignment="1">
      <alignment horizontal="center" vertical="center" wrapText="1"/>
    </xf>
    <xf numFmtId="0" fontId="5" applyFont="1" fillId="3" applyFill="1" borderId="13" applyBorder="1" xfId="0" applyProtection="1" applyAlignment="1">
      <alignment horizontal="center" vertical="center" wrapText="1"/>
    </xf>
    <xf numFmtId="0" fontId="5" applyFont="1" fillId="3" applyFill="1" borderId="14" applyBorder="1" xfId="0" applyProtection="1" applyAlignment="1">
      <alignment horizontal="center" vertical="center" wrapText="1"/>
    </xf>
    <xf numFmtId="0" fontId="5" applyFont="1" fillId="3" applyFill="1" borderId="8" applyBorder="1" xfId="0" applyProtection="1" applyAlignment="1">
      <alignment horizontal="center" vertical="center" wrapText="1"/>
    </xf>
    <xf numFmtId="0" fontId="15" applyFont="1" fillId="3" applyFill="1" borderId="6" applyBorder="1" xfId="0" applyProtection="1" applyAlignment="1">
      <alignment horizontal="center" vertical="center" wrapText="1"/>
    </xf>
    <xf numFmtId="0" fontId="15" applyFont="1" fillId="3" applyFill="1" borderId="7" applyBorder="1" xfId="0" applyProtection="1" applyAlignment="1">
      <alignment horizontal="center" vertical="center" wrapText="1"/>
    </xf>
    <xf numFmtId="0" fontId="6" applyFont="1" fillId="3" applyFill="1" borderId="3" applyBorder="1" xfId="3" applyProtection="1" applyAlignment="1">
      <alignment horizontal="center" vertical="center" wrapText="1"/>
    </xf>
    <xf numFmtId="0" fontId="6" applyFont="1" fillId="3" applyFill="1" borderId="10" applyBorder="1" xfId="3" applyProtection="1" applyAlignment="1">
      <alignment horizontal="center" vertical="center" wrapText="1"/>
    </xf>
    <xf numFmtId="0" fontId="6" applyFont="1" fillId="3" applyFill="1" borderId="11" applyBorder="1" xfId="3" applyProtection="1" applyAlignment="1">
      <alignment horizontal="center" vertical="center" wrapText="1"/>
    </xf>
    <xf numFmtId="0" fontId="23" applyFont="1" fillId="2" applyFill="1" borderId="0" applyBorder="1" xfId="0" applyProtection="1" applyAlignment="1">
      <alignment horizontal="left"/>
    </xf>
    <xf numFmtId="0" fontId="23" applyFont="1" fillId="2" applyFill="1" borderId="0" applyBorder="1" xfId="0" applyProtection="1" applyAlignment="1">
      <alignment horizontal="left" wrapText="1"/>
    </xf>
    <xf numFmtId="0" fontId="23" applyFont="1" fillId="2" applyFill="1" borderId="0" applyBorder="1" xfId="0" applyProtection="1" applyAlignment="1">
      <alignment horizontal="left" vertical="center" wrapText="1"/>
    </xf>
    <xf numFmtId="0" fontId="14" applyFont="1" fillId="3" applyFill="1" borderId="3" applyBorder="1" xfId="0" applyProtection="1" applyAlignment="1">
      <alignment horizontal="center" vertical="center" wrapText="1"/>
    </xf>
    <xf numFmtId="0" fontId="14" applyFont="1" fillId="3" applyFill="1" borderId="10" applyBorder="1" xfId="0" applyProtection="1" applyAlignment="1">
      <alignment horizontal="center" vertical="center" wrapText="1"/>
    </xf>
    <xf numFmtId="0" fontId="15" applyFont="1" fillId="2" applyFill="1" borderId="0" applyBorder="1" xfId="0" applyProtection="1" applyAlignment="1">
      <alignment horizontal="left" vertical="center" wrapText="1"/>
    </xf>
    <xf numFmtId="49" applyNumberFormat="1" fontId="6" applyFont="1" fillId="3" applyFill="1" borderId="3" applyBorder="1" xfId="3" applyProtection="1" applyAlignment="1">
      <alignment horizontal="center" vertical="center" wrapText="1"/>
    </xf>
    <xf numFmtId="0" fontId="5" applyFont="1" fillId="3" applyFill="1" borderId="1" applyBorder="1" xfId="0" applyProtection="1" applyAlignment="1">
      <alignment horizontal="center" vertical="center" wrapText="1"/>
    </xf>
    <xf numFmtId="0" fontId="5" applyFont="1" fillId="3" applyFill="1" borderId="3" applyBorder="1" xfId="0" applyProtection="1" applyAlignment="1">
      <alignment horizontal="center" vertical="center" wrapText="1"/>
    </xf>
    <xf numFmtId="0" fontId="15" applyFont="1" fillId="3" applyFill="1" borderId="11" applyBorder="1" xfId="0" applyProtection="1" applyAlignment="1">
      <alignment horizontal="center" vertical="center" wrapText="1"/>
    </xf>
    <xf numFmtId="0" fontId="0" fillId="0" borderId="10" applyBorder="1" xfId="0" applyProtection="1" applyAlignment="1"/>
    <xf numFmtId="0" fontId="0" fillId="0" borderId="11" applyBorder="1" xfId="0" applyProtection="1" applyAlignment="1"/>
    <xf numFmtId="0" fontId="15" applyFont="1" fillId="3" applyFill="1" borderId="10" applyBorder="1" xfId="0" applyProtection="1" applyAlignment="1">
      <alignment horizontal="center" vertical="center"/>
    </xf>
    <xf numFmtId="0" fontId="15" applyFont="1" fillId="3" applyFill="1" borderId="11" applyBorder="1" xfId="0" applyProtection="1" applyAlignment="1">
      <alignment horizontal="center" vertical="center"/>
    </xf>
  </cellXfs>
  <cellStyles count="5">
    <cellStyle name="Comma" xfId="1" builtinId="3"/>
    <cellStyle name="Normal" xfId="0" builtinId="0"/>
    <cellStyle name="Normal_original" xfId="2"/>
    <cellStyle name="Normal_PRUDENSIAL_1NNN_MMYY1-YENI-unprotected" xfId="3"/>
    <cellStyle name="Percent" xfId="4" builtinId="5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top/>
      </border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Arial"/>
        <scheme val="none"/>
      </font>
      <fill>
        <patternFill patternType="solid">
          <fgColor theme="4" tint="0.59999389629810485"/>
          <bgColor rgb="FFFFFF99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2" Type="http://schemas.openxmlformats.org/officeDocument/2006/relationships/sharedStrings" Target="sharedStrings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19</xdr:row>
          <xdr:rowOff>333375</xdr:rowOff>
        </xdr:from>
        <xdr:to>
          <xdr:col>6</xdr:col>
          <xdr:colOff>200025</xdr:colOff>
          <xdr:row>19</xdr:row>
          <xdr:rowOff>552450</xdr:rowOff>
        </xdr:to>
        <xdr:sp macro="" textlink="">
          <xdr:nvSpPr>
            <xdr:cNvPr id="115717" name="Option Button 5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19</xdr:row>
          <xdr:rowOff>323850</xdr:rowOff>
        </xdr:from>
        <xdr:to>
          <xdr:col>8</xdr:col>
          <xdr:colOff>209550</xdr:colOff>
          <xdr:row>19</xdr:row>
          <xdr:rowOff>552450</xdr:rowOff>
        </xdr:to>
        <xdr:sp macro="" textlink="">
          <xdr:nvSpPr>
            <xdr:cNvPr id="115718" name="Option Button 6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152400</xdr:rowOff>
        </xdr:from>
        <xdr:to>
          <xdr:col>5</xdr:col>
          <xdr:colOff>514350</xdr:colOff>
          <xdr:row>4</xdr:row>
          <xdr:rowOff>9525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1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7</xdr:row>
          <xdr:rowOff>190500</xdr:rowOff>
        </xdr:from>
        <xdr:to>
          <xdr:col>1</xdr:col>
          <xdr:colOff>1333500</xdr:colOff>
          <xdr:row>8</xdr:row>
          <xdr:rowOff>428625</xdr:rowOff>
        </xdr:to>
        <xdr:sp macro="" textlink="">
          <xdr:nvSpPr>
            <xdr:cNvPr id="9581" name="Button 365" hidden="1">
              <a:extLst>
                <a:ext uri="{63B3BB69-23CF-44E3-9099-C40C66FF867C}">
                  <a14:compatExt spid="_x0000_s9581"/>
                </a:ext>
                <a:ext uri="{FF2B5EF4-FFF2-40B4-BE49-F238E27FC236}">
                  <a16:creationId xmlns:a16="http://schemas.microsoft.com/office/drawing/2014/main" id="{00000000-0008-0000-0100-00006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1685925</xdr:colOff>
          <xdr:row>7</xdr:row>
          <xdr:rowOff>190500</xdr:rowOff>
        </xdr:from>
        <xdr:to>
          <xdr:col>2</xdr:col>
          <xdr:colOff>1362075</xdr:colOff>
          <xdr:row>8</xdr:row>
          <xdr:rowOff>428625</xdr:rowOff>
        </xdr:to>
        <xdr:sp macro="" textlink="">
          <xdr:nvSpPr>
            <xdr:cNvPr id="9582" name="Button 366" hidden="1">
              <a:extLst>
                <a:ext uri="{63B3BB69-23CF-44E3-9099-C40C66FF867C}">
                  <a14:compatExt spid="_x0000_s9582"/>
                </a:ext>
                <a:ext uri="{FF2B5EF4-FFF2-40B4-BE49-F238E27FC236}">
                  <a16:creationId xmlns:a16="http://schemas.microsoft.com/office/drawing/2014/main" id="{00000000-0008-0000-0100-00006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866775</xdr:colOff>
          <xdr:row>7</xdr:row>
          <xdr:rowOff>152400</xdr:rowOff>
        </xdr:from>
        <xdr:to>
          <xdr:col>5</xdr:col>
          <xdr:colOff>38100</xdr:colOff>
          <xdr:row>9</xdr:row>
          <xdr:rowOff>28575</xdr:rowOff>
        </xdr:to>
        <xdr:sp macro="" textlink="">
          <xdr:nvSpPr>
            <xdr:cNvPr id="9591" name="Button 375" hidden="1">
              <a:extLst>
                <a:ext uri="{63B3BB69-23CF-44E3-9099-C40C66FF867C}">
                  <a14:compatExt spid="_x0000_s9591"/>
                </a:ext>
                <a:ext uri="{FF2B5EF4-FFF2-40B4-BE49-F238E27FC236}">
                  <a16:creationId xmlns:a16="http://schemas.microsoft.com/office/drawing/2014/main" id="{00000000-0008-0000-0100-00007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</xdr:row>
          <xdr:rowOff>66675</xdr:rowOff>
        </xdr:from>
        <xdr:to>
          <xdr:col>4</xdr:col>
          <xdr:colOff>1276350</xdr:colOff>
          <xdr:row>4</xdr:row>
          <xdr:rowOff>114300</xdr:rowOff>
        </xdr:to>
        <xdr:sp macro="" textlink="">
          <xdr:nvSpPr>
            <xdr:cNvPr id="124931" name="Button 3" hidden="1">
              <a:extLst>
                <a:ext uri="{63B3BB69-23CF-44E3-9099-C40C66FF867C}">
                  <a14:compatExt spid="_x0000_s124931"/>
                </a:ext>
                <a:ext uri="{FF2B5EF4-FFF2-40B4-BE49-F238E27FC236}">
                  <a16:creationId xmlns:a16="http://schemas.microsoft.com/office/drawing/2014/main" id="{00000000-0008-0000-0200-000003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7</xdr:row>
          <xdr:rowOff>209550</xdr:rowOff>
        </xdr:from>
        <xdr:to>
          <xdr:col>1</xdr:col>
          <xdr:colOff>1085850</xdr:colOff>
          <xdr:row>9</xdr:row>
          <xdr:rowOff>123825</xdr:rowOff>
        </xdr:to>
        <xdr:sp macro="" textlink="">
          <xdr:nvSpPr>
            <xdr:cNvPr id="124938" name="Button 10" hidden="1">
              <a:extLst>
                <a:ext uri="{63B3BB69-23CF-44E3-9099-C40C66FF867C}">
                  <a14:compatExt spid="_x0000_s124938"/>
                </a:ext>
                <a:ext uri="{FF2B5EF4-FFF2-40B4-BE49-F238E27FC236}">
                  <a16:creationId xmlns:a16="http://schemas.microsoft.com/office/drawing/2014/main" id="{00000000-0008-0000-0200-00000A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1266825</xdr:colOff>
          <xdr:row>7</xdr:row>
          <xdr:rowOff>209550</xdr:rowOff>
        </xdr:from>
        <xdr:to>
          <xdr:col>2</xdr:col>
          <xdr:colOff>819150</xdr:colOff>
          <xdr:row>9</xdr:row>
          <xdr:rowOff>123825</xdr:rowOff>
        </xdr:to>
        <xdr:sp macro="" textlink="">
          <xdr:nvSpPr>
            <xdr:cNvPr id="124939" name="Button 11" hidden="1">
              <a:extLst>
                <a:ext uri="{63B3BB69-23CF-44E3-9099-C40C66FF867C}">
                  <a14:compatExt spid="_x0000_s124939"/>
                </a:ext>
                <a:ext uri="{FF2B5EF4-FFF2-40B4-BE49-F238E27FC236}">
                  <a16:creationId xmlns:a16="http://schemas.microsoft.com/office/drawing/2014/main" id="{00000000-0008-0000-0200-00000B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7</xdr:row>
          <xdr:rowOff>161925</xdr:rowOff>
        </xdr:from>
        <xdr:to>
          <xdr:col>4</xdr:col>
          <xdr:colOff>1000125</xdr:colOff>
          <xdr:row>9</xdr:row>
          <xdr:rowOff>142875</xdr:rowOff>
        </xdr:to>
        <xdr:sp macro="" textlink="">
          <xdr:nvSpPr>
            <xdr:cNvPr id="124942" name="Button 14" hidden="1">
              <a:extLst>
                <a:ext uri="{63B3BB69-23CF-44E3-9099-C40C66FF867C}">
                  <a14:compatExt spid="_x0000_s124942"/>
                </a:ext>
                <a:ext uri="{FF2B5EF4-FFF2-40B4-BE49-F238E27FC236}">
                  <a16:creationId xmlns:a16="http://schemas.microsoft.com/office/drawing/2014/main" id="{00000000-0008-0000-0200-00000E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0</xdr:row>
          <xdr:rowOff>190500</xdr:rowOff>
        </xdr:from>
        <xdr:to>
          <xdr:col>4</xdr:col>
          <xdr:colOff>1314450</xdr:colOff>
          <xdr:row>4</xdr:row>
          <xdr:rowOff>76200</xdr:rowOff>
        </xdr:to>
        <xdr:sp macro="" textlink="">
          <xdr:nvSpPr>
            <xdr:cNvPr id="121859" name="Button 3" hidden="1">
              <a:extLst>
                <a:ext uri="{63B3BB69-23CF-44E3-9099-C40C66FF867C}">
                  <a14:compatExt spid="_x0000_s121859"/>
                </a:ext>
                <a:ext uri="{FF2B5EF4-FFF2-40B4-BE49-F238E27FC236}">
                  <a16:creationId xmlns:a16="http://schemas.microsoft.com/office/drawing/2014/main" id="{00000000-0008-0000-0300-000003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7</xdr:row>
          <xdr:rowOff>133350</xdr:rowOff>
        </xdr:from>
        <xdr:to>
          <xdr:col>1</xdr:col>
          <xdr:colOff>1257300</xdr:colOff>
          <xdr:row>9</xdr:row>
          <xdr:rowOff>57150</xdr:rowOff>
        </xdr:to>
        <xdr:sp macro="" textlink="">
          <xdr:nvSpPr>
            <xdr:cNvPr id="121905" name="Button 49" hidden="1">
              <a:extLst>
                <a:ext uri="{63B3BB69-23CF-44E3-9099-C40C66FF867C}">
                  <a14:compatExt spid="_x0000_s121905"/>
                </a:ext>
                <a:ext uri="{FF2B5EF4-FFF2-40B4-BE49-F238E27FC236}">
                  <a16:creationId xmlns:a16="http://schemas.microsoft.com/office/drawing/2014/main" id="{00000000-0008-0000-0300-000031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7</xdr:row>
          <xdr:rowOff>133350</xdr:rowOff>
        </xdr:from>
        <xdr:to>
          <xdr:col>2</xdr:col>
          <xdr:colOff>1066800</xdr:colOff>
          <xdr:row>9</xdr:row>
          <xdr:rowOff>57150</xdr:rowOff>
        </xdr:to>
        <xdr:sp macro="" textlink="">
          <xdr:nvSpPr>
            <xdr:cNvPr id="121906" name="Button 50" hidden="1">
              <a:extLst>
                <a:ext uri="{63B3BB69-23CF-44E3-9099-C40C66FF867C}">
                  <a14:compatExt spid="_x0000_s121906"/>
                </a:ext>
                <a:ext uri="{FF2B5EF4-FFF2-40B4-BE49-F238E27FC236}">
                  <a16:creationId xmlns:a16="http://schemas.microsoft.com/office/drawing/2014/main" id="{00000000-0008-0000-0300-000032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7</xdr:row>
          <xdr:rowOff>95250</xdr:rowOff>
        </xdr:from>
        <xdr:to>
          <xdr:col>4</xdr:col>
          <xdr:colOff>1104900</xdr:colOff>
          <xdr:row>9</xdr:row>
          <xdr:rowOff>85725</xdr:rowOff>
        </xdr:to>
        <xdr:sp macro="" textlink="">
          <xdr:nvSpPr>
            <xdr:cNvPr id="121911" name="Button 55" hidden="1">
              <a:extLst>
                <a:ext uri="{63B3BB69-23CF-44E3-9099-C40C66FF867C}">
                  <a14:compatExt spid="_x0000_s121911"/>
                </a:ext>
                <a:ext uri="{FF2B5EF4-FFF2-40B4-BE49-F238E27FC236}">
                  <a16:creationId xmlns:a16="http://schemas.microsoft.com/office/drawing/2014/main" id="{00000000-0008-0000-0300-000037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204.49,1924 ExternalSectorStatatistics CURRENCY" connectionId="1" autoFormatId="16" applyNumberFormats="0" applyBorderFormats="0" applyFontFormats="0" applyPatternFormats="0" applyAlignmentFormats="0" applyWidthHeightFormats="0">
  <queryTableRefresh nextId="7">
    <queryTableFields count="4">
      <queryTableField id="1" name="CURRENCY" tableColumnId="1"/>
      <queryTableField id="4" name="CURRENCY_CODE" tableColumnId="4"/>
      <queryTableField id="2" name="CURRENCY_NAME" tableColumnId="2"/>
      <queryTableField id="3" name="VALUE" tableColumnId="3"/>
    </queryTableFields>
  </queryTableRefresh>
</queryTable>
</file>

<file path=xl/tables/_rels/table1.xml.rels><?xml version="1.0" encoding="UTF-8" standalone="yes"?>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ble__192.168.204.49_1924_ExternalSectorStatatistics_CURRENCY4" displayName="Table__192.168.204.49_1924_ExternalSectorStatatistics_CURRENCY4" ref="S1:V193" tableType="queryTable" totalsRowShown="0" headerRowDxfId="6" dataDxfId="4">
  <autoFilter ref="S1:V193"/>
  <tableColumns count="4">
    <tableColumn id="1" uniqueName="1" name="Valyuta" queryTableFieldId="1" dataDxfId="3"/>
    <tableColumn id="4" uniqueName="4" name="Kodu" queryTableFieldId="4" dataDxfId="2"/>
    <tableColumn id="2" uniqueName="2" name="Valyuta adı" queryTableFieldId="2" dataDxfId="0"/>
    <tableColumn id="3" uniqueName="3" name="VALUE" queryTableFieldId="3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1"/>
  <dimension ref="A1:Z24"/>
  <sheetViews>
    <sheetView zoomScale="55" zoomScaleNormal="55" workbookViewId="0">
      <selection activeCell="D15" sqref="D15:E16"/>
    </sheetView>
  </sheetViews>
  <sheetFormatPr defaultColWidth="0" defaultRowHeight="0" customHeight="1" zeroHeight="1" x14ac:dyDescent="0.2"/>
  <cols>
    <col min="1" max="1" width="2.7109375" customWidth="1" style="63"/>
    <col min="2" max="2" width="35.7109375" customWidth="1" style="63"/>
    <col min="3" max="3" width="17.42578125" customWidth="1" style="63"/>
    <col min="4" max="4" width="9.140625" customWidth="1" style="63"/>
    <col min="5" max="5" width="13.28515625" customWidth="1" style="63"/>
    <col min="6" max="6" width="23.42578125" customWidth="1" style="48"/>
    <col min="7" max="10" width="9.140625" customWidth="1" style="48"/>
    <col min="11" max="11" width="25.28515625" customWidth="1" style="48"/>
    <col min="12" max="13" width="9.140625" customWidth="1" style="48"/>
    <col min="14" max="14" width="12.140625" customWidth="1" style="48"/>
    <col min="15" max="17" width="9.140625" customWidth="1" style="48"/>
    <col min="18" max="18" width="14.28515625" customWidth="1" style="48"/>
    <col min="19" max="23" width="9.140625" customWidth="1" style="48"/>
    <col min="24" max="26" width="9.140625" customWidth="1" style="42"/>
    <col min="27" max="16384" hidden="1" width="9.140625" customWidth="1" style="42"/>
  </cols>
  <sheetData>
    <row r="1" ht="51.75" customHeight="1">
      <c r="A1" s="41"/>
      <c r="B1" s="125" t="s">
        <v>357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</row>
    <row r="2" ht="28.5" customHeight="1">
      <c r="A2" s="41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</row>
    <row r="3" hidden="1" ht="15" customHeight="1">
      <c r="A3" s="41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</row>
    <row r="4" hidden="1" ht="15" customHeight="1">
      <c r="A4" s="41"/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</row>
    <row r="5" ht="34.5" customHeight="1">
      <c r="A5" s="41"/>
      <c r="B5" s="126" t="s">
        <v>358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</row>
    <row r="6" ht="22.5" customHeight="1">
      <c r="A6" s="41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ht="43.5" customHeight="1">
      <c r="A7" s="41"/>
      <c r="B7" s="126" t="s">
        <v>359</v>
      </c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</row>
    <row r="8" ht="75" customHeight="1">
      <c r="A8" s="126" t="s">
        <v>360</v>
      </c>
      <c r="B8" s="126"/>
      <c r="C8" s="126"/>
      <c r="D8" s="126"/>
      <c r="E8" s="126"/>
      <c r="F8" s="126"/>
      <c r="G8" s="126"/>
      <c r="H8" s="126"/>
      <c r="I8" s="126"/>
      <c r="J8" s="126" t="s">
        <v>361</v>
      </c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  <c r="W8" s="126"/>
      <c r="X8" s="126"/>
      <c r="Y8" s="126"/>
      <c r="Z8" s="41"/>
    </row>
    <row r="9" ht="33.75" s="45" customFormat="1">
      <c r="A9" s="44"/>
      <c r="B9" s="44"/>
      <c r="C9" s="137"/>
      <c r="D9" s="137"/>
      <c r="E9" s="137"/>
      <c r="F9" s="137"/>
      <c r="G9" s="44"/>
      <c r="H9" s="44"/>
      <c r="I9" s="44"/>
      <c r="J9" s="41"/>
      <c r="K9" s="41"/>
      <c r="L9" s="41"/>
      <c r="M9" s="130" t="s">
        <v>5</v>
      </c>
      <c r="N9" s="130"/>
      <c r="O9" s="130"/>
      <c r="P9" s="130"/>
      <c r="Q9" s="130"/>
      <c r="R9" s="130"/>
      <c r="S9" s="41"/>
      <c r="T9" s="41"/>
      <c r="U9" s="44"/>
      <c r="V9" s="44"/>
      <c r="W9" s="44"/>
      <c r="X9" s="41"/>
      <c r="Y9" s="41"/>
      <c r="Z9" s="41"/>
    </row>
    <row r="10" ht="32.25" customHeight="1" s="48" customFormat="1">
      <c r="A10" s="135" t="s">
        <v>3</v>
      </c>
      <c r="B10" s="135"/>
      <c r="C10" s="135"/>
      <c r="D10" s="138" t="s">
        <v>362</v>
      </c>
      <c r="E10" s="139"/>
      <c r="F10" s="139"/>
      <c r="G10" s="139"/>
      <c r="H10" s="139"/>
      <c r="I10" s="139"/>
      <c r="J10" s="139"/>
      <c r="K10" s="140"/>
      <c r="L10" s="46"/>
      <c r="M10" s="47"/>
      <c r="N10" s="124">
        <v>3</v>
      </c>
      <c r="O10" s="47"/>
      <c r="P10" s="47"/>
      <c r="Q10" s="47"/>
      <c r="R10" s="124">
        <v>2024</v>
      </c>
      <c r="S10" s="41"/>
      <c r="T10" s="41"/>
      <c r="U10" s="41"/>
      <c r="V10" s="41"/>
      <c r="W10" s="41"/>
      <c r="X10" s="41"/>
      <c r="Y10" s="41"/>
      <c r="Z10" s="41"/>
    </row>
    <row r="11" ht="18" s="48" customFormat="1">
      <c r="A11" s="49"/>
      <c r="B11" s="49"/>
      <c r="C11" s="49"/>
      <c r="D11" s="49"/>
      <c r="E11" s="49"/>
      <c r="F11" s="49"/>
      <c r="G11" s="49"/>
      <c r="H11" s="50"/>
      <c r="I11" s="50"/>
      <c r="J11" s="50"/>
      <c r="K11" s="50"/>
      <c r="L11" s="41"/>
      <c r="M11" s="41"/>
      <c r="N11" s="51" t="s">
        <v>363</v>
      </c>
      <c r="O11" s="41"/>
      <c r="P11" s="41"/>
      <c r="Q11" s="41"/>
      <c r="R11" s="51" t="s">
        <v>364</v>
      </c>
      <c r="S11" s="41"/>
      <c r="T11" s="41"/>
      <c r="U11" s="41"/>
      <c r="V11" s="41"/>
      <c r="W11" s="41"/>
      <c r="X11" s="41"/>
      <c r="Y11" s="41"/>
      <c r="Z11" s="41"/>
    </row>
    <row r="12" ht="28.5" customHeight="1" s="48" customFormat="1">
      <c r="A12" s="135" t="s">
        <v>365</v>
      </c>
      <c r="B12" s="135"/>
      <c r="C12" s="136"/>
      <c r="D12" s="138">
        <v>124</v>
      </c>
      <c r="E12" s="140"/>
      <c r="F12" s="52"/>
      <c r="G12" s="52"/>
      <c r="H12" s="53"/>
      <c r="I12" s="50"/>
      <c r="J12" s="50"/>
      <c r="K12" s="50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</row>
    <row r="13" ht="28.5" customHeight="1" s="48" customFormat="1">
      <c r="A13" s="135" t="s">
        <v>366</v>
      </c>
      <c r="B13" s="135"/>
      <c r="C13" s="136"/>
      <c r="D13" s="129" t="s">
        <v>367</v>
      </c>
      <c r="E13" s="129"/>
      <c r="F13" s="52"/>
      <c r="G13" s="52"/>
      <c r="H13" s="53"/>
      <c r="I13" s="50"/>
      <c r="J13" s="50"/>
      <c r="K13" s="50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ht="39.75" customHeight="1" s="48" customFormat="1">
      <c r="A14" s="127" t="s">
        <v>368</v>
      </c>
      <c r="B14" s="127"/>
      <c r="C14" s="128"/>
      <c r="D14" s="141" t="str">
        <f>_xlfn.IFNA(VLOOKUP(D15,List!AB:AC,2,0),"")</f>
        <v>DİGƏR PUL VASİTƏÇİLİYİ </v>
      </c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3"/>
      <c r="Z14" s="41"/>
    </row>
    <row r="15" ht="28.5" customHeight="1" s="48" customFormat="1">
      <c r="A15" s="127" t="s">
        <v>369</v>
      </c>
      <c r="B15" s="127"/>
      <c r="C15" s="128"/>
      <c r="D15" s="131" t="s">
        <v>370</v>
      </c>
      <c r="E15" s="132"/>
      <c r="F15" s="54"/>
      <c r="G15" s="54"/>
      <c r="H15" s="55"/>
      <c r="I15" s="56"/>
      <c r="J15" s="57"/>
      <c r="K15" s="57"/>
      <c r="L15" s="58"/>
      <c r="M15" s="44"/>
      <c r="N15" s="44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  <row r="16" ht="23.25" customHeight="1" s="48" customFormat="1">
      <c r="A16" s="127" t="s">
        <v>7</v>
      </c>
      <c r="B16" s="127"/>
      <c r="C16" s="128"/>
      <c r="D16" s="133">
        <v>0</v>
      </c>
      <c r="E16" s="134"/>
      <c r="F16" s="52"/>
      <c r="G16" s="52"/>
      <c r="H16" s="53"/>
      <c r="I16" s="50"/>
      <c r="J16" s="50"/>
      <c r="K16" s="50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</row>
    <row r="17" ht="20.25" s="48" customFormat="1">
      <c r="A17" s="59"/>
      <c r="B17" s="59"/>
      <c r="C17" s="59"/>
      <c r="D17" s="60"/>
      <c r="E17" s="44"/>
      <c r="F17" s="44"/>
      <c r="G17" s="44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</row>
    <row r="18" ht="30.75" customHeight="1" s="48" customFormat="1">
      <c r="A18" s="59"/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</row>
    <row r="19" ht="84.75" customHeight="1">
      <c r="A19" s="44"/>
      <c r="B19" s="62"/>
      <c r="C19" s="62"/>
      <c r="D19" s="62"/>
      <c r="E19" s="62"/>
      <c r="F19" s="62"/>
      <c r="G19" s="62"/>
      <c r="H19" s="41"/>
      <c r="I19" s="41"/>
      <c r="J19" s="41"/>
      <c r="K19" s="41"/>
      <c r="L19" s="41"/>
      <c r="M19" s="41"/>
      <c r="N19" s="41"/>
      <c r="O19" s="41"/>
      <c r="P19" s="62"/>
      <c r="Q19" s="62"/>
      <c r="R19" s="62"/>
      <c r="S19" s="41"/>
      <c r="T19" s="41"/>
      <c r="U19" s="41"/>
      <c r="V19" s="41"/>
      <c r="W19" s="41"/>
      <c r="X19" s="41"/>
      <c r="Y19" s="41"/>
      <c r="Z19" s="41"/>
    </row>
    <row r="20" ht="52.5" customHeight="1">
      <c r="A20" s="44"/>
      <c r="B20" s="62"/>
      <c r="C20" s="62"/>
      <c r="D20" s="62"/>
      <c r="E20" s="62"/>
      <c r="F20" s="62"/>
      <c r="G20" s="62"/>
      <c r="H20" s="41"/>
      <c r="I20" s="41"/>
      <c r="J20" s="41"/>
      <c r="K20" s="41"/>
      <c r="L20" s="41"/>
      <c r="M20" s="41"/>
      <c r="N20" s="41"/>
      <c r="O20" s="41"/>
      <c r="P20" s="62"/>
      <c r="Q20" s="62"/>
      <c r="R20" s="62"/>
      <c r="S20" s="41"/>
      <c r="T20" s="41"/>
      <c r="U20" s="41"/>
      <c r="V20" s="41"/>
      <c r="W20" s="41"/>
      <c r="X20" s="41"/>
      <c r="Y20" s="41"/>
      <c r="Z20" s="41"/>
    </row>
    <row r="21" ht="27" customHeight="1">
      <c r="A21" s="44"/>
      <c r="B21" s="62"/>
      <c r="C21" s="62"/>
      <c r="D21" s="62"/>
      <c r="E21" s="62"/>
      <c r="F21" s="62"/>
      <c r="G21" s="62"/>
      <c r="H21" s="41"/>
      <c r="I21" s="41"/>
      <c r="J21" s="41"/>
      <c r="K21" s="41"/>
      <c r="L21" s="41"/>
      <c r="M21" s="41"/>
      <c r="N21" s="41"/>
      <c r="O21" s="41"/>
      <c r="P21" s="62"/>
      <c r="Q21" s="62"/>
      <c r="R21" s="62"/>
      <c r="S21" s="41"/>
      <c r="T21" s="41"/>
      <c r="U21" s="41"/>
      <c r="V21" s="41"/>
      <c r="W21" s="41"/>
      <c r="X21" s="41"/>
      <c r="Y21" s="41"/>
      <c r="Z21" s="41"/>
    </row>
    <row r="22" ht="27.6" customHeight="1">
      <c r="A22" s="44"/>
      <c r="B22" s="62"/>
      <c r="C22" s="62"/>
      <c r="D22" s="62"/>
      <c r="E22" s="62"/>
      <c r="F22" s="62"/>
      <c r="G22" s="62"/>
      <c r="H22" s="41"/>
      <c r="I22" s="41"/>
      <c r="J22" s="41"/>
      <c r="K22" s="41"/>
      <c r="L22" s="41"/>
      <c r="M22" s="41"/>
      <c r="N22" s="41"/>
      <c r="O22" s="41"/>
      <c r="P22" s="62"/>
      <c r="Q22" s="62"/>
      <c r="R22" s="62"/>
      <c r="S22" s="41"/>
      <c r="T22" s="41"/>
      <c r="U22" s="41"/>
      <c r="V22" s="41"/>
      <c r="W22" s="41"/>
      <c r="X22" s="41"/>
      <c r="Y22" s="41"/>
      <c r="Z22" s="41"/>
    </row>
    <row r="23" ht="23.45" customHeight="1">
      <c r="A23" s="44"/>
      <c r="B23" s="62"/>
      <c r="C23" s="62"/>
      <c r="D23" s="62"/>
      <c r="E23" s="62"/>
      <c r="F23" s="62"/>
      <c r="G23" s="62"/>
      <c r="H23" s="41"/>
      <c r="I23" s="41"/>
      <c r="J23" s="41"/>
      <c r="K23" s="41"/>
      <c r="L23" s="41"/>
      <c r="M23" s="41"/>
      <c r="N23" s="41"/>
      <c r="O23" s="41"/>
      <c r="P23" s="62"/>
      <c r="Q23" s="62"/>
      <c r="R23" s="62"/>
      <c r="S23" s="41"/>
      <c r="T23" s="41"/>
      <c r="U23" s="41"/>
      <c r="V23" s="41"/>
      <c r="W23" s="41"/>
      <c r="X23" s="41"/>
      <c r="Y23" s="41"/>
      <c r="Z23" s="41"/>
    </row>
    <row r="24" ht="17.45" customHeight="1">
      <c r="A24" s="44"/>
      <c r="B24" s="62"/>
      <c r="C24" s="62"/>
      <c r="D24" s="62"/>
      <c r="E24" s="62"/>
      <c r="F24" s="62"/>
      <c r="G24" s="62"/>
      <c r="H24" s="41"/>
      <c r="I24" s="41"/>
      <c r="J24" s="41"/>
      <c r="K24" s="41"/>
      <c r="L24" s="41"/>
      <c r="M24" s="41"/>
      <c r="N24" s="41"/>
      <c r="O24" s="41"/>
      <c r="P24" s="62"/>
      <c r="Q24" s="62"/>
      <c r="R24" s="62"/>
      <c r="S24" s="41"/>
      <c r="T24" s="41"/>
      <c r="U24" s="41"/>
      <c r="V24" s="41"/>
      <c r="W24" s="41"/>
      <c r="X24" s="41"/>
      <c r="Y24" s="41"/>
      <c r="Z24" s="41"/>
    </row>
  </sheetData>
  <sheetProtection password="9D45" sheet="1" formatColumns="0"/>
  <protectedRanges>
    <protectedRange sqref="D10 N10 R10 D12:D16" name="Range1"/>
  </protectedRanges>
  <mergeCells>
    <mergeCell ref="A14:C14"/>
    <mergeCell ref="A15:C15"/>
    <mergeCell ref="B1:Z4"/>
    <mergeCell ref="B5:Z5"/>
    <mergeCell ref="B7:Z7"/>
    <mergeCell ref="A16:C16"/>
    <mergeCell ref="D13:E13"/>
    <mergeCell ref="A8:Y8"/>
    <mergeCell ref="M9:R9"/>
    <mergeCell ref="D15:E15"/>
    <mergeCell ref="D16:E16"/>
    <mergeCell ref="A12:C12"/>
    <mergeCell ref="A13:C13"/>
    <mergeCell ref="C9:F9"/>
    <mergeCell ref="A10:C10"/>
    <mergeCell ref="D10:K10"/>
    <mergeCell ref="D14:Y14"/>
    <mergeCell ref="D12:E12"/>
  </mergeCells>
  <dataValidations count="6">
    <dataValidation type="whole" allowBlank="1" showInputMessage="1" showErrorMessage="1" errorTitle="Diqqət!" error="Xanada 10 rəqəmli ədəd daxil edin! " promptTitle="Tərtibatçı üçün məlumat:" prompt="Xanada 10 rəqəmli ədəd daxil edin! _x000a_" sqref="F13" xr:uid="{8DE9178A-7483-4EE1-BFF8-F03D8F7356D4}">
      <formula1>1000000000</formula1>
      <formula2>9999999999</formula2>
    </dataValidation>
    <dataValidation type="decimal" allowBlank="1" showInputMessage="1" showErrorMessage="1" errorTitle="Diqqət!" error="Düzgün daxil edin!" promptTitle="Tərtibatçı üçün məlumat:" prompt="Əgər dövlətin payı olarsa, müvafiq payı yazın!" sqref="D16:E16" xr:uid="{96B043CA-6590-485D-A870-6B756FC26B21}">
      <formula1>0</formula1>
      <formula2>1</formula2>
    </dataValidation>
    <dataValidation type="list" allowBlank="1" showInputMessage="1" showErrorMessage="1" sqref="R10" xr:uid="{25F1DDB1-4C64-4E60-9984-A0F3211446DC}">
      <formula1>Year</formula1>
    </dataValidation>
    <dataValidation type="list" allowBlank="1" showInputMessage="1" showErrorMessage="1" sqref="N10" xr:uid="{F927039E-E274-4DBA-A01E-54903F750B2F}">
      <formula1>Kvartal</formula1>
    </dataValidation>
    <dataValidation type="list" allowBlank="1" showInputMessage="1" showErrorMessage="1" sqref="D15:E15" xr:uid="{CA7CC8D7-B41F-41AF-A648-750A68D0FA66}">
      <formula1>fealiyyet_novu</formula1>
    </dataValidation>
    <dataValidation type="custom" allowBlank="1" showInputMessage="1" showErrorMessage="1" errorTitle="Diqqət!" error="Xanada 10 rəqəmli ədəd daxil edin! " promptTitle="Tərtibatçı üçün məlumat:" prompt="Xanada 10 rəqəmli ədəd daxil edin! _x000a_" sqref="D13:E13" xr:uid="{BAA55277-F00A-4ECE-952A-1EA193A3FEDC}">
      <formula1>AND(LEN(D13)=10,ISNUMBER(VALUE(D13)))</formula1>
    </dataValidation>
  </dataValidations>
  <pageMargins left="0.7" right="0.7" top="0.75" bottom="0.75" header="0.3" footer="0.3"/>
  <pageSetup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7" r:id="rId4" name="Option Button 5">
              <controlPr defaultSize="0" autoFill="0" autoLine="0" autoPict="0">
                <anchor moveWithCells="1">
                  <from>
                    <xdr:col>6</xdr:col>
                    <xdr:colOff>200025</xdr:colOff>
                    <xdr:row>19</xdr:row>
                    <xdr:rowOff>333375</xdr:rowOff>
                  </from>
                  <to>
                    <xdr:col>6</xdr:col>
                    <xdr:colOff>200025</xdr:colOff>
                    <xdr:row>19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8" r:id="rId5" name="Option Button 6">
              <controlPr defaultSize="0" autoFill="0" autoLine="0" autoPict="0">
                <anchor moveWithCells="1">
                  <from>
                    <xdr:col>8</xdr:col>
                    <xdr:colOff>209550</xdr:colOff>
                    <xdr:row>19</xdr:row>
                    <xdr:rowOff>323850</xdr:rowOff>
                  </from>
                  <to>
                    <xdr:col>8</xdr:col>
                    <xdr:colOff>209550</xdr:colOff>
                    <xdr:row>19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2"/>
  <dimension ref="A1:CF73"/>
  <sheetViews>
    <sheetView topLeftCell="A7" zoomScale="85" zoomScaleNormal="85" zoomScaleSheetLayoutView="70" workbookViewId="0">
      <selection activeCell="B15" sqref="B15"/>
    </sheetView>
  </sheetViews>
  <sheetFormatPr defaultColWidth="14.7109375" defaultRowHeight="15" x14ac:dyDescent="0.2"/>
  <cols>
    <col min="1" max="1" width="11" customWidth="1" style="64"/>
    <col min="2" max="2" width="27.28515625" customWidth="1" style="64"/>
    <col min="3" max="3" width="22.42578125" customWidth="1" style="64"/>
    <col min="4" max="4" width="18.42578125" customWidth="1" style="64"/>
    <col min="5" max="5" bestFit="1" width="39.140625" customWidth="1" style="65"/>
    <col min="6" max="6" width="13.140625" customWidth="1" style="64"/>
    <col min="7" max="7" width="85.5703125" customWidth="1" style="66"/>
    <col min="8" max="8" width="8.42578125" customWidth="1" style="64"/>
    <col min="9" max="9" width="28" customWidth="1" style="64"/>
    <col min="10" max="10" width="7.85546875" customWidth="1" style="64"/>
    <col min="11" max="11" width="29.42578125" customWidth="1" style="66"/>
    <col min="12" max="12" width="15.140625" customWidth="1" style="64"/>
    <col min="13" max="13" width="22.42578125" customWidth="1" style="66"/>
    <col min="14" max="16" width="15.140625" customWidth="1" style="64"/>
    <col min="17" max="17" width="21.85546875" customWidth="1" style="64"/>
    <col min="18" max="20" width="15.140625" customWidth="1" style="64"/>
    <col min="21" max="22" width="19" customWidth="1" style="64"/>
    <col min="23" max="23" width="11" customWidth="1" style="67"/>
    <col min="24" max="24" width="11" customWidth="1" style="64"/>
    <col min="25" max="25" width="20.85546875" customWidth="1" style="64"/>
    <col min="26" max="26" width="12.28515625" customWidth="1" style="64"/>
    <col min="27" max="27" width="21.5703125" customWidth="1" style="64"/>
    <col min="28" max="29" width="18.7109375" customWidth="1" style="68"/>
    <col min="30" max="31" width="18.7109375" customWidth="1" style="64"/>
    <col min="32" max="32" width="15.42578125" customWidth="1" style="64"/>
    <col min="33" max="33" width="18.7109375" customWidth="1" style="64"/>
    <col min="34" max="35" width="21.7109375" customWidth="1" style="64"/>
    <col min="36" max="36" width="22.28515625" customWidth="1" style="64"/>
    <col min="37" max="37" width="18.7109375" customWidth="1" style="64"/>
    <col min="38" max="39" width="18" customWidth="1" style="64"/>
    <col min="40" max="40" width="18.7109375" customWidth="1" style="64"/>
    <col min="41" max="41" width="22" customWidth="1" style="64"/>
    <col min="42" max="42" width="15.7109375" customWidth="1" style="64"/>
    <col min="43" max="44" width="18.7109375" customWidth="1" style="64"/>
    <col min="45" max="45" width="24.42578125" customWidth="1" style="64"/>
    <col min="46" max="46" width="20.140625" customWidth="1" style="64"/>
    <col min="47" max="47" width="19.5703125" customWidth="1" style="64"/>
    <col min="48" max="48" width="19.28515625" customWidth="1" style="64"/>
    <col min="49" max="49" width="20.42578125" customWidth="1" style="64"/>
    <col min="50" max="50" width="20.7109375" customWidth="1" style="64"/>
    <col min="51" max="51" width="15.85546875" customWidth="1" style="66"/>
    <col min="52" max="52" width="9.28515625" customWidth="1" style="64"/>
    <col min="53" max="53" width="18.7109375" customWidth="1" style="64"/>
    <col min="54" max="54" width="16.7109375" customWidth="1" style="64"/>
    <col min="55" max="57" width="18.7109375" customWidth="1" style="64"/>
    <col min="58" max="58" width="20" customWidth="1" style="64"/>
    <col min="59" max="59" width="12.28515625" customWidth="1" style="64"/>
    <col min="60" max="61" width="20" customWidth="1" style="64"/>
    <col min="62" max="62" width="12.140625" customWidth="1" style="64"/>
    <col min="63" max="63" width="13" customWidth="1" style="64"/>
    <col min="64" max="64" width="12.140625" customWidth="1" style="64"/>
    <col min="65" max="65" width="12.85546875" customWidth="1" style="64"/>
    <col min="66" max="66" width="12.140625" customWidth="1" style="64"/>
    <col min="67" max="67" width="12.85546875" customWidth="1" style="64"/>
    <col min="68" max="68" width="12.140625" customWidth="1" style="64"/>
    <col min="69" max="69" width="13.28515625" customWidth="1" style="64"/>
    <col min="70" max="70" width="12.140625" customWidth="1" style="64"/>
    <col min="71" max="71" width="13" customWidth="1" style="64"/>
    <col min="72" max="72" width="12.140625" customWidth="1" style="64"/>
    <col min="73" max="73" width="12.85546875" customWidth="1" style="64"/>
    <col min="74" max="74" width="12.140625" customWidth="1" style="64"/>
    <col min="75" max="75" width="12.85546875" customWidth="1" style="64"/>
    <col min="76" max="76" width="12.140625" customWidth="1" style="64"/>
    <col min="77" max="77" width="13" customWidth="1" style="64"/>
    <col min="78" max="79" width="14.85546875" customWidth="1" style="64"/>
    <col min="80" max="80" width="18.28515625" customWidth="1" style="64"/>
    <col min="81" max="82" width="14.85546875" customWidth="1" style="64"/>
    <col min="83" max="83" width="14.7109375" customWidth="1" style="64"/>
    <col min="84" max="84" hidden="1" width="0" customWidth="1" style="64"/>
    <col min="85" max="16384" width="14.7109375" customWidth="1" style="64"/>
  </cols>
  <sheetData>
    <row r="1" ht="20.25" customHeight="1">
      <c r="G1" s="144" t="s">
        <v>0</v>
      </c>
      <c r="H1" s="144"/>
      <c r="I1" s="144"/>
    </row>
    <row r="2" ht="20.25" customHeight="1">
      <c r="G2" s="144" t="s">
        <v>1</v>
      </c>
      <c r="H2" s="144"/>
      <c r="I2" s="144"/>
    </row>
    <row r="3" ht="20.25" customHeight="1">
      <c r="G3" s="144" t="s">
        <v>329</v>
      </c>
      <c r="H3" s="144"/>
      <c r="I3" s="144"/>
      <c r="O3" s="69"/>
      <c r="P3" s="69"/>
      <c r="V3" s="69"/>
      <c r="Y3" s="69"/>
      <c r="Z3" s="69"/>
      <c r="AA3" s="69"/>
    </row>
    <row r="4" ht="20.25" customHeight="1">
      <c r="A4" s="185" t="s">
        <v>3</v>
      </c>
      <c r="B4" s="185"/>
      <c r="C4" s="65" t="str">
        <f>IF(XBBIS!D10="","",XBBIS!D10)</f>
        <v>BANK MELLİ İRAN BAKI FİLİALI</v>
      </c>
      <c r="D4" s="65"/>
      <c r="F4" s="65"/>
      <c r="G4" s="144" t="s">
        <v>330</v>
      </c>
      <c r="H4" s="144"/>
      <c r="I4" s="144"/>
      <c r="J4" s="70"/>
      <c r="K4" s="70"/>
      <c r="M4" s="71"/>
      <c r="O4" s="69"/>
      <c r="U4" s="69"/>
      <c r="Y4" s="69"/>
      <c r="Z4" s="69"/>
      <c r="AA4" s="69"/>
      <c r="AB4" s="64"/>
      <c r="AC4" s="64"/>
    </row>
    <row r="5" ht="20.25" customHeight="1" s="67" customFormat="1">
      <c r="A5" s="186" t="s">
        <v>5</v>
      </c>
      <c r="B5" s="186"/>
      <c r="C5" s="66" t="str">
        <f>IF(OR(XBBIS!N10="",XBBIS!R10=""),"",XBBIS!N10 &amp; "-ci rüb " &amp; XBBIS!R10&amp;"-ci il")</f>
        <v>3-ci rüb 2024-ci il</v>
      </c>
      <c r="D5" s="66"/>
      <c r="E5" s="72"/>
      <c r="F5" s="73"/>
      <c r="G5" s="162" t="s">
        <v>6</v>
      </c>
      <c r="H5" s="162"/>
      <c r="I5" s="162"/>
      <c r="J5" s="74"/>
      <c r="K5" s="70"/>
      <c r="M5" s="71"/>
      <c r="O5" s="74"/>
      <c r="T5" s="66"/>
      <c r="U5" s="69"/>
      <c r="Y5" s="74"/>
      <c r="Z5" s="74"/>
      <c r="AA5" s="74"/>
      <c r="AB5" s="75"/>
      <c r="AC5" s="75"/>
      <c r="AY5" s="66"/>
      <c r="BK5" s="76"/>
      <c r="BL5" s="76"/>
      <c r="BM5" s="76"/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  <c r="CA5" s="76"/>
      <c r="CB5" s="76"/>
      <c r="CC5" s="76"/>
      <c r="CD5" s="76"/>
      <c r="CE5" s="76"/>
      <c r="CF5" s="76" t="s">
        <v>331</v>
      </c>
    </row>
    <row r="6" ht="20.25" customHeight="1" s="67" customFormat="1">
      <c r="A6" s="186" t="s">
        <v>7</v>
      </c>
      <c r="B6" s="186"/>
      <c r="C6" s="77">
        <f>IF(XBBIS!D16="","",XBBIS!D16)</f>
        <v>0</v>
      </c>
      <c r="D6" s="70"/>
      <c r="E6" s="78"/>
      <c r="F6" s="70"/>
      <c r="G6" s="144" t="s">
        <v>8</v>
      </c>
      <c r="H6" s="144"/>
      <c r="I6" s="144"/>
      <c r="J6" s="74"/>
      <c r="K6" s="70"/>
      <c r="L6" s="74"/>
      <c r="M6" s="66"/>
      <c r="O6" s="74"/>
      <c r="P6" s="74"/>
      <c r="Q6" s="66"/>
      <c r="R6" s="66"/>
      <c r="S6" s="66"/>
      <c r="T6" s="66"/>
      <c r="U6" s="74"/>
      <c r="V6" s="74"/>
      <c r="W6" s="69"/>
      <c r="X6" s="69"/>
      <c r="Y6" s="74"/>
      <c r="Z6" s="74"/>
      <c r="AA6" s="74"/>
      <c r="AB6" s="75"/>
      <c r="AC6" s="75"/>
      <c r="AY6" s="6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  <c r="CA6" s="76"/>
      <c r="CB6" s="76"/>
      <c r="CC6" s="76"/>
      <c r="CD6" s="76"/>
      <c r="CE6" s="76"/>
      <c r="CF6" s="76">
        <v>74</v>
      </c>
    </row>
    <row r="7" ht="20.25" customHeight="1" s="67" customFormat="1">
      <c r="A7" s="187" t="s">
        <v>9</v>
      </c>
      <c r="B7" s="187"/>
      <c r="C7" s="190" t="str">
        <f>IF(XBBIS!D14="","",XBBIS!D14)</f>
        <v>DİGƏR PUL VASİTƏÇİLİYİ </v>
      </c>
      <c r="D7" s="190"/>
      <c r="E7" s="78"/>
      <c r="F7" s="70"/>
      <c r="G7" s="144" t="s">
        <v>10</v>
      </c>
      <c r="H7" s="144"/>
      <c r="I7" s="144"/>
      <c r="J7" s="74"/>
      <c r="K7" s="70"/>
      <c r="L7" s="74"/>
      <c r="M7" s="66"/>
      <c r="O7" s="74"/>
      <c r="P7" s="74"/>
      <c r="Q7" s="66"/>
      <c r="R7" s="66"/>
      <c r="S7" s="66"/>
      <c r="T7" s="66"/>
      <c r="U7" s="74"/>
      <c r="V7" s="74"/>
      <c r="W7" s="69"/>
      <c r="X7" s="69"/>
      <c r="Y7" s="74"/>
      <c r="Z7" s="74"/>
      <c r="AA7" s="74"/>
      <c r="AB7" s="75"/>
      <c r="AC7" s="75"/>
      <c r="AY7" s="66"/>
      <c r="BK7" s="76"/>
      <c r="BL7" s="76"/>
      <c r="BM7" s="76"/>
      <c r="BN7" s="76"/>
      <c r="BO7" s="76"/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  <c r="CA7" s="76"/>
      <c r="CB7" s="76"/>
      <c r="CC7" s="76"/>
      <c r="CD7" s="76"/>
      <c r="CE7" s="76"/>
      <c r="CF7" s="76"/>
    </row>
    <row r="8" ht="20.25" customHeight="1" s="67" customFormat="1">
      <c r="A8" s="79"/>
      <c r="B8" s="79"/>
      <c r="C8" s="80"/>
      <c r="D8" s="80"/>
      <c r="E8" s="78"/>
      <c r="F8" s="70"/>
      <c r="G8" s="81"/>
      <c r="H8" s="82"/>
      <c r="I8" s="82"/>
      <c r="J8" s="74"/>
      <c r="K8" s="70"/>
      <c r="L8" s="74"/>
      <c r="M8" s="66"/>
      <c r="O8" s="74"/>
      <c r="P8" s="74"/>
      <c r="Q8" s="66"/>
      <c r="R8" s="66"/>
      <c r="S8" s="66"/>
      <c r="T8" s="66"/>
      <c r="U8" s="74"/>
      <c r="V8" s="74"/>
      <c r="W8" s="69"/>
      <c r="X8" s="69"/>
      <c r="Y8" s="74"/>
      <c r="Z8" s="74"/>
      <c r="AA8" s="74"/>
      <c r="AB8" s="75"/>
      <c r="AC8" s="75"/>
      <c r="AY8" s="66"/>
      <c r="BK8" s="76"/>
      <c r="BL8" s="76"/>
      <c r="BM8" s="76"/>
      <c r="BN8" s="76"/>
      <c r="BO8" s="76"/>
      <c r="BP8" s="76"/>
      <c r="BQ8" s="76"/>
      <c r="BR8" s="76"/>
      <c r="BS8" s="76"/>
      <c r="BT8" s="76"/>
      <c r="BU8" s="76"/>
      <c r="BV8" s="76"/>
      <c r="BW8" s="76"/>
      <c r="BX8" s="76"/>
      <c r="BY8" s="76"/>
      <c r="BZ8" s="76"/>
      <c r="CA8" s="76"/>
      <c r="CB8" s="76"/>
      <c r="CC8" s="76"/>
      <c r="CD8" s="76"/>
      <c r="CE8" s="76"/>
      <c r="CF8" s="76"/>
    </row>
    <row r="9" ht="34.5" customHeight="1" s="67" customFormat="1">
      <c r="B9" s="83"/>
      <c r="C9" s="83"/>
      <c r="D9" s="83"/>
      <c r="F9" s="84"/>
      <c r="G9" s="85" t="s">
        <v>332</v>
      </c>
      <c r="H9" s="84"/>
      <c r="I9" s="84"/>
      <c r="J9" s="83"/>
      <c r="K9" s="86"/>
      <c r="L9" s="83"/>
      <c r="M9" s="86"/>
      <c r="N9" s="87"/>
      <c r="O9" s="87"/>
      <c r="P9" s="87"/>
      <c r="Q9" s="87"/>
      <c r="R9" s="87"/>
      <c r="S9" s="87"/>
      <c r="T9" s="87"/>
      <c r="U9" s="87"/>
      <c r="V9" s="87"/>
      <c r="W9" s="88"/>
      <c r="AB9" s="89"/>
      <c r="AC9" s="89"/>
      <c r="AY9" s="66"/>
    </row>
    <row r="10" ht="21.75" customHeight="1" s="90" customFormat="1">
      <c r="A10" s="67"/>
      <c r="B10" s="67"/>
      <c r="C10" s="67"/>
      <c r="F10" s="91"/>
      <c r="G10" s="92" t="s">
        <v>333</v>
      </c>
      <c r="H10" s="91"/>
      <c r="I10" s="92"/>
      <c r="J10" s="93"/>
      <c r="K10" s="94"/>
      <c r="L10" s="95"/>
      <c r="M10" s="96"/>
      <c r="N10" s="95"/>
      <c r="O10" s="92" t="s">
        <v>13</v>
      </c>
      <c r="P10" s="95"/>
      <c r="Q10" s="97"/>
      <c r="R10" s="97"/>
      <c r="S10" s="97"/>
      <c r="T10" s="67"/>
      <c r="U10" s="67"/>
      <c r="V10" s="98"/>
      <c r="W10" s="67"/>
      <c r="X10" s="67"/>
      <c r="Y10" s="67"/>
      <c r="Z10" s="67"/>
      <c r="AA10" s="67"/>
      <c r="AB10" s="89"/>
      <c r="AC10" s="89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99"/>
      <c r="AZ10" s="98"/>
      <c r="BA10" s="67"/>
      <c r="BB10" s="67"/>
      <c r="BC10" s="98"/>
      <c r="BD10" s="67"/>
      <c r="BE10" s="67"/>
      <c r="BF10" s="92"/>
      <c r="BG10" s="67"/>
      <c r="BH10" s="98"/>
      <c r="BI10" s="98"/>
      <c r="BJ10" s="98"/>
      <c r="BK10" s="100"/>
      <c r="BL10" s="100"/>
      <c r="BM10" s="100"/>
      <c r="BN10" s="100"/>
      <c r="BO10" s="100"/>
      <c r="BP10" s="100"/>
      <c r="BQ10" s="100"/>
      <c r="BR10" s="100"/>
      <c r="BS10" s="100"/>
      <c r="BT10" s="100"/>
      <c r="BU10" s="100"/>
      <c r="BV10" s="100"/>
      <c r="BW10" s="100"/>
      <c r="BX10" s="100"/>
      <c r="BY10" s="163"/>
      <c r="BZ10" s="163"/>
      <c r="CA10" s="101"/>
      <c r="CB10" s="101"/>
      <c r="CC10" s="101" t="s">
        <v>13</v>
      </c>
      <c r="CD10" s="101"/>
      <c r="CE10" s="100"/>
      <c r="CF10" s="100"/>
    </row>
    <row r="11" ht="38.25" customHeight="1" s="103" customFormat="1">
      <c r="A11" s="188" t="s">
        <v>61</v>
      </c>
      <c r="B11" s="156" t="s">
        <v>62</v>
      </c>
      <c r="C11" s="156" t="s">
        <v>16</v>
      </c>
      <c r="D11" s="156" t="s">
        <v>63</v>
      </c>
      <c r="E11" s="152" t="s">
        <v>64</v>
      </c>
      <c r="F11" s="153"/>
      <c r="G11" s="152" t="s">
        <v>65</v>
      </c>
      <c r="H11" s="153"/>
      <c r="I11" s="152" t="s">
        <v>66</v>
      </c>
      <c r="J11" s="153"/>
      <c r="K11" s="152" t="s">
        <v>67</v>
      </c>
      <c r="L11" s="153"/>
      <c r="M11" s="152" t="s">
        <v>68</v>
      </c>
      <c r="N11" s="153"/>
      <c r="O11" s="152" t="s">
        <v>23</v>
      </c>
      <c r="P11" s="153"/>
      <c r="Q11" s="152" t="s">
        <v>69</v>
      </c>
      <c r="R11" s="153"/>
      <c r="S11" s="152" t="s">
        <v>70</v>
      </c>
      <c r="T11" s="153"/>
      <c r="U11" s="156" t="s">
        <v>25</v>
      </c>
      <c r="V11" s="156" t="s">
        <v>26</v>
      </c>
      <c r="W11" s="156" t="s">
        <v>27</v>
      </c>
      <c r="X11" s="156" t="s">
        <v>71</v>
      </c>
      <c r="Y11" s="152" t="s">
        <v>72</v>
      </c>
      <c r="Z11" s="153"/>
      <c r="AA11" s="149" t="s">
        <v>28</v>
      </c>
      <c r="AB11" s="150"/>
      <c r="AC11" s="150"/>
      <c r="AD11" s="150"/>
      <c r="AE11" s="150"/>
      <c r="AF11" s="150"/>
      <c r="AG11" s="151"/>
      <c r="AH11" s="160" t="s">
        <v>73</v>
      </c>
      <c r="AI11" s="160"/>
      <c r="AJ11" s="160"/>
      <c r="AK11" s="160"/>
      <c r="AL11" s="160"/>
      <c r="AM11" s="160"/>
      <c r="AN11" s="160"/>
      <c r="AO11" s="160"/>
      <c r="AP11" s="160"/>
      <c r="AQ11" s="160"/>
      <c r="AR11" s="152" t="s">
        <v>30</v>
      </c>
      <c r="AS11" s="153"/>
      <c r="AT11" s="160" t="s">
        <v>74</v>
      </c>
      <c r="AU11" s="160"/>
      <c r="AV11" s="160"/>
      <c r="AW11" s="160"/>
      <c r="AX11" s="160"/>
      <c r="AY11" s="152" t="s">
        <v>32</v>
      </c>
      <c r="AZ11" s="153"/>
      <c r="BA11" s="149" t="s">
        <v>33</v>
      </c>
      <c r="BB11" s="150"/>
      <c r="BC11" s="150"/>
      <c r="BD11" s="150"/>
      <c r="BE11" s="150"/>
      <c r="BF11" s="150"/>
      <c r="BG11" s="150"/>
      <c r="BH11" s="150"/>
      <c r="BI11" s="151"/>
      <c r="BJ11" s="176" t="s">
        <v>34</v>
      </c>
      <c r="BK11" s="177"/>
      <c r="BL11" s="165" t="s">
        <v>35</v>
      </c>
      <c r="BM11" s="175"/>
      <c r="BN11" s="175"/>
      <c r="BO11" s="175"/>
      <c r="BP11" s="175"/>
      <c r="BQ11" s="175"/>
      <c r="BR11" s="175"/>
      <c r="BS11" s="166"/>
      <c r="BT11" s="174" t="s">
        <v>36</v>
      </c>
      <c r="BU11" s="174"/>
      <c r="BV11" s="174"/>
      <c r="BW11" s="174"/>
      <c r="BX11" s="165" t="s">
        <v>37</v>
      </c>
      <c r="BY11" s="166"/>
      <c r="BZ11" s="182" t="s">
        <v>75</v>
      </c>
      <c r="CA11" s="182" t="s">
        <v>334</v>
      </c>
      <c r="CB11" s="152" t="s">
        <v>77</v>
      </c>
      <c r="CC11" s="153"/>
      <c r="CD11" s="182" t="s">
        <v>39</v>
      </c>
      <c r="CE11" s="102"/>
      <c r="CF11" s="102"/>
    </row>
    <row r="12" ht="48" customHeight="1" s="67" customFormat="1">
      <c r="A12" s="189"/>
      <c r="B12" s="157"/>
      <c r="C12" s="157"/>
      <c r="D12" s="157"/>
      <c r="E12" s="154"/>
      <c r="F12" s="155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54"/>
      <c r="R12" s="155"/>
      <c r="S12" s="180"/>
      <c r="T12" s="181"/>
      <c r="U12" s="157"/>
      <c r="V12" s="157"/>
      <c r="W12" s="157"/>
      <c r="X12" s="157"/>
      <c r="Y12" s="154"/>
      <c r="Z12" s="155"/>
      <c r="AA12" s="158" t="s">
        <v>78</v>
      </c>
      <c r="AB12" s="148" t="s">
        <v>79</v>
      </c>
      <c r="AC12" s="148" t="s">
        <v>80</v>
      </c>
      <c r="AD12" s="157" t="s">
        <v>81</v>
      </c>
      <c r="AE12" s="159" t="s">
        <v>82</v>
      </c>
      <c r="AF12" s="157" t="s">
        <v>83</v>
      </c>
      <c r="AG12" s="159" t="s">
        <v>84</v>
      </c>
      <c r="AH12" s="170" t="s">
        <v>85</v>
      </c>
      <c r="AI12" s="171"/>
      <c r="AJ12" s="171"/>
      <c r="AK12" s="171"/>
      <c r="AL12" s="172"/>
      <c r="AM12" s="170" t="s">
        <v>41</v>
      </c>
      <c r="AN12" s="171"/>
      <c r="AO12" s="171"/>
      <c r="AP12" s="171"/>
      <c r="AQ12" s="172"/>
      <c r="AR12" s="154"/>
      <c r="AS12" s="155"/>
      <c r="AT12" s="147" t="s">
        <v>86</v>
      </c>
      <c r="AU12" s="156" t="s">
        <v>87</v>
      </c>
      <c r="AV12" s="158" t="s">
        <v>88</v>
      </c>
      <c r="AW12" s="156" t="s">
        <v>335</v>
      </c>
      <c r="AX12" s="158" t="s">
        <v>90</v>
      </c>
      <c r="AY12" s="154"/>
      <c r="AZ12" s="155"/>
      <c r="BA12" s="147" t="s">
        <v>79</v>
      </c>
      <c r="BB12" s="147" t="s">
        <v>91</v>
      </c>
      <c r="BC12" s="156" t="s">
        <v>92</v>
      </c>
      <c r="BD12" s="158" t="s">
        <v>82</v>
      </c>
      <c r="BE12" s="157" t="s">
        <v>83</v>
      </c>
      <c r="BF12" s="158" t="s">
        <v>93</v>
      </c>
      <c r="BG12" s="167" t="s">
        <v>94</v>
      </c>
      <c r="BH12" s="168"/>
      <c r="BI12" s="169"/>
      <c r="BJ12" s="178"/>
      <c r="BK12" s="179"/>
      <c r="BL12" s="164" t="s">
        <v>42</v>
      </c>
      <c r="BM12" s="164"/>
      <c r="BN12" s="164" t="s">
        <v>43</v>
      </c>
      <c r="BO12" s="164"/>
      <c r="BP12" s="145" t="s">
        <v>44</v>
      </c>
      <c r="BQ12" s="146"/>
      <c r="BR12" s="145" t="s">
        <v>45</v>
      </c>
      <c r="BS12" s="146"/>
      <c r="BT12" s="145" t="s">
        <v>46</v>
      </c>
      <c r="BU12" s="146"/>
      <c r="BV12" s="145" t="s">
        <v>95</v>
      </c>
      <c r="BW12" s="146"/>
      <c r="BX12" s="145" t="s">
        <v>96</v>
      </c>
      <c r="BY12" s="146"/>
      <c r="BZ12" s="183"/>
      <c r="CA12" s="183"/>
      <c r="CB12" s="154"/>
      <c r="CC12" s="155"/>
      <c r="CD12" s="183"/>
      <c r="CE12" s="76"/>
      <c r="CF12" s="76"/>
    </row>
    <row r="13" ht="83.25" customHeight="1" s="89" customFormat="1">
      <c r="A13" s="189"/>
      <c r="B13" s="157"/>
      <c r="C13" s="157"/>
      <c r="D13" s="157"/>
      <c r="E13" s="104" t="s">
        <v>97</v>
      </c>
      <c r="F13" s="104" t="s">
        <v>50</v>
      </c>
      <c r="G13" s="104" t="s">
        <v>98</v>
      </c>
      <c r="H13" s="104" t="s">
        <v>50</v>
      </c>
      <c r="I13" s="104" t="s">
        <v>98</v>
      </c>
      <c r="J13" s="104" t="s">
        <v>50</v>
      </c>
      <c r="K13" s="104" t="s">
        <v>97</v>
      </c>
      <c r="L13" s="104" t="s">
        <v>50</v>
      </c>
      <c r="M13" s="104" t="s">
        <v>97</v>
      </c>
      <c r="N13" s="104" t="s">
        <v>50</v>
      </c>
      <c r="O13" s="104" t="s">
        <v>97</v>
      </c>
      <c r="P13" s="104" t="s">
        <v>50</v>
      </c>
      <c r="Q13" s="104" t="s">
        <v>97</v>
      </c>
      <c r="R13" s="104" t="s">
        <v>50</v>
      </c>
      <c r="S13" s="104" t="s">
        <v>53</v>
      </c>
      <c r="T13" s="104" t="s">
        <v>54</v>
      </c>
      <c r="U13" s="157"/>
      <c r="V13" s="157"/>
      <c r="W13" s="157"/>
      <c r="X13" s="157"/>
      <c r="Y13" s="104" t="s">
        <v>98</v>
      </c>
      <c r="Z13" s="104" t="s">
        <v>50</v>
      </c>
      <c r="AA13" s="173"/>
      <c r="AB13" s="161"/>
      <c r="AC13" s="148"/>
      <c r="AD13" s="157"/>
      <c r="AE13" s="157"/>
      <c r="AF13" s="157"/>
      <c r="AG13" s="157"/>
      <c r="AH13" s="104" t="s">
        <v>99</v>
      </c>
      <c r="AI13" s="104" t="s">
        <v>100</v>
      </c>
      <c r="AJ13" s="105" t="s">
        <v>82</v>
      </c>
      <c r="AK13" s="104" t="s">
        <v>83</v>
      </c>
      <c r="AL13" s="105" t="s">
        <v>101</v>
      </c>
      <c r="AM13" s="104" t="s">
        <v>102</v>
      </c>
      <c r="AN13" s="104" t="s">
        <v>100</v>
      </c>
      <c r="AO13" s="105" t="s">
        <v>82</v>
      </c>
      <c r="AP13" s="104" t="s">
        <v>103</v>
      </c>
      <c r="AQ13" s="105" t="s">
        <v>84</v>
      </c>
      <c r="AR13" s="106" t="s">
        <v>104</v>
      </c>
      <c r="AS13" s="106" t="s">
        <v>105</v>
      </c>
      <c r="AT13" s="161"/>
      <c r="AU13" s="157"/>
      <c r="AV13" s="159"/>
      <c r="AW13" s="157"/>
      <c r="AX13" s="157"/>
      <c r="AY13" s="104" t="s">
        <v>98</v>
      </c>
      <c r="AZ13" s="104" t="s">
        <v>50</v>
      </c>
      <c r="BA13" s="161"/>
      <c r="BB13" s="148"/>
      <c r="BC13" s="157"/>
      <c r="BD13" s="157"/>
      <c r="BE13" s="157"/>
      <c r="BF13" s="157"/>
      <c r="BG13" s="107" t="s">
        <v>106</v>
      </c>
      <c r="BH13" s="108" t="s">
        <v>107</v>
      </c>
      <c r="BI13" s="108" t="s">
        <v>108</v>
      </c>
      <c r="BJ13" s="109" t="s">
        <v>109</v>
      </c>
      <c r="BK13" s="110" t="s">
        <v>110</v>
      </c>
      <c r="BL13" s="109" t="s">
        <v>109</v>
      </c>
      <c r="BM13" s="110" t="s">
        <v>110</v>
      </c>
      <c r="BN13" s="109" t="s">
        <v>109</v>
      </c>
      <c r="BO13" s="110" t="s">
        <v>110</v>
      </c>
      <c r="BP13" s="109" t="s">
        <v>109</v>
      </c>
      <c r="BQ13" s="110" t="s">
        <v>110</v>
      </c>
      <c r="BR13" s="109" t="s">
        <v>109</v>
      </c>
      <c r="BS13" s="110" t="s">
        <v>110</v>
      </c>
      <c r="BT13" s="109" t="s">
        <v>109</v>
      </c>
      <c r="BU13" s="110" t="s">
        <v>110</v>
      </c>
      <c r="BV13" s="109" t="s">
        <v>109</v>
      </c>
      <c r="BW13" s="110" t="s">
        <v>110</v>
      </c>
      <c r="BX13" s="109" t="s">
        <v>109</v>
      </c>
      <c r="BY13" s="110" t="s">
        <v>110</v>
      </c>
      <c r="BZ13" s="184"/>
      <c r="CA13" s="184"/>
      <c r="CB13" s="104" t="s">
        <v>98</v>
      </c>
      <c r="CC13" s="104" t="s">
        <v>50</v>
      </c>
      <c r="CD13" s="184"/>
    </row>
    <row r="14" ht="19.5" customHeight="1" s="67" customFormat="1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 t="s">
        <v>111</v>
      </c>
      <c r="AC14" s="104">
        <v>28</v>
      </c>
      <c r="AD14" s="104">
        <v>29</v>
      </c>
      <c r="AE14" s="104">
        <v>30</v>
      </c>
      <c r="AF14" s="104">
        <v>31</v>
      </c>
      <c r="AG14" s="104">
        <v>32</v>
      </c>
      <c r="AH14" s="104" t="s">
        <v>112</v>
      </c>
      <c r="AI14" s="104">
        <v>33</v>
      </c>
      <c r="AJ14" s="104">
        <v>34</v>
      </c>
      <c r="AK14" s="104">
        <v>35</v>
      </c>
      <c r="AL14" s="104">
        <v>36</v>
      </c>
      <c r="AM14" s="104" t="s">
        <v>113</v>
      </c>
      <c r="AN14" s="104">
        <v>37</v>
      </c>
      <c r="AO14" s="104">
        <v>38</v>
      </c>
      <c r="AP14" s="104">
        <v>39</v>
      </c>
      <c r="AQ14" s="104">
        <v>40</v>
      </c>
      <c r="AR14" s="104" t="s">
        <v>114</v>
      </c>
      <c r="AS14" s="104">
        <v>41</v>
      </c>
      <c r="AT14" s="104" t="s">
        <v>115</v>
      </c>
      <c r="AU14" s="104">
        <v>42</v>
      </c>
      <c r="AV14" s="104">
        <v>43</v>
      </c>
      <c r="AW14" s="104">
        <v>44</v>
      </c>
      <c r="AX14" s="104">
        <v>45</v>
      </c>
      <c r="AY14" s="104">
        <v>46</v>
      </c>
      <c r="AZ14" s="104">
        <v>47</v>
      </c>
      <c r="BA14" s="104" t="s">
        <v>116</v>
      </c>
      <c r="BB14" s="104">
        <v>48</v>
      </c>
      <c r="BC14" s="104">
        <v>49</v>
      </c>
      <c r="BD14" s="104">
        <v>50</v>
      </c>
      <c r="BE14" s="104">
        <v>51</v>
      </c>
      <c r="BF14" s="104">
        <v>52</v>
      </c>
      <c r="BG14" s="104">
        <v>53</v>
      </c>
      <c r="BH14" s="104">
        <v>54</v>
      </c>
      <c r="BI14" s="104">
        <v>55</v>
      </c>
      <c r="BJ14" s="104">
        <v>56</v>
      </c>
      <c r="BK14" s="104">
        <v>57</v>
      </c>
      <c r="BL14" s="104">
        <v>58</v>
      </c>
      <c r="BM14" s="104">
        <v>59</v>
      </c>
      <c r="BN14" s="104">
        <v>60</v>
      </c>
      <c r="BO14" s="104">
        <v>61</v>
      </c>
      <c r="BP14" s="104">
        <v>62</v>
      </c>
      <c r="BQ14" s="104">
        <v>63</v>
      </c>
      <c r="BR14" s="104">
        <v>64</v>
      </c>
      <c r="BS14" s="104">
        <v>65</v>
      </c>
      <c r="BT14" s="104">
        <v>66</v>
      </c>
      <c r="BU14" s="104">
        <v>67</v>
      </c>
      <c r="BV14" s="104">
        <v>68</v>
      </c>
      <c r="BW14" s="104">
        <v>69</v>
      </c>
      <c r="BX14" s="104">
        <v>70</v>
      </c>
      <c r="BY14" s="104">
        <v>71</v>
      </c>
      <c r="BZ14" s="104">
        <v>72</v>
      </c>
      <c r="CA14" s="104">
        <v>73</v>
      </c>
      <c r="CB14" s="104">
        <v>74</v>
      </c>
      <c r="CC14" s="104">
        <v>75</v>
      </c>
      <c r="CD14" s="104">
        <v>76</v>
      </c>
    </row>
    <row r="15" ht="21.75" customHeight="1" s="112" customFormat="1">
      <c r="A15" s="111">
        <v>1</v>
      </c>
      <c r="B15" s="35" t="str">
        <f>IF((C15&amp;"-"&amp;D15&amp;"-"&amp;F15&amp;"-"&amp;H15&amp;"-"&amp;P15&amp;"-"&amp;N15)="-----","",(C15&amp;"-"&amp;D15&amp;"-"&amp;F15&amp;"-"&amp;H15&amp;"-"&amp;P15&amp;"-"&amp;N15))</f>
      </c>
      <c r="C15" s="32" t="s">
        <v>336</v>
      </c>
      <c r="D15" s="33" t="s">
        <v>337</v>
      </c>
      <c r="E15" s="1" t="s">
        <v>118</v>
      </c>
      <c r="F15" s="36" t="str">
        <f>IFERROR(VLOOKUP('A1 (Aktivlər)'!E15,List!A:B,2,0),"")</f>
      </c>
      <c r="G15" s="1" t="s">
        <v>338</v>
      </c>
      <c r="H15" s="36" t="str">
        <f>IFERROR(VLOOKUP('A1 (Aktivlər)'!G15,List!G:H,2,0),"")</f>
      </c>
      <c r="I15" s="1" t="s">
        <v>120</v>
      </c>
      <c r="J15" s="36" t="str">
        <f>IFERROR(VLOOKUP('A1 (Aktivlər)'!I15,List!C:D,2,0),"")</f>
      </c>
      <c r="K15" s="1" t="s">
        <v>339</v>
      </c>
      <c r="L15" s="36" t="str">
        <f>IFERROR(VLOOKUP('A1 (Aktivlər)'!K15,List!E:F,2,0),"")</f>
      </c>
      <c r="M15" s="1" t="s">
        <v>340</v>
      </c>
      <c r="N15" s="36" t="str">
        <f>IFERROR(VLOOKUP('A1 (Aktivlər)'!M15,List!M:N,2,0),"")</f>
      </c>
      <c r="O15" s="1" t="s">
        <v>341</v>
      </c>
      <c r="P15" s="36" t="str">
        <f>IFERROR(VLOOKUP('A1 (Aktivlər)'!O15,List!S:T,2,0),"")</f>
      </c>
      <c r="Q15" s="1"/>
      <c r="R15" s="36" t="str">
        <f>IFERROR(VLOOKUP('A1 (Aktivlər)'!Q15,List!K:L,2,0),"")</f>
      </c>
      <c r="S15" s="16" t="s">
        <v>125</v>
      </c>
      <c r="T15" s="16" t="s">
        <v>125</v>
      </c>
      <c r="U15" s="17" t="s">
        <v>129</v>
      </c>
      <c r="V15" s="17" t="s">
        <v>129</v>
      </c>
      <c r="W15" s="20" t="s">
        <v>129</v>
      </c>
      <c r="X15" s="18" t="s">
        <v>129</v>
      </c>
      <c r="Y15" s="1"/>
      <c r="Z15" s="36" t="str">
        <f>IFERROR(VLOOKUP('A1 (Aktivlər)'!Y15,List!O:P,2,0),"")</f>
      </c>
      <c r="AA15" s="19"/>
      <c r="AB15" s="19"/>
      <c r="AC15" s="37">
        <f ref="AC15:AC43" t="shared" si="0">AD15+AF15</f>
        <v>0</v>
      </c>
      <c r="AD15" s="19">
        <v>1001.721</v>
      </c>
      <c r="AE15" s="19">
        <v>0</v>
      </c>
      <c r="AF15" s="19">
        <v>0</v>
      </c>
      <c r="AG15" s="19">
        <v>0</v>
      </c>
      <c r="AH15" s="19">
        <v>0</v>
      </c>
      <c r="AI15" s="19" t="s">
        <v>129</v>
      </c>
      <c r="AJ15" s="19">
        <v>0</v>
      </c>
      <c r="AK15" s="19">
        <v>0</v>
      </c>
      <c r="AL15" s="19">
        <v>0</v>
      </c>
      <c r="AM15" s="19">
        <v>0</v>
      </c>
      <c r="AN15" s="19">
        <v>1094.5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21" t="s">
        <v>129</v>
      </c>
      <c r="AZ15" s="36" t="str">
        <f>IFERROR(VLOOKUP('A1 (Aktivlər)'!AY15,List!Q:R,2,0),"")</f>
      </c>
      <c r="BA15" s="38">
        <f>AB15+AH15-AM15+AR15+AT15</f>
        <v>0</v>
      </c>
      <c r="BB15" s="38">
        <f>BC15+BE15</f>
        <v>0</v>
      </c>
      <c r="BC15" s="39" t="e">
        <f>AD15+AI15-AN15+AS15+AU15</f>
        <v>#VALUE!</v>
      </c>
      <c r="BD15" s="39">
        <f ref="BD15:BF15" t="shared" si="1">AE15+AJ15-AO15+AV15</f>
        <v>0</v>
      </c>
      <c r="BE15" s="39">
        <f t="shared" si="1"/>
        <v>0</v>
      </c>
      <c r="BF15" s="39">
        <f t="shared" si="1"/>
        <v>0</v>
      </c>
      <c r="BG15" s="19">
        <v>0</v>
      </c>
      <c r="BH15" s="19">
        <v>0</v>
      </c>
      <c r="BI15" s="19">
        <v>0</v>
      </c>
      <c r="BJ15" s="19" t="s">
        <v>342</v>
      </c>
      <c r="BK15" s="19">
        <v>0</v>
      </c>
      <c r="BL15" s="19">
        <v>0</v>
      </c>
      <c r="BM15" s="19">
        <v>0</v>
      </c>
      <c r="BN15" s="19">
        <v>0</v>
      </c>
      <c r="BO15" s="19">
        <v>0</v>
      </c>
      <c r="BP15" s="19">
        <v>0</v>
      </c>
      <c r="BQ15" s="19">
        <v>0</v>
      </c>
      <c r="BR15" s="19">
        <v>0</v>
      </c>
      <c r="BS15" s="19">
        <v>0</v>
      </c>
      <c r="BT15" s="19">
        <v>0</v>
      </c>
      <c r="BU15" s="19">
        <v>0</v>
      </c>
      <c r="BV15" s="19">
        <v>0</v>
      </c>
      <c r="BW15" s="19">
        <v>0</v>
      </c>
      <c r="BX15" s="19">
        <v>0</v>
      </c>
      <c r="BY15" s="19">
        <v>0</v>
      </c>
      <c r="BZ15" s="34"/>
      <c r="CA15" s="18"/>
      <c r="CB15" s="20"/>
      <c r="CC15" s="36" t="str">
        <f>IFERROR(VLOOKUP('A1 (Aktivlər)'!CB15,List!Z:AA,2,0),"")</f>
      </c>
      <c r="CD15" s="34"/>
    </row>
    <row r="16" ht="21.75" customHeight="1" s="112" customFormat="1">
      <c r="A16" s="111">
        <v>2</v>
      </c>
      <c r="B16" s="35" t="str">
        <f ref="B16:B43" t="shared" si="2">IF((C16&amp;"-"&amp;D16&amp;"-"&amp;F16&amp;"-"&amp;H16&amp;"-"&amp;P16&amp;"-"&amp;N16)="-----","",(C16&amp;"-"&amp;D16&amp;"-"&amp;F16&amp;"-"&amp;H16&amp;"-"&amp;P16&amp;"-"&amp;N16))</f>
      </c>
      <c r="C16" s="32" t="s">
        <v>343</v>
      </c>
      <c r="D16" s="33" t="s">
        <v>337</v>
      </c>
      <c r="E16" s="1" t="s">
        <v>118</v>
      </c>
      <c r="F16" s="36" t="str">
        <f>IFERROR(VLOOKUP('A1 (Aktivlər)'!E16,List!A:B,2,0),"")</f>
      </c>
      <c r="G16" s="1" t="s">
        <v>338</v>
      </c>
      <c r="H16" s="36" t="str">
        <f>IFERROR(VLOOKUP('A1 (Aktivlər)'!G16,List!G:H,2,0),"")</f>
      </c>
      <c r="I16" s="1" t="s">
        <v>120</v>
      </c>
      <c r="J16" s="36" t="str">
        <f>IFERROR(VLOOKUP('A1 (Aktivlər)'!I16,List!C:D,2,0),"")</f>
      </c>
      <c r="K16" s="1" t="s">
        <v>339</v>
      </c>
      <c r="L16" s="36" t="str">
        <f>IFERROR(VLOOKUP('A1 (Aktivlər)'!K16,List!E:F,2,0),"")</f>
      </c>
      <c r="M16" s="1" t="s">
        <v>340</v>
      </c>
      <c r="N16" s="36" t="str">
        <f>IFERROR(VLOOKUP('A1 (Aktivlər)'!M16,List!M:N,2,0),"")</f>
      </c>
      <c r="O16" s="1" t="s">
        <v>344</v>
      </c>
      <c r="P16" s="36" t="str">
        <f>IFERROR(VLOOKUP('A1 (Aktivlər)'!O16,List!S:T,2,0),"")</f>
      </c>
      <c r="Q16" s="1"/>
      <c r="R16" s="36" t="str">
        <f>IFERROR(VLOOKUP('A1 (Aktivlər)'!Q16,List!K:L,2,0),"")</f>
      </c>
      <c r="S16" s="16" t="s">
        <v>125</v>
      </c>
      <c r="T16" s="16" t="s">
        <v>125</v>
      </c>
      <c r="U16" s="17" t="s">
        <v>129</v>
      </c>
      <c r="V16" s="17" t="s">
        <v>129</v>
      </c>
      <c r="W16" s="20" t="s">
        <v>129</v>
      </c>
      <c r="X16" s="18" t="s">
        <v>129</v>
      </c>
      <c r="Y16" s="1"/>
      <c r="Z16" s="36" t="str">
        <f>IFERROR(VLOOKUP('A1 (Aktivlər)'!Y16,List!O:P,2,0),"")</f>
      </c>
      <c r="AA16" s="19"/>
      <c r="AB16" s="19"/>
      <c r="AC16" s="37">
        <f t="shared" si="0"/>
        <v>0</v>
      </c>
      <c r="AD16" s="19">
        <v>498.207</v>
      </c>
      <c r="AE16" s="19">
        <v>0</v>
      </c>
      <c r="AF16" s="19">
        <v>0</v>
      </c>
      <c r="AG16" s="19">
        <v>0</v>
      </c>
      <c r="AH16" s="19">
        <v>0</v>
      </c>
      <c r="AI16" s="19" t="s">
        <v>129</v>
      </c>
      <c r="AJ16" s="19">
        <v>0</v>
      </c>
      <c r="AK16" s="19">
        <v>0</v>
      </c>
      <c r="AL16" s="19">
        <v>0</v>
      </c>
      <c r="AM16" s="19">
        <v>0</v>
      </c>
      <c r="AN16" s="19">
        <v>1456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21" t="s">
        <v>129</v>
      </c>
      <c r="AZ16" s="36" t="str">
        <f>IFERROR(VLOOKUP('A1 (Aktivlər)'!AY16,List!Q:R,2,0),"")</f>
      </c>
      <c r="BA16" s="38">
        <f ref="BA16:BA25" t="shared" si="3">AB16+AH16-AM16+AR16+AT16</f>
        <v>0</v>
      </c>
      <c r="BB16" s="38">
        <f ref="BB16:BB43" t="shared" si="4">BC16+BE16</f>
        <v>0</v>
      </c>
      <c r="BC16" s="39" t="e">
        <f ref="BC16:BC43" t="shared" si="5">AD16+AI16-AN16+AS16+AU16</f>
        <v>#VALUE!</v>
      </c>
      <c r="BD16" s="39">
        <f ref="BD16:BD43" t="shared" si="6">AE16+AJ16-AO16+AV16</f>
        <v>0</v>
      </c>
      <c r="BE16" s="39">
        <f ref="BE16:BE43" t="shared" si="7">AF16+AK16-AP16+AW16</f>
        <v>0</v>
      </c>
      <c r="BF16" s="39">
        <f ref="BF16:BF43" t="shared" si="8">AG16+AL16-AQ16+AX16</f>
        <v>0</v>
      </c>
      <c r="BG16" s="19">
        <v>0</v>
      </c>
      <c r="BH16" s="19">
        <v>0</v>
      </c>
      <c r="BI16" s="19">
        <v>0</v>
      </c>
      <c r="BJ16" s="19" t="s">
        <v>342</v>
      </c>
      <c r="BK16" s="19">
        <v>0</v>
      </c>
      <c r="BL16" s="19">
        <v>0</v>
      </c>
      <c r="BM16" s="19">
        <v>0</v>
      </c>
      <c r="BN16" s="19">
        <v>0</v>
      </c>
      <c r="BO16" s="19">
        <v>0</v>
      </c>
      <c r="BP16" s="19">
        <v>0</v>
      </c>
      <c r="BQ16" s="19">
        <v>0</v>
      </c>
      <c r="BR16" s="19">
        <v>0</v>
      </c>
      <c r="BS16" s="19">
        <v>0</v>
      </c>
      <c r="BT16" s="19">
        <v>0</v>
      </c>
      <c r="BU16" s="19">
        <v>0</v>
      </c>
      <c r="BV16" s="19">
        <v>0</v>
      </c>
      <c r="BW16" s="19">
        <v>0</v>
      </c>
      <c r="BX16" s="19">
        <v>0</v>
      </c>
      <c r="BY16" s="19">
        <v>0</v>
      </c>
      <c r="BZ16" s="34"/>
      <c r="CA16" s="18"/>
      <c r="CB16" s="20"/>
      <c r="CC16" s="36" t="str">
        <f>IFERROR(VLOOKUP('A1 (Aktivlər)'!CB16,List!Z:AA,2,0),"")</f>
      </c>
      <c r="CD16" s="34"/>
    </row>
    <row r="17" ht="21.75" customHeight="1" s="112" customFormat="1">
      <c r="A17" s="111">
        <v>3</v>
      </c>
      <c r="B17" s="35" t="str">
        <f t="shared" si="2"/>
      </c>
      <c r="C17" s="32" t="s">
        <v>345</v>
      </c>
      <c r="D17" s="33" t="s">
        <v>345</v>
      </c>
      <c r="E17" s="1" t="s">
        <v>118</v>
      </c>
      <c r="F17" s="36" t="str">
        <f>IFERROR(VLOOKUP('A1 (Aktivlər)'!E17,List!A:B,2,0),"")</f>
      </c>
      <c r="G17" s="1" t="s">
        <v>346</v>
      </c>
      <c r="H17" s="36" t="str">
        <f>IFERROR(VLOOKUP('A1 (Aktivlər)'!G17,List!G:H,2,0),"")</f>
      </c>
      <c r="I17" s="1" t="s">
        <v>120</v>
      </c>
      <c r="J17" s="36" t="str">
        <f>IFERROR(VLOOKUP('A1 (Aktivlər)'!I17,List!C:D,2,0),"")</f>
      </c>
      <c r="K17" s="1" t="s">
        <v>121</v>
      </c>
      <c r="L17" s="36" t="str">
        <f>IFERROR(VLOOKUP('A1 (Aktivlər)'!K17,List!E:F,2,0),"")</f>
      </c>
      <c r="M17" s="1" t="s">
        <v>340</v>
      </c>
      <c r="N17" s="36" t="str">
        <f>IFERROR(VLOOKUP('A1 (Aktivlər)'!M17,List!M:N,2,0),"")</f>
      </c>
      <c r="O17" s="1" t="s">
        <v>347</v>
      </c>
      <c r="P17" s="36" t="str">
        <f>IFERROR(VLOOKUP('A1 (Aktivlər)'!O17,List!S:T,2,0),"")</f>
      </c>
      <c r="Q17" s="1"/>
      <c r="R17" s="36" t="str">
        <f>IFERROR(VLOOKUP('A1 (Aktivlər)'!Q17,List!K:L,2,0),"")</f>
      </c>
      <c r="S17" s="16" t="s">
        <v>125</v>
      </c>
      <c r="T17" s="16" t="s">
        <v>125</v>
      </c>
      <c r="U17" s="17" t="s">
        <v>129</v>
      </c>
      <c r="V17" s="17" t="s">
        <v>129</v>
      </c>
      <c r="W17" s="20" t="s">
        <v>129</v>
      </c>
      <c r="X17" s="18" t="s">
        <v>125</v>
      </c>
      <c r="Y17" s="1"/>
      <c r="Z17" s="36" t="str">
        <f>IFERROR(VLOOKUP('A1 (Aktivlər)'!Y17,List!O:P,2,0),"")</f>
      </c>
      <c r="AA17" s="19">
        <v>0</v>
      </c>
      <c r="AB17" s="19">
        <v>0</v>
      </c>
      <c r="AC17" s="37">
        <f t="shared" si="0"/>
        <v>0</v>
      </c>
      <c r="AD17" s="19">
        <v>0.07828</v>
      </c>
      <c r="AE17" s="19">
        <v>0</v>
      </c>
      <c r="AF17" s="19">
        <v>0</v>
      </c>
      <c r="AG17" s="19">
        <v>0</v>
      </c>
      <c r="AH17" s="19">
        <v>0</v>
      </c>
      <c r="AI17" s="19" t="s">
        <v>129</v>
      </c>
      <c r="AJ17" s="19">
        <v>0</v>
      </c>
      <c r="AK17" s="19">
        <v>0</v>
      </c>
      <c r="AL17" s="19">
        <v>0</v>
      </c>
      <c r="AM17" s="19">
        <v>0</v>
      </c>
      <c r="AN17" s="19">
        <v>0</v>
      </c>
      <c r="AO17" s="19">
        <v>0</v>
      </c>
      <c r="AP17" s="19">
        <v>0</v>
      </c>
      <c r="AQ17" s="19">
        <v>0</v>
      </c>
      <c r="AR17" s="19">
        <v>0</v>
      </c>
      <c r="AS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21" t="s">
        <v>129</v>
      </c>
      <c r="AZ17" s="36" t="str">
        <f>IFERROR(VLOOKUP('A1 (Aktivlər)'!AY17,List!Q:R,2,0),"")</f>
      </c>
      <c r="BA17" s="38">
        <f t="shared" si="3"/>
        <v>0</v>
      </c>
      <c r="BB17" s="38">
        <f t="shared" si="4"/>
        <v>0</v>
      </c>
      <c r="BC17" s="39" t="e">
        <f t="shared" si="5"/>
        <v>#VALUE!</v>
      </c>
      <c r="BD17" s="39">
        <f t="shared" si="6"/>
        <v>0</v>
      </c>
      <c r="BE17" s="39">
        <f t="shared" si="7"/>
        <v>0</v>
      </c>
      <c r="BF17" s="39">
        <f t="shared" si="8"/>
        <v>0</v>
      </c>
      <c r="BG17" s="19">
        <v>0</v>
      </c>
      <c r="BH17" s="19">
        <v>0</v>
      </c>
      <c r="BI17" s="19">
        <v>0</v>
      </c>
      <c r="BJ17" s="19" t="s">
        <v>342</v>
      </c>
      <c r="BK17" s="19">
        <v>0</v>
      </c>
      <c r="BL17" s="19">
        <v>0</v>
      </c>
      <c r="BM17" s="19">
        <v>0</v>
      </c>
      <c r="BN17" s="19">
        <v>0</v>
      </c>
      <c r="BO17" s="19">
        <v>0</v>
      </c>
      <c r="BP17" s="19">
        <v>0</v>
      </c>
      <c r="BQ17" s="19">
        <v>0</v>
      </c>
      <c r="BR17" s="19">
        <v>0</v>
      </c>
      <c r="BS17" s="19">
        <v>0</v>
      </c>
      <c r="BT17" s="19">
        <v>0</v>
      </c>
      <c r="BU17" s="19">
        <v>0</v>
      </c>
      <c r="BV17" s="19">
        <v>0</v>
      </c>
      <c r="BW17" s="19">
        <v>0</v>
      </c>
      <c r="BX17" s="19">
        <v>0</v>
      </c>
      <c r="BY17" s="19">
        <v>0</v>
      </c>
      <c r="BZ17" s="34"/>
      <c r="CA17" s="18"/>
      <c r="CB17" s="20"/>
      <c r="CC17" s="36" t="str">
        <f>IFERROR(VLOOKUP('A1 (Aktivlər)'!CB17,List!Z:AA,2,0),"")</f>
      </c>
      <c r="CD17" s="34"/>
    </row>
    <row r="18" ht="21.75" customHeight="1" s="112" customFormat="1">
      <c r="A18" s="111">
        <v>4</v>
      </c>
      <c r="B18" s="35" t="str">
        <f t="shared" si="2"/>
      </c>
      <c r="C18" s="32" t="s">
        <v>348</v>
      </c>
      <c r="D18" s="33" t="s">
        <v>348</v>
      </c>
      <c r="E18" s="1" t="s">
        <v>118</v>
      </c>
      <c r="F18" s="36" t="str">
        <f>IFERROR(VLOOKUP('A1 (Aktivlər)'!E18,List!A:B,2,0),"")</f>
      </c>
      <c r="G18" s="1" t="s">
        <v>346</v>
      </c>
      <c r="H18" s="36" t="str">
        <f>IFERROR(VLOOKUP('A1 (Aktivlər)'!G18,List!G:H,2,0),"")</f>
      </c>
      <c r="I18" s="1" t="s">
        <v>120</v>
      </c>
      <c r="J18" s="36" t="str">
        <f>IFERROR(VLOOKUP('A1 (Aktivlər)'!I18,List!C:D,2,0),"")</f>
      </c>
      <c r="K18" s="1" t="s">
        <v>121</v>
      </c>
      <c r="L18" s="36" t="str">
        <f>IFERROR(VLOOKUP('A1 (Aktivlər)'!K18,List!E:F,2,0),"")</f>
      </c>
      <c r="M18" s="1" t="s">
        <v>340</v>
      </c>
      <c r="N18" s="36" t="str">
        <f>IFERROR(VLOOKUP('A1 (Aktivlər)'!M18,List!M:N,2,0),"")</f>
      </c>
      <c r="O18" s="1" t="s">
        <v>344</v>
      </c>
      <c r="P18" s="36" t="str">
        <f>IFERROR(VLOOKUP('A1 (Aktivlər)'!O18,List!S:T,2,0),"")</f>
      </c>
      <c r="Q18" s="1"/>
      <c r="R18" s="36" t="str">
        <f>IFERROR(VLOOKUP('A1 (Aktivlər)'!Q18,List!K:L,2,0),"")</f>
      </c>
      <c r="S18" s="16" t="s">
        <v>125</v>
      </c>
      <c r="T18" s="16" t="s">
        <v>125</v>
      </c>
      <c r="U18" s="17" t="s">
        <v>129</v>
      </c>
      <c r="V18" s="17" t="s">
        <v>129</v>
      </c>
      <c r="W18" s="20" t="s">
        <v>129</v>
      </c>
      <c r="X18" s="18" t="s">
        <v>125</v>
      </c>
      <c r="Y18" s="1"/>
      <c r="Z18" s="36" t="str">
        <f>IFERROR(VLOOKUP('A1 (Aktivlər)'!Y18,List!O:P,2,0),"")</f>
      </c>
      <c r="AA18" s="19">
        <v>0</v>
      </c>
      <c r="AB18" s="19">
        <v>0</v>
      </c>
      <c r="AC18" s="37">
        <f t="shared" si="0"/>
        <v>0</v>
      </c>
      <c r="AD18" s="19">
        <v>0.01255</v>
      </c>
      <c r="AE18" s="19">
        <v>0</v>
      </c>
      <c r="AF18" s="19">
        <v>0</v>
      </c>
      <c r="AG18" s="19">
        <v>0</v>
      </c>
      <c r="AH18" s="19">
        <v>0</v>
      </c>
      <c r="AI18" s="19" t="s">
        <v>129</v>
      </c>
      <c r="AJ18" s="19">
        <v>0</v>
      </c>
      <c r="AK18" s="19">
        <v>0</v>
      </c>
      <c r="AL18" s="19">
        <v>0</v>
      </c>
      <c r="AM18" s="19">
        <v>0</v>
      </c>
      <c r="AN18" s="19">
        <v>0</v>
      </c>
      <c r="AO18" s="19">
        <v>0</v>
      </c>
      <c r="AP18" s="19">
        <v>0</v>
      </c>
      <c r="AQ18" s="19">
        <v>0</v>
      </c>
      <c r="AR18" s="19">
        <v>0</v>
      </c>
      <c r="AS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21" t="s">
        <v>129</v>
      </c>
      <c r="AZ18" s="36" t="str">
        <f>IFERROR(VLOOKUP('A1 (Aktivlər)'!AY18,List!Q:R,2,0),"")</f>
      </c>
      <c r="BA18" s="38">
        <f t="shared" si="3"/>
        <v>0</v>
      </c>
      <c r="BB18" s="38">
        <f t="shared" si="4"/>
        <v>0</v>
      </c>
      <c r="BC18" s="39" t="e">
        <f t="shared" si="5"/>
        <v>#VALUE!</v>
      </c>
      <c r="BD18" s="39">
        <f t="shared" si="6"/>
        <v>0</v>
      </c>
      <c r="BE18" s="39">
        <f t="shared" si="7"/>
        <v>0</v>
      </c>
      <c r="BF18" s="39">
        <f t="shared" si="8"/>
        <v>0</v>
      </c>
      <c r="BG18" s="19">
        <v>0</v>
      </c>
      <c r="BH18" s="19">
        <v>0</v>
      </c>
      <c r="BI18" s="19">
        <v>0</v>
      </c>
      <c r="BJ18" s="19" t="s">
        <v>342</v>
      </c>
      <c r="BK18" s="19">
        <v>0</v>
      </c>
      <c r="BL18" s="19">
        <v>0</v>
      </c>
      <c r="BM18" s="19">
        <v>0</v>
      </c>
      <c r="BN18" s="19">
        <v>0</v>
      </c>
      <c r="BO18" s="19">
        <v>0</v>
      </c>
      <c r="BP18" s="19">
        <v>0</v>
      </c>
      <c r="BQ18" s="19">
        <v>0</v>
      </c>
      <c r="BR18" s="19">
        <v>0</v>
      </c>
      <c r="BS18" s="19">
        <v>0</v>
      </c>
      <c r="BT18" s="19">
        <v>0</v>
      </c>
      <c r="BU18" s="19">
        <v>0</v>
      </c>
      <c r="BV18" s="19">
        <v>0</v>
      </c>
      <c r="BW18" s="19">
        <v>0</v>
      </c>
      <c r="BX18" s="19">
        <v>0</v>
      </c>
      <c r="BY18" s="19">
        <v>0</v>
      </c>
      <c r="BZ18" s="34"/>
      <c r="CA18" s="18"/>
      <c r="CB18" s="20"/>
      <c r="CC18" s="36" t="str">
        <f>IFERROR(VLOOKUP('A1 (Aktivlər)'!CB18,List!Z:AA,2,0),"")</f>
      </c>
      <c r="CD18" s="34"/>
    </row>
    <row r="19" ht="21.75" customHeight="1" s="112" customFormat="1">
      <c r="A19" s="111">
        <v>5</v>
      </c>
      <c r="B19" s="35" t="str">
        <f t="shared" si="2"/>
      </c>
      <c r="C19" s="32" t="s">
        <v>349</v>
      </c>
      <c r="D19" s="33" t="s">
        <v>349</v>
      </c>
      <c r="E19" s="1" t="s">
        <v>118</v>
      </c>
      <c r="F19" s="36" t="str">
        <f>IFERROR(VLOOKUP('A1 (Aktivlər)'!E19,List!A:B,2,0),"")</f>
      </c>
      <c r="G19" s="1" t="s">
        <v>346</v>
      </c>
      <c r="H19" s="36" t="str">
        <f>IFERROR(VLOOKUP('A1 (Aktivlər)'!G19,List!G:H,2,0),"")</f>
      </c>
      <c r="I19" s="1" t="s">
        <v>120</v>
      </c>
      <c r="J19" s="36" t="str">
        <f>IFERROR(VLOOKUP('A1 (Aktivlər)'!I19,List!C:D,2,0),"")</f>
      </c>
      <c r="K19" s="1" t="s">
        <v>121</v>
      </c>
      <c r="L19" s="36" t="str">
        <f>IFERROR(VLOOKUP('A1 (Aktivlər)'!K19,List!E:F,2,0),"")</f>
      </c>
      <c r="M19" s="1" t="s">
        <v>350</v>
      </c>
      <c r="N19" s="36" t="str">
        <f>IFERROR(VLOOKUP('A1 (Aktivlər)'!M19,List!M:N,2,0),"")</f>
      </c>
      <c r="O19" s="1" t="s">
        <v>344</v>
      </c>
      <c r="P19" s="36" t="str">
        <f>IFERROR(VLOOKUP('A1 (Aktivlər)'!O19,List!S:T,2,0),"")</f>
      </c>
      <c r="Q19" s="1"/>
      <c r="R19" s="36" t="str">
        <f>IFERROR(VLOOKUP('A1 (Aktivlər)'!Q19,List!K:L,2,0),"")</f>
      </c>
      <c r="S19" s="16" t="s">
        <v>125</v>
      </c>
      <c r="T19" s="16" t="s">
        <v>125</v>
      </c>
      <c r="U19" s="17" t="s">
        <v>129</v>
      </c>
      <c r="V19" s="17" t="s">
        <v>129</v>
      </c>
      <c r="W19" s="20" t="s">
        <v>129</v>
      </c>
      <c r="X19" s="18" t="s">
        <v>125</v>
      </c>
      <c r="Y19" s="1"/>
      <c r="Z19" s="36" t="str">
        <f>IFERROR(VLOOKUP('A1 (Aktivlər)'!Y19,List!O:P,2,0),"")</f>
      </c>
      <c r="AA19" s="19">
        <v>0</v>
      </c>
      <c r="AB19" s="19">
        <v>0</v>
      </c>
      <c r="AC19" s="37">
        <f t="shared" si="0"/>
        <v>0</v>
      </c>
      <c r="AD19" s="19">
        <v>0.20741</v>
      </c>
      <c r="AE19" s="19">
        <v>0</v>
      </c>
      <c r="AF19" s="19">
        <v>0</v>
      </c>
      <c r="AG19" s="19">
        <v>0</v>
      </c>
      <c r="AH19" s="19">
        <v>0</v>
      </c>
      <c r="AI19" s="19" t="s">
        <v>129</v>
      </c>
      <c r="AJ19" s="19">
        <v>0</v>
      </c>
      <c r="AK19" s="19">
        <v>0</v>
      </c>
      <c r="AL19" s="19">
        <v>0</v>
      </c>
      <c r="AM19" s="19">
        <v>0</v>
      </c>
      <c r="AN19" s="19">
        <v>0</v>
      </c>
      <c r="AO19" s="19">
        <v>0</v>
      </c>
      <c r="AP19" s="19">
        <v>0</v>
      </c>
      <c r="AQ19" s="19">
        <v>0</v>
      </c>
      <c r="AR19" s="19">
        <v>0</v>
      </c>
      <c r="AS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21" t="s">
        <v>129</v>
      </c>
      <c r="AZ19" s="36" t="str">
        <f>IFERROR(VLOOKUP('A1 (Aktivlər)'!AY19,List!Q:R,2,0),"")</f>
      </c>
      <c r="BA19" s="38">
        <f t="shared" si="3"/>
        <v>0</v>
      </c>
      <c r="BB19" s="38">
        <f t="shared" si="4"/>
        <v>0</v>
      </c>
      <c r="BC19" s="39" t="e">
        <f t="shared" si="5"/>
        <v>#VALUE!</v>
      </c>
      <c r="BD19" s="39">
        <f t="shared" si="6"/>
        <v>0</v>
      </c>
      <c r="BE19" s="39">
        <f t="shared" si="7"/>
        <v>0</v>
      </c>
      <c r="BF19" s="39">
        <f t="shared" si="8"/>
        <v>0</v>
      </c>
      <c r="BG19" s="19">
        <v>0</v>
      </c>
      <c r="BH19" s="19">
        <v>0</v>
      </c>
      <c r="BI19" s="19">
        <v>0</v>
      </c>
      <c r="BJ19" s="19" t="s">
        <v>342</v>
      </c>
      <c r="BK19" s="19">
        <v>0</v>
      </c>
      <c r="BL19" s="19">
        <v>0</v>
      </c>
      <c r="BM19" s="19">
        <v>0</v>
      </c>
      <c r="BN19" s="19">
        <v>0</v>
      </c>
      <c r="BO19" s="19">
        <v>0</v>
      </c>
      <c r="BP19" s="19">
        <v>0</v>
      </c>
      <c r="BQ19" s="19">
        <v>0</v>
      </c>
      <c r="BR19" s="19">
        <v>0</v>
      </c>
      <c r="BS19" s="19">
        <v>0</v>
      </c>
      <c r="BT19" s="19">
        <v>0</v>
      </c>
      <c r="BU19" s="19">
        <v>0</v>
      </c>
      <c r="BV19" s="19">
        <v>0</v>
      </c>
      <c r="BW19" s="19">
        <v>0</v>
      </c>
      <c r="BX19" s="19">
        <v>0</v>
      </c>
      <c r="BY19" s="19">
        <v>0</v>
      </c>
      <c r="BZ19" s="34"/>
      <c r="CA19" s="18"/>
      <c r="CB19" s="20"/>
      <c r="CC19" s="36" t="str">
        <f>IFERROR(VLOOKUP('A1 (Aktivlər)'!CB19,List!Z:AA,2,0),"")</f>
      </c>
      <c r="CD19" s="34"/>
    </row>
    <row r="20" ht="21.75" customHeight="1" s="112" customFormat="1">
      <c r="A20" s="111">
        <v>6</v>
      </c>
      <c r="B20" s="35" t="str">
        <f t="shared" si="2"/>
      </c>
      <c r="C20" s="32" t="s">
        <v>351</v>
      </c>
      <c r="D20" s="33" t="s">
        <v>351</v>
      </c>
      <c r="E20" s="1" t="s">
        <v>118</v>
      </c>
      <c r="F20" s="36" t="str">
        <f>IFERROR(VLOOKUP('A1 (Aktivlər)'!E20,List!A:B,2,0),"")</f>
      </c>
      <c r="G20" s="1" t="s">
        <v>346</v>
      </c>
      <c r="H20" s="36" t="str">
        <f>IFERROR(VLOOKUP('A1 (Aktivlər)'!G20,List!G:H,2,0),"")</f>
      </c>
      <c r="I20" s="1" t="s">
        <v>120</v>
      </c>
      <c r="J20" s="36" t="str">
        <f>IFERROR(VLOOKUP('A1 (Aktivlər)'!I20,List!C:D,2,0),"")</f>
      </c>
      <c r="K20" s="1" t="s">
        <v>121</v>
      </c>
      <c r="L20" s="36" t="str">
        <f>IFERROR(VLOOKUP('A1 (Aktivlər)'!K20,List!E:F,2,0),"")</f>
      </c>
      <c r="M20" s="1" t="s">
        <v>352</v>
      </c>
      <c r="N20" s="36" t="str">
        <f>IFERROR(VLOOKUP('A1 (Aktivlər)'!M20,List!M:N,2,0),"")</f>
      </c>
      <c r="O20" s="1" t="s">
        <v>344</v>
      </c>
      <c r="P20" s="36" t="str">
        <f>IFERROR(VLOOKUP('A1 (Aktivlər)'!O20,List!S:T,2,0),"")</f>
      </c>
      <c r="Q20" s="1"/>
      <c r="R20" s="36" t="str">
        <f>IFERROR(VLOOKUP('A1 (Aktivlər)'!Q20,List!K:L,2,0),"")</f>
      </c>
      <c r="S20" s="16" t="s">
        <v>125</v>
      </c>
      <c r="T20" s="16" t="s">
        <v>125</v>
      </c>
      <c r="U20" s="17" t="s">
        <v>129</v>
      </c>
      <c r="V20" s="17" t="s">
        <v>129</v>
      </c>
      <c r="W20" s="20" t="s">
        <v>129</v>
      </c>
      <c r="X20" s="18" t="s">
        <v>125</v>
      </c>
      <c r="Y20" s="1"/>
      <c r="Z20" s="36" t="str">
        <f>IFERROR(VLOOKUP('A1 (Aktivlər)'!Y20,List!O:P,2,0),"")</f>
      </c>
      <c r="AA20" s="19">
        <v>0</v>
      </c>
      <c r="AB20" s="19">
        <v>0</v>
      </c>
      <c r="AC20" s="37">
        <f t="shared" si="0"/>
        <v>0</v>
      </c>
      <c r="AD20" s="19">
        <v>0.03475</v>
      </c>
      <c r="AE20" s="19">
        <v>0</v>
      </c>
      <c r="AF20" s="19">
        <v>0</v>
      </c>
      <c r="AG20" s="19">
        <v>0</v>
      </c>
      <c r="AH20" s="19">
        <v>0</v>
      </c>
      <c r="AI20" s="19" t="s">
        <v>129</v>
      </c>
      <c r="AJ20" s="19">
        <v>0</v>
      </c>
      <c r="AK20" s="19">
        <v>0</v>
      </c>
      <c r="AL20" s="19">
        <v>0</v>
      </c>
      <c r="AM20" s="19">
        <v>0</v>
      </c>
      <c r="AN20" s="19">
        <v>0</v>
      </c>
      <c r="AO20" s="19">
        <v>0</v>
      </c>
      <c r="AP20" s="19">
        <v>0</v>
      </c>
      <c r="AQ20" s="19">
        <v>0</v>
      </c>
      <c r="AR20" s="19">
        <v>0</v>
      </c>
      <c r="AS20" s="19">
        <v>0</v>
      </c>
      <c r="AT20" s="19">
        <v>0</v>
      </c>
      <c r="AU20" s="19">
        <v>0</v>
      </c>
      <c r="AV20" s="19">
        <v>0</v>
      </c>
      <c r="AW20" s="19">
        <v>0</v>
      </c>
      <c r="AX20" s="19">
        <v>0</v>
      </c>
      <c r="AY20" s="21" t="s">
        <v>129</v>
      </c>
      <c r="AZ20" s="36" t="str">
        <f>IFERROR(VLOOKUP('A1 (Aktivlər)'!AY20,List!Q:R,2,0),"")</f>
      </c>
      <c r="BA20" s="38">
        <f t="shared" si="3"/>
        <v>0</v>
      </c>
      <c r="BB20" s="38">
        <f t="shared" si="4"/>
        <v>0</v>
      </c>
      <c r="BC20" s="39" t="e">
        <f t="shared" si="5"/>
        <v>#VALUE!</v>
      </c>
      <c r="BD20" s="39">
        <f t="shared" si="6"/>
        <v>0</v>
      </c>
      <c r="BE20" s="39">
        <f t="shared" si="7"/>
        <v>0</v>
      </c>
      <c r="BF20" s="39">
        <f t="shared" si="8"/>
        <v>0</v>
      </c>
      <c r="BG20" s="19">
        <v>0</v>
      </c>
      <c r="BH20" s="19">
        <v>0</v>
      </c>
      <c r="BI20" s="19">
        <v>0</v>
      </c>
      <c r="BJ20" s="19" t="s">
        <v>342</v>
      </c>
      <c r="BK20" s="19">
        <v>0</v>
      </c>
      <c r="BL20" s="19">
        <v>0</v>
      </c>
      <c r="BM20" s="19">
        <v>0</v>
      </c>
      <c r="BN20" s="19">
        <v>0</v>
      </c>
      <c r="BO20" s="19">
        <v>0</v>
      </c>
      <c r="BP20" s="19">
        <v>0</v>
      </c>
      <c r="BQ20" s="19">
        <v>0</v>
      </c>
      <c r="BR20" s="19">
        <v>0</v>
      </c>
      <c r="BS20" s="19">
        <v>0</v>
      </c>
      <c r="BT20" s="19">
        <v>0</v>
      </c>
      <c r="BU20" s="19">
        <v>0</v>
      </c>
      <c r="BV20" s="19">
        <v>0</v>
      </c>
      <c r="BW20" s="19">
        <v>0</v>
      </c>
      <c r="BX20" s="19">
        <v>0</v>
      </c>
      <c r="BY20" s="19">
        <v>0</v>
      </c>
      <c r="BZ20" s="34"/>
      <c r="CA20" s="18"/>
      <c r="CB20" s="20"/>
      <c r="CC20" s="36" t="str">
        <f>IFERROR(VLOOKUP('A1 (Aktivlər)'!CB20,List!Z:AA,2,0),"")</f>
      </c>
      <c r="CD20" s="34"/>
    </row>
    <row r="21" ht="21.75" customHeight="1" s="112" customFormat="1">
      <c r="A21" s="111">
        <v>7</v>
      </c>
      <c r="B21" s="35" t="str">
        <f t="shared" si="2"/>
      </c>
      <c r="C21" s="32" t="s">
        <v>353</v>
      </c>
      <c r="D21" s="33" t="s">
        <v>353</v>
      </c>
      <c r="E21" s="1" t="s">
        <v>118</v>
      </c>
      <c r="F21" s="36" t="str">
        <f>IFERROR(VLOOKUP('A1 (Aktivlər)'!E21,List!A:B,2,0),"")</f>
      </c>
      <c r="G21" s="1" t="s">
        <v>346</v>
      </c>
      <c r="H21" s="36" t="str">
        <f>IFERROR(VLOOKUP('A1 (Aktivlər)'!G21,List!G:H,2,0),"")</f>
      </c>
      <c r="I21" s="1" t="s">
        <v>120</v>
      </c>
      <c r="J21" s="36" t="str">
        <f>IFERROR(VLOOKUP('A1 (Aktivlər)'!I21,List!C:D,2,0),"")</f>
      </c>
      <c r="K21" s="1" t="s">
        <v>121</v>
      </c>
      <c r="L21" s="36" t="str">
        <f>IFERROR(VLOOKUP('A1 (Aktivlər)'!K21,List!E:F,2,0),"")</f>
      </c>
      <c r="M21" s="1" t="s">
        <v>340</v>
      </c>
      <c r="N21" s="36" t="str">
        <f>IFERROR(VLOOKUP('A1 (Aktivlər)'!M21,List!M:N,2,0),"")</f>
      </c>
      <c r="O21" s="1" t="s">
        <v>344</v>
      </c>
      <c r="P21" s="36" t="str">
        <f>IFERROR(VLOOKUP('A1 (Aktivlər)'!O21,List!S:T,2,0),"")</f>
      </c>
      <c r="Q21" s="1"/>
      <c r="R21" s="36" t="str">
        <f>IFERROR(VLOOKUP('A1 (Aktivlər)'!Q21,List!K:L,2,0),"")</f>
      </c>
      <c r="S21" s="16" t="s">
        <v>125</v>
      </c>
      <c r="T21" s="16" t="s">
        <v>125</v>
      </c>
      <c r="U21" s="17" t="s">
        <v>129</v>
      </c>
      <c r="V21" s="17" t="s">
        <v>129</v>
      </c>
      <c r="W21" s="20" t="s">
        <v>129</v>
      </c>
      <c r="X21" s="18" t="s">
        <v>125</v>
      </c>
      <c r="Y21" s="1"/>
      <c r="Z21" s="36" t="str">
        <f>IFERROR(VLOOKUP('A1 (Aktivlər)'!Y21,List!O:P,2,0),"")</f>
      </c>
      <c r="AA21" s="19">
        <v>0</v>
      </c>
      <c r="AB21" s="19">
        <v>0</v>
      </c>
      <c r="AC21" s="37">
        <f t="shared" si="0"/>
        <v>0</v>
      </c>
      <c r="AD21" s="19">
        <v>17.52005</v>
      </c>
      <c r="AE21" s="19">
        <v>0</v>
      </c>
      <c r="AF21" s="19">
        <v>0</v>
      </c>
      <c r="AG21" s="19">
        <v>0</v>
      </c>
      <c r="AH21" s="19">
        <v>0</v>
      </c>
      <c r="AI21" s="19" t="s">
        <v>129</v>
      </c>
      <c r="AJ21" s="19">
        <v>0</v>
      </c>
      <c r="AK21" s="19">
        <v>0</v>
      </c>
      <c r="AL21" s="19">
        <v>0</v>
      </c>
      <c r="AM21" s="19">
        <v>0</v>
      </c>
      <c r="AN21" s="19">
        <v>0</v>
      </c>
      <c r="AO21" s="19">
        <v>0</v>
      </c>
      <c r="AP21" s="19">
        <v>0</v>
      </c>
      <c r="AQ21" s="19">
        <v>0</v>
      </c>
      <c r="AR21" s="19">
        <v>0</v>
      </c>
      <c r="AS21" s="19">
        <v>0</v>
      </c>
      <c r="AT21" s="19">
        <v>0</v>
      </c>
      <c r="AU21" s="19">
        <v>0</v>
      </c>
      <c r="AV21" s="19">
        <v>0</v>
      </c>
      <c r="AW21" s="19">
        <v>0</v>
      </c>
      <c r="AX21" s="19">
        <v>0</v>
      </c>
      <c r="AY21" s="21" t="s">
        <v>129</v>
      </c>
      <c r="AZ21" s="36" t="str">
        <f>IFERROR(VLOOKUP('A1 (Aktivlər)'!AY21,List!Q:R,2,0),"")</f>
      </c>
      <c r="BA21" s="38">
        <f t="shared" si="3"/>
        <v>0</v>
      </c>
      <c r="BB21" s="38">
        <f t="shared" si="4"/>
        <v>0</v>
      </c>
      <c r="BC21" s="39" t="e">
        <f t="shared" si="5"/>
        <v>#VALUE!</v>
      </c>
      <c r="BD21" s="39">
        <f t="shared" si="6"/>
        <v>0</v>
      </c>
      <c r="BE21" s="39">
        <f t="shared" si="7"/>
        <v>0</v>
      </c>
      <c r="BF21" s="39">
        <f t="shared" si="8"/>
        <v>0</v>
      </c>
      <c r="BG21" s="19">
        <v>0</v>
      </c>
      <c r="BH21" s="19">
        <v>0</v>
      </c>
      <c r="BI21" s="19">
        <v>0</v>
      </c>
      <c r="BJ21" s="19" t="s">
        <v>342</v>
      </c>
      <c r="BK21" s="19">
        <v>0</v>
      </c>
      <c r="BL21" s="19">
        <v>0</v>
      </c>
      <c r="BM21" s="19">
        <v>0</v>
      </c>
      <c r="BN21" s="19">
        <v>0</v>
      </c>
      <c r="BO21" s="19">
        <v>0</v>
      </c>
      <c r="BP21" s="19">
        <v>0</v>
      </c>
      <c r="BQ21" s="19">
        <v>0</v>
      </c>
      <c r="BR21" s="19">
        <v>0</v>
      </c>
      <c r="BS21" s="19">
        <v>0</v>
      </c>
      <c r="BT21" s="19">
        <v>0</v>
      </c>
      <c r="BU21" s="19">
        <v>0</v>
      </c>
      <c r="BV21" s="19">
        <v>0</v>
      </c>
      <c r="BW21" s="19">
        <v>0</v>
      </c>
      <c r="BX21" s="19">
        <v>0</v>
      </c>
      <c r="BY21" s="19">
        <v>0</v>
      </c>
      <c r="BZ21" s="34"/>
      <c r="CA21" s="18"/>
      <c r="CB21" s="20"/>
      <c r="CC21" s="36" t="str">
        <f>IFERROR(VLOOKUP('A1 (Aktivlər)'!CB21,List!Z:AA,2,0),"")</f>
      </c>
      <c r="CD21" s="34"/>
    </row>
    <row r="22" ht="21.75" customHeight="1" s="112" customFormat="1">
      <c r="A22" s="111">
        <v>8</v>
      </c>
      <c r="B22" s="35" t="str">
        <f t="shared" si="2"/>
      </c>
      <c r="C22" s="32" t="s">
        <v>353</v>
      </c>
      <c r="D22" s="33" t="s">
        <v>353</v>
      </c>
      <c r="E22" s="1" t="s">
        <v>118</v>
      </c>
      <c r="F22" s="36" t="str">
        <f>IFERROR(VLOOKUP('A1 (Aktivlər)'!E22,List!A:B,2,0),"")</f>
      </c>
      <c r="G22" s="1" t="s">
        <v>346</v>
      </c>
      <c r="H22" s="36" t="str">
        <f>IFERROR(VLOOKUP('A1 (Aktivlər)'!G22,List!G:H,2,0),"")</f>
      </c>
      <c r="I22" s="1" t="s">
        <v>120</v>
      </c>
      <c r="J22" s="36" t="str">
        <f>IFERROR(VLOOKUP('A1 (Aktivlər)'!I22,List!C:D,2,0),"")</f>
      </c>
      <c r="K22" s="1" t="s">
        <v>121</v>
      </c>
      <c r="L22" s="36" t="str">
        <f>IFERROR(VLOOKUP('A1 (Aktivlər)'!K22,List!E:F,2,0),"")</f>
      </c>
      <c r="M22" s="1" t="s">
        <v>340</v>
      </c>
      <c r="N22" s="36" t="str">
        <f>IFERROR(VLOOKUP('A1 (Aktivlər)'!M22,List!M:N,2,0),"")</f>
      </c>
      <c r="O22" s="1" t="s">
        <v>344</v>
      </c>
      <c r="P22" s="36" t="str">
        <f>IFERROR(VLOOKUP('A1 (Aktivlər)'!O22,List!S:T,2,0),"")</f>
      </c>
      <c r="Q22" s="1"/>
      <c r="R22" s="36" t="str">
        <f>IFERROR(VLOOKUP('A1 (Aktivlər)'!Q22,List!K:L,2,0),"")</f>
      </c>
      <c r="S22" s="16" t="s">
        <v>125</v>
      </c>
      <c r="T22" s="16" t="s">
        <v>125</v>
      </c>
      <c r="U22" s="17" t="s">
        <v>129</v>
      </c>
      <c r="V22" s="17" t="s">
        <v>129</v>
      </c>
      <c r="W22" s="20" t="s">
        <v>129</v>
      </c>
      <c r="X22" s="18" t="s">
        <v>125</v>
      </c>
      <c r="Y22" s="1"/>
      <c r="Z22" s="36" t="str">
        <f>IFERROR(VLOOKUP('A1 (Aktivlər)'!Y22,List!O:P,2,0),"")</f>
      </c>
      <c r="AA22" s="19">
        <v>0</v>
      </c>
      <c r="AB22" s="19">
        <v>0</v>
      </c>
      <c r="AC22" s="37">
        <f t="shared" si="0"/>
        <v>0</v>
      </c>
      <c r="AD22" s="19">
        <v>0.48274</v>
      </c>
      <c r="AE22" s="19">
        <v>0</v>
      </c>
      <c r="AF22" s="19">
        <v>0</v>
      </c>
      <c r="AG22" s="19">
        <v>0</v>
      </c>
      <c r="AH22" s="19">
        <v>0</v>
      </c>
      <c r="AI22" s="19" t="s">
        <v>129</v>
      </c>
      <c r="AJ22" s="19">
        <v>0</v>
      </c>
      <c r="AK22" s="19">
        <v>0</v>
      </c>
      <c r="AL22" s="19">
        <v>0</v>
      </c>
      <c r="AM22" s="19">
        <v>0</v>
      </c>
      <c r="AN22" s="19">
        <v>0</v>
      </c>
      <c r="AO22" s="19">
        <v>0</v>
      </c>
      <c r="AP22" s="19">
        <v>0</v>
      </c>
      <c r="AQ22" s="19">
        <v>0</v>
      </c>
      <c r="AR22" s="19">
        <v>0</v>
      </c>
      <c r="AS22" s="19">
        <v>0</v>
      </c>
      <c r="AT22" s="19">
        <v>0</v>
      </c>
      <c r="AU22" s="19">
        <v>0</v>
      </c>
      <c r="AV22" s="19">
        <v>0</v>
      </c>
      <c r="AW22" s="19">
        <v>0</v>
      </c>
      <c r="AX22" s="19">
        <v>0</v>
      </c>
      <c r="AY22" s="21" t="s">
        <v>129</v>
      </c>
      <c r="AZ22" s="36" t="str">
        <f>IFERROR(VLOOKUP('A1 (Aktivlər)'!AY22,List!Q:R,2,0),"")</f>
      </c>
      <c r="BA22" s="38">
        <f t="shared" si="3"/>
        <v>0</v>
      </c>
      <c r="BB22" s="38">
        <f t="shared" si="4"/>
        <v>0</v>
      </c>
      <c r="BC22" s="39" t="e">
        <f t="shared" si="5"/>
        <v>#VALUE!</v>
      </c>
      <c r="BD22" s="39">
        <f t="shared" si="6"/>
        <v>0</v>
      </c>
      <c r="BE22" s="39">
        <f t="shared" si="7"/>
        <v>0</v>
      </c>
      <c r="BF22" s="39">
        <f t="shared" si="8"/>
        <v>0</v>
      </c>
      <c r="BG22" s="19">
        <v>0</v>
      </c>
      <c r="BH22" s="19">
        <v>0</v>
      </c>
      <c r="BI22" s="19">
        <v>0</v>
      </c>
      <c r="BJ22" s="19" t="s">
        <v>342</v>
      </c>
      <c r="BK22" s="19">
        <v>0</v>
      </c>
      <c r="BL22" s="19">
        <v>0</v>
      </c>
      <c r="BM22" s="19">
        <v>0</v>
      </c>
      <c r="BN22" s="19">
        <v>0</v>
      </c>
      <c r="BO22" s="19">
        <v>0</v>
      </c>
      <c r="BP22" s="19">
        <v>0</v>
      </c>
      <c r="BQ22" s="19">
        <v>0</v>
      </c>
      <c r="BR22" s="19">
        <v>0</v>
      </c>
      <c r="BS22" s="19">
        <v>0</v>
      </c>
      <c r="BT22" s="19">
        <v>0</v>
      </c>
      <c r="BU22" s="19">
        <v>0</v>
      </c>
      <c r="BV22" s="19">
        <v>0</v>
      </c>
      <c r="BW22" s="19">
        <v>0</v>
      </c>
      <c r="BX22" s="19">
        <v>0</v>
      </c>
      <c r="BY22" s="19">
        <v>0</v>
      </c>
      <c r="BZ22" s="34"/>
      <c r="CA22" s="18"/>
      <c r="CB22" s="20"/>
      <c r="CC22" s="36" t="str">
        <f>IFERROR(VLOOKUP('A1 (Aktivlər)'!CB22,List!Z:AA,2,0),"")</f>
      </c>
      <c r="CD22" s="34"/>
    </row>
    <row r="23" ht="21.75" customHeight="1" s="112" customFormat="1">
      <c r="A23" s="111">
        <v>9</v>
      </c>
      <c r="B23" s="35" t="str">
        <f t="shared" si="2"/>
      </c>
      <c r="C23" s="32" t="s">
        <v>354</v>
      </c>
      <c r="D23" s="33" t="s">
        <v>354</v>
      </c>
      <c r="E23" s="1" t="s">
        <v>118</v>
      </c>
      <c r="F23" s="36" t="str">
        <f>IFERROR(VLOOKUP('A1 (Aktivlər)'!E23,List!A:B,2,0),"")</f>
      </c>
      <c r="G23" s="1" t="s">
        <v>346</v>
      </c>
      <c r="H23" s="36" t="str">
        <f>IFERROR(VLOOKUP('A1 (Aktivlər)'!G23,List!G:H,2,0),"")</f>
      </c>
      <c r="I23" s="1" t="s">
        <v>120</v>
      </c>
      <c r="J23" s="36" t="str">
        <f>IFERROR(VLOOKUP('A1 (Aktivlər)'!I23,List!C:D,2,0),"")</f>
      </c>
      <c r="K23" s="1" t="s">
        <v>121</v>
      </c>
      <c r="L23" s="36" t="str">
        <f>IFERROR(VLOOKUP('A1 (Aktivlər)'!K23,List!E:F,2,0),"")</f>
      </c>
      <c r="M23" s="1" t="s">
        <v>122</v>
      </c>
      <c r="N23" s="36" t="str">
        <f>IFERROR(VLOOKUP('A1 (Aktivlər)'!M23,List!M:N,2,0),"")</f>
      </c>
      <c r="O23" s="1" t="s">
        <v>355</v>
      </c>
      <c r="P23" s="36" t="str">
        <f>IFERROR(VLOOKUP('A1 (Aktivlər)'!O23,List!S:T,2,0),"")</f>
      </c>
      <c r="Q23" s="1"/>
      <c r="R23" s="36" t="str">
        <f>IFERROR(VLOOKUP('A1 (Aktivlər)'!Q23,List!K:L,2,0),"")</f>
      </c>
      <c r="S23" s="16" t="s">
        <v>125</v>
      </c>
      <c r="T23" s="16" t="s">
        <v>125</v>
      </c>
      <c r="U23" s="17" t="s">
        <v>129</v>
      </c>
      <c r="V23" s="17" t="s">
        <v>129</v>
      </c>
      <c r="W23" s="20" t="s">
        <v>129</v>
      </c>
      <c r="X23" s="18" t="s">
        <v>125</v>
      </c>
      <c r="Y23" s="1"/>
      <c r="Z23" s="36" t="str">
        <f>IFERROR(VLOOKUP('A1 (Aktivlər)'!Y23,List!O:P,2,0),"")</f>
      </c>
      <c r="AA23" s="19">
        <v>0</v>
      </c>
      <c r="AB23" s="19">
        <v>0</v>
      </c>
      <c r="AC23" s="37">
        <f t="shared" si="0"/>
        <v>0</v>
      </c>
      <c r="AD23" s="19">
        <v>14339.685</v>
      </c>
      <c r="AE23" s="19">
        <v>0</v>
      </c>
      <c r="AF23" s="19">
        <v>0</v>
      </c>
      <c r="AG23" s="19">
        <v>0</v>
      </c>
      <c r="AH23" s="19">
        <v>0</v>
      </c>
      <c r="AI23" s="19" t="s">
        <v>129</v>
      </c>
      <c r="AJ23" s="19">
        <v>0</v>
      </c>
      <c r="AK23" s="19">
        <v>0</v>
      </c>
      <c r="AL23" s="19">
        <v>0</v>
      </c>
      <c r="AM23" s="19">
        <v>0</v>
      </c>
      <c r="AN23" s="19">
        <v>0</v>
      </c>
      <c r="AO23" s="19">
        <v>0</v>
      </c>
      <c r="AP23" s="19">
        <v>0</v>
      </c>
      <c r="AQ23" s="19">
        <v>0</v>
      </c>
      <c r="AR23" s="19">
        <v>0</v>
      </c>
      <c r="AS23" s="19">
        <v>0</v>
      </c>
      <c r="AT23" s="19">
        <v>0</v>
      </c>
      <c r="AU23" s="19">
        <v>0</v>
      </c>
      <c r="AV23" s="19">
        <v>0</v>
      </c>
      <c r="AW23" s="19">
        <v>0</v>
      </c>
      <c r="AX23" s="19">
        <v>0</v>
      </c>
      <c r="AY23" s="21" t="s">
        <v>129</v>
      </c>
      <c r="AZ23" s="36" t="str">
        <f>IFERROR(VLOOKUP('A1 (Aktivlər)'!AY23,List!Q:R,2,0),"")</f>
      </c>
      <c r="BA23" s="38">
        <f t="shared" si="3"/>
        <v>0</v>
      </c>
      <c r="BB23" s="38">
        <f t="shared" si="4"/>
        <v>0</v>
      </c>
      <c r="BC23" s="39" t="e">
        <f t="shared" si="5"/>
        <v>#VALUE!</v>
      </c>
      <c r="BD23" s="39">
        <f t="shared" si="6"/>
        <v>0</v>
      </c>
      <c r="BE23" s="39">
        <f t="shared" si="7"/>
        <v>0</v>
      </c>
      <c r="BF23" s="39">
        <f t="shared" si="8"/>
        <v>0</v>
      </c>
      <c r="BG23" s="19">
        <v>0</v>
      </c>
      <c r="BH23" s="19">
        <v>0</v>
      </c>
      <c r="BI23" s="19">
        <v>0</v>
      </c>
      <c r="BJ23" s="19" t="s">
        <v>342</v>
      </c>
      <c r="BK23" s="19">
        <v>0</v>
      </c>
      <c r="BL23" s="19">
        <v>0</v>
      </c>
      <c r="BM23" s="19">
        <v>0</v>
      </c>
      <c r="BN23" s="19">
        <v>0</v>
      </c>
      <c r="BO23" s="19">
        <v>0</v>
      </c>
      <c r="BP23" s="19">
        <v>0</v>
      </c>
      <c r="BQ23" s="19">
        <v>0</v>
      </c>
      <c r="BR23" s="19">
        <v>0</v>
      </c>
      <c r="BS23" s="19">
        <v>0</v>
      </c>
      <c r="BT23" s="19">
        <v>0</v>
      </c>
      <c r="BU23" s="19">
        <v>0</v>
      </c>
      <c r="BV23" s="19">
        <v>0</v>
      </c>
      <c r="BW23" s="19">
        <v>0</v>
      </c>
      <c r="BX23" s="19">
        <v>0</v>
      </c>
      <c r="BY23" s="19">
        <v>0</v>
      </c>
      <c r="BZ23" s="34"/>
      <c r="CA23" s="18"/>
      <c r="CB23" s="20"/>
      <c r="CC23" s="36" t="str">
        <f>IFERROR(VLOOKUP('A1 (Aktivlər)'!CB23,List!Z:AA,2,0),"")</f>
      </c>
      <c r="CD23" s="34"/>
    </row>
    <row r="24" ht="21.75" customHeight="1" s="112" customFormat="1">
      <c r="A24" s="111">
        <v>10</v>
      </c>
      <c r="B24" s="35" t="str">
        <f t="shared" si="2"/>
      </c>
      <c r="C24" s="32" t="s">
        <v>356</v>
      </c>
      <c r="D24" s="33" t="s">
        <v>356</v>
      </c>
      <c r="E24" s="1" t="s">
        <v>118</v>
      </c>
      <c r="F24" s="36" t="str">
        <f>IFERROR(VLOOKUP('A1 (Aktivlər)'!E24,List!A:B,2,0),"")</f>
      </c>
      <c r="G24" s="1" t="s">
        <v>346</v>
      </c>
      <c r="H24" s="36" t="str">
        <f>IFERROR(VLOOKUP('A1 (Aktivlər)'!G24,List!G:H,2,0),"")</f>
      </c>
      <c r="I24" s="1" t="s">
        <v>120</v>
      </c>
      <c r="J24" s="36" t="str">
        <f>IFERROR(VLOOKUP('A1 (Aktivlər)'!I24,List!C:D,2,0),"")</f>
      </c>
      <c r="K24" s="1" t="s">
        <v>121</v>
      </c>
      <c r="L24" s="36" t="str">
        <f>IFERROR(VLOOKUP('A1 (Aktivlər)'!K24,List!E:F,2,0),"")</f>
      </c>
      <c r="M24" s="1" t="s">
        <v>122</v>
      </c>
      <c r="N24" s="36" t="str">
        <f>IFERROR(VLOOKUP('A1 (Aktivlər)'!M24,List!M:N,2,0),"")</f>
      </c>
      <c r="O24" s="1" t="s">
        <v>355</v>
      </c>
      <c r="P24" s="36" t="str">
        <f>IFERROR(VLOOKUP('A1 (Aktivlər)'!O24,List!S:T,2,0),"")</f>
      </c>
      <c r="Q24" s="1"/>
      <c r="R24" s="36" t="str">
        <f>IFERROR(VLOOKUP('A1 (Aktivlər)'!Q24,List!K:L,2,0),"")</f>
      </c>
      <c r="S24" s="16" t="s">
        <v>125</v>
      </c>
      <c r="T24" s="16" t="s">
        <v>125</v>
      </c>
      <c r="U24" s="17" t="s">
        <v>129</v>
      </c>
      <c r="V24" s="17" t="s">
        <v>129</v>
      </c>
      <c r="W24" s="20" t="s">
        <v>129</v>
      </c>
      <c r="X24" s="18" t="s">
        <v>125</v>
      </c>
      <c r="Y24" s="1"/>
      <c r="Z24" s="36" t="str">
        <f>IFERROR(VLOOKUP('A1 (Aktivlər)'!Y24,List!O:P,2,0),"")</f>
      </c>
      <c r="AA24" s="19">
        <v>0</v>
      </c>
      <c r="AB24" s="19">
        <v>0</v>
      </c>
      <c r="AC24" s="37">
        <f t="shared" si="0"/>
        <v>0</v>
      </c>
      <c r="AD24" s="19">
        <v>414189.656</v>
      </c>
      <c r="AE24" s="19">
        <v>0</v>
      </c>
      <c r="AF24" s="19">
        <v>0</v>
      </c>
      <c r="AG24" s="19">
        <v>0</v>
      </c>
      <c r="AH24" s="19">
        <v>0</v>
      </c>
      <c r="AI24" s="19" t="s">
        <v>129</v>
      </c>
      <c r="AJ24" s="19">
        <v>0</v>
      </c>
      <c r="AK24" s="19">
        <v>0</v>
      </c>
      <c r="AL24" s="19">
        <v>0</v>
      </c>
      <c r="AM24" s="19">
        <v>0</v>
      </c>
      <c r="AN24" s="19">
        <v>0</v>
      </c>
      <c r="AO24" s="19">
        <v>0</v>
      </c>
      <c r="AP24" s="19">
        <v>0</v>
      </c>
      <c r="AQ24" s="19">
        <v>0</v>
      </c>
      <c r="AR24" s="19">
        <v>0</v>
      </c>
      <c r="AS24" s="19">
        <v>0</v>
      </c>
      <c r="AT24" s="19">
        <v>0</v>
      </c>
      <c r="AU24" s="19">
        <v>0</v>
      </c>
      <c r="AV24" s="19">
        <v>0</v>
      </c>
      <c r="AW24" s="19">
        <v>0</v>
      </c>
      <c r="AX24" s="19">
        <v>0</v>
      </c>
      <c r="AY24" s="21" t="s">
        <v>129</v>
      </c>
      <c r="AZ24" s="36" t="str">
        <f>IFERROR(VLOOKUP('A1 (Aktivlər)'!AY24,List!Q:R,2,0),"")</f>
      </c>
      <c r="BA24" s="38">
        <f t="shared" si="3"/>
        <v>0</v>
      </c>
      <c r="BB24" s="38">
        <f t="shared" si="4"/>
        <v>0</v>
      </c>
      <c r="BC24" s="39" t="e">
        <f t="shared" si="5"/>
        <v>#VALUE!</v>
      </c>
      <c r="BD24" s="39">
        <f t="shared" si="6"/>
        <v>0</v>
      </c>
      <c r="BE24" s="39">
        <f t="shared" si="7"/>
        <v>0</v>
      </c>
      <c r="BF24" s="39">
        <f t="shared" si="8"/>
        <v>0</v>
      </c>
      <c r="BG24" s="19">
        <v>0</v>
      </c>
      <c r="BH24" s="19">
        <v>0</v>
      </c>
      <c r="BI24" s="19">
        <v>0</v>
      </c>
      <c r="BJ24" s="19" t="s">
        <v>342</v>
      </c>
      <c r="BK24" s="19">
        <v>0</v>
      </c>
      <c r="BL24" s="19">
        <v>0</v>
      </c>
      <c r="BM24" s="19">
        <v>0</v>
      </c>
      <c r="BN24" s="19">
        <v>0</v>
      </c>
      <c r="BO24" s="19">
        <v>0</v>
      </c>
      <c r="BP24" s="19">
        <v>0</v>
      </c>
      <c r="BQ24" s="19">
        <v>0</v>
      </c>
      <c r="BR24" s="19">
        <v>0</v>
      </c>
      <c r="BS24" s="19">
        <v>0</v>
      </c>
      <c r="BT24" s="19">
        <v>0</v>
      </c>
      <c r="BU24" s="19">
        <v>0</v>
      </c>
      <c r="BV24" s="19">
        <v>0</v>
      </c>
      <c r="BW24" s="19">
        <v>0</v>
      </c>
      <c r="BX24" s="19">
        <v>0</v>
      </c>
      <c r="BY24" s="19">
        <v>0</v>
      </c>
      <c r="BZ24" s="34"/>
      <c r="CA24" s="18"/>
      <c r="CB24" s="20"/>
      <c r="CC24" s="36" t="str">
        <f>IFERROR(VLOOKUP('A1 (Aktivlər)'!CB24,List!Z:AA,2,0),"")</f>
      </c>
      <c r="CD24" s="34"/>
    </row>
    <row r="25" ht="21.75" customHeight="1" s="112" customFormat="1">
      <c r="A25" s="111">
        <v>11</v>
      </c>
      <c r="B25" s="35" t="str">
        <f t="shared" si="2"/>
      </c>
      <c r="C25" s="32"/>
      <c r="D25" s="33"/>
      <c r="E25" s="1"/>
      <c r="F25" s="36" t="str">
        <f>IFERROR(VLOOKUP('A1 (Aktivlər)'!E25,List!A:B,2,0),"")</f>
      </c>
      <c r="G25" s="1"/>
      <c r="H25" s="36" t="str">
        <f>IFERROR(VLOOKUP('A1 (Aktivlər)'!G25,List!G:H,2,0),"")</f>
      </c>
      <c r="I25" s="1"/>
      <c r="J25" s="36" t="str">
        <f>IFERROR(VLOOKUP('A1 (Aktivlər)'!I25,List!C:D,2,0),"")</f>
      </c>
      <c r="K25" s="1"/>
      <c r="L25" s="36" t="str">
        <f>IFERROR(VLOOKUP('A1 (Aktivlər)'!K25,List!E:F,2,0),"")</f>
      </c>
      <c r="M25" s="1"/>
      <c r="N25" s="36" t="str">
        <f>IFERROR(VLOOKUP('A1 (Aktivlər)'!M25,List!M:N,2,0),"")</f>
      </c>
      <c r="O25" s="1"/>
      <c r="P25" s="36" t="str">
        <f>IFERROR(VLOOKUP('A1 (Aktivlər)'!O25,List!S:T,2,0),"")</f>
      </c>
      <c r="Q25" s="1"/>
      <c r="R25" s="36" t="str">
        <f>IFERROR(VLOOKUP('A1 (Aktivlər)'!Q25,List!K:L,2,0),"")</f>
      </c>
      <c r="S25" s="16"/>
      <c r="T25" s="16"/>
      <c r="U25" s="17"/>
      <c r="V25" s="17"/>
      <c r="W25" s="20"/>
      <c r="X25" s="18"/>
      <c r="Y25" s="1"/>
      <c r="Z25" s="36" t="str">
        <f>IFERROR(VLOOKUP('A1 (Aktivlər)'!Y25,List!O:P,2,0),"")</f>
      </c>
      <c r="AA25" s="19"/>
      <c r="AB25" s="19"/>
      <c r="AC25" s="37">
        <f t="shared" si="0"/>
        <v>0</v>
      </c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21"/>
      <c r="AZ25" s="36" t="str">
        <f>IFERROR(VLOOKUP('A1 (Aktivlər)'!AY25,List!Q:R,2,0),"")</f>
      </c>
      <c r="BA25" s="38">
        <f t="shared" si="3"/>
        <v>0</v>
      </c>
      <c r="BB25" s="38">
        <f t="shared" si="4"/>
        <v>0</v>
      </c>
      <c r="BC25" s="39">
        <f t="shared" si="5"/>
        <v>0</v>
      </c>
      <c r="BD25" s="39">
        <f t="shared" si="6"/>
        <v>0</v>
      </c>
      <c r="BE25" s="39">
        <f t="shared" si="7"/>
        <v>0</v>
      </c>
      <c r="BF25" s="39">
        <f t="shared" si="8"/>
        <v>0</v>
      </c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34"/>
      <c r="CA25" s="18"/>
      <c r="CB25" s="20"/>
      <c r="CC25" s="36" t="str">
        <f>IFERROR(VLOOKUP('A1 (Aktivlər)'!CB25,List!Z:AA,2,0),"")</f>
      </c>
      <c r="CD25" s="34"/>
    </row>
    <row r="26" ht="21.75" customHeight="1" s="112" customFormat="1">
      <c r="A26" s="111">
        <v>12</v>
      </c>
      <c r="B26" s="35" t="str">
        <f t="shared" si="2"/>
      </c>
      <c r="C26" s="32"/>
      <c r="D26" s="33"/>
      <c r="E26" s="1"/>
      <c r="F26" s="36" t="str">
        <f>IFERROR(VLOOKUP('A1 (Aktivlər)'!E26,List!A:B,2,0),"")</f>
      </c>
      <c r="G26" s="1"/>
      <c r="H26" s="36" t="str">
        <f>IFERROR(VLOOKUP('A1 (Aktivlər)'!G26,List!G:H,2,0),"")</f>
      </c>
      <c r="I26" s="1"/>
      <c r="J26" s="36" t="str">
        <f>IFERROR(VLOOKUP('A1 (Aktivlər)'!I26,List!C:D,2,0),"")</f>
      </c>
      <c r="K26" s="1"/>
      <c r="L26" s="36" t="str">
        <f>IFERROR(VLOOKUP('A1 (Aktivlər)'!K26,List!E:F,2,0),"")</f>
      </c>
      <c r="M26" s="1"/>
      <c r="N26" s="36" t="str">
        <f>IFERROR(VLOOKUP('A1 (Aktivlər)'!M26,List!M:N,2,0),"")</f>
      </c>
      <c r="O26" s="1"/>
      <c r="P26" s="36" t="str">
        <f>IFERROR(VLOOKUP('A1 (Aktivlər)'!O26,List!S:T,2,0),"")</f>
      </c>
      <c r="Q26" s="1"/>
      <c r="R26" s="36" t="str">
        <f>IFERROR(VLOOKUP('A1 (Aktivlər)'!Q26,List!K:L,2,0),"")</f>
      </c>
      <c r="S26" s="16"/>
      <c r="T26" s="16"/>
      <c r="U26" s="17"/>
      <c r="V26" s="17"/>
      <c r="W26" s="20"/>
      <c r="X26" s="18"/>
      <c r="Y26" s="1"/>
      <c r="Z26" s="36" t="str">
        <f>IFERROR(VLOOKUP('A1 (Aktivlər)'!Y26,List!O:P,2,0),"")</f>
      </c>
      <c r="AA26" s="19"/>
      <c r="AB26" s="19"/>
      <c r="AC26" s="37">
        <f t="shared" si="0"/>
        <v>0</v>
      </c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21"/>
      <c r="AZ26" s="36" t="str">
        <f>IFERROR(VLOOKUP('A1 (Aktivlər)'!AY26,List!Q:R,2,0),"")</f>
      </c>
      <c r="BA26" s="38">
        <f ref="BA26:BA42" t="shared" si="9">AB26+AH26-AM26+AR26+AT26</f>
        <v>0</v>
      </c>
      <c r="BB26" s="38">
        <f t="shared" si="4"/>
        <v>0</v>
      </c>
      <c r="BC26" s="39">
        <f t="shared" si="5"/>
        <v>0</v>
      </c>
      <c r="BD26" s="39">
        <f t="shared" si="6"/>
        <v>0</v>
      </c>
      <c r="BE26" s="39">
        <f t="shared" si="7"/>
        <v>0</v>
      </c>
      <c r="BF26" s="39">
        <f t="shared" si="8"/>
        <v>0</v>
      </c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34"/>
      <c r="CA26" s="18"/>
      <c r="CB26" s="20"/>
      <c r="CC26" s="36" t="str">
        <f>IFERROR(VLOOKUP('A1 (Aktivlər)'!CB26,List!Z:AA,2,0),"")</f>
      </c>
      <c r="CD26" s="34"/>
    </row>
    <row r="27" ht="21.75" customHeight="1" s="112" customFormat="1">
      <c r="A27" s="111">
        <v>13</v>
      </c>
      <c r="B27" s="35" t="str">
        <f t="shared" si="2"/>
      </c>
      <c r="C27" s="32"/>
      <c r="D27" s="33"/>
      <c r="E27" s="1"/>
      <c r="F27" s="36" t="str">
        <f>IFERROR(VLOOKUP('A1 (Aktivlər)'!E27,List!A:B,2,0),"")</f>
      </c>
      <c r="G27" s="1"/>
      <c r="H27" s="36" t="str">
        <f>IFERROR(VLOOKUP('A1 (Aktivlər)'!G27,List!G:H,2,0),"")</f>
      </c>
      <c r="I27" s="1"/>
      <c r="J27" s="36" t="str">
        <f>IFERROR(VLOOKUP('A1 (Aktivlər)'!I27,List!C:D,2,0),"")</f>
      </c>
      <c r="K27" s="1"/>
      <c r="L27" s="36" t="str">
        <f>IFERROR(VLOOKUP('A1 (Aktivlər)'!K27,List!E:F,2,0),"")</f>
      </c>
      <c r="M27" s="1"/>
      <c r="N27" s="36" t="str">
        <f>IFERROR(VLOOKUP('A1 (Aktivlər)'!M27,List!M:N,2,0),"")</f>
      </c>
      <c r="O27" s="1"/>
      <c r="P27" s="36" t="str">
        <f>IFERROR(VLOOKUP('A1 (Aktivlər)'!O27,List!S:T,2,0),"")</f>
      </c>
      <c r="Q27" s="1"/>
      <c r="R27" s="36" t="str">
        <f>IFERROR(VLOOKUP('A1 (Aktivlər)'!Q27,List!K:L,2,0),"")</f>
      </c>
      <c r="S27" s="16"/>
      <c r="T27" s="16"/>
      <c r="U27" s="17"/>
      <c r="V27" s="17"/>
      <c r="W27" s="20"/>
      <c r="X27" s="18"/>
      <c r="Y27" s="1"/>
      <c r="Z27" s="36" t="str">
        <f>IFERROR(VLOOKUP('A1 (Aktivlər)'!Y27,List!O:P,2,0),"")</f>
      </c>
      <c r="AA27" s="19"/>
      <c r="AB27" s="19"/>
      <c r="AC27" s="37">
        <f t="shared" si="0"/>
        <v>0</v>
      </c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21"/>
      <c r="AZ27" s="36" t="str">
        <f>IFERROR(VLOOKUP('A1 (Aktivlər)'!AY27,List!Q:R,2,0),"")</f>
      </c>
      <c r="BA27" s="38">
        <f t="shared" si="9"/>
        <v>0</v>
      </c>
      <c r="BB27" s="38">
        <f t="shared" si="4"/>
        <v>0</v>
      </c>
      <c r="BC27" s="39">
        <f t="shared" si="5"/>
        <v>0</v>
      </c>
      <c r="BD27" s="39">
        <f t="shared" si="6"/>
        <v>0</v>
      </c>
      <c r="BE27" s="39">
        <f t="shared" si="7"/>
        <v>0</v>
      </c>
      <c r="BF27" s="39">
        <f t="shared" si="8"/>
        <v>0</v>
      </c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34"/>
      <c r="CA27" s="18"/>
      <c r="CB27" s="20"/>
      <c r="CC27" s="36" t="str">
        <f>IFERROR(VLOOKUP('A1 (Aktivlər)'!CB27,List!Z:AA,2,0),"")</f>
      </c>
      <c r="CD27" s="34"/>
    </row>
    <row r="28" ht="21.75" customHeight="1" s="112" customFormat="1">
      <c r="A28" s="111">
        <v>14</v>
      </c>
      <c r="B28" s="35" t="str">
        <f t="shared" si="2"/>
      </c>
      <c r="C28" s="32"/>
      <c r="D28" s="33"/>
      <c r="E28" s="1"/>
      <c r="F28" s="36" t="str">
        <f>IFERROR(VLOOKUP('A1 (Aktivlər)'!E28,List!A:B,2,0),"")</f>
      </c>
      <c r="G28" s="1"/>
      <c r="H28" s="36" t="str">
        <f>IFERROR(VLOOKUP('A1 (Aktivlər)'!G28,List!G:H,2,0),"")</f>
      </c>
      <c r="I28" s="1"/>
      <c r="J28" s="36" t="str">
        <f>IFERROR(VLOOKUP('A1 (Aktivlər)'!I28,List!C:D,2,0),"")</f>
      </c>
      <c r="K28" s="1"/>
      <c r="L28" s="36" t="str">
        <f>IFERROR(VLOOKUP('A1 (Aktivlər)'!K28,List!E:F,2,0),"")</f>
      </c>
      <c r="M28" s="1"/>
      <c r="N28" s="36" t="str">
        <f>IFERROR(VLOOKUP('A1 (Aktivlər)'!M28,List!M:N,2,0),"")</f>
      </c>
      <c r="O28" s="1"/>
      <c r="P28" s="36" t="str">
        <f>IFERROR(VLOOKUP('A1 (Aktivlər)'!O28,List!S:T,2,0),"")</f>
      </c>
      <c r="Q28" s="1"/>
      <c r="R28" s="36" t="str">
        <f>IFERROR(VLOOKUP('A1 (Aktivlər)'!Q28,List!K:L,2,0),"")</f>
      </c>
      <c r="S28" s="16"/>
      <c r="T28" s="16"/>
      <c r="U28" s="17"/>
      <c r="V28" s="17"/>
      <c r="W28" s="20"/>
      <c r="X28" s="18"/>
      <c r="Y28" s="1"/>
      <c r="Z28" s="36" t="str">
        <f>IFERROR(VLOOKUP('A1 (Aktivlər)'!Y28,List!O:P,2,0),"")</f>
      </c>
      <c r="AA28" s="19"/>
      <c r="AB28" s="19"/>
      <c r="AC28" s="37">
        <f t="shared" si="0"/>
        <v>0</v>
      </c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21"/>
      <c r="AZ28" s="36" t="str">
        <f>IFERROR(VLOOKUP('A1 (Aktivlər)'!AY28,List!Q:R,2,0),"")</f>
      </c>
      <c r="BA28" s="38">
        <f t="shared" si="9"/>
        <v>0</v>
      </c>
      <c r="BB28" s="38">
        <f t="shared" si="4"/>
        <v>0</v>
      </c>
      <c r="BC28" s="39">
        <f t="shared" si="5"/>
        <v>0</v>
      </c>
      <c r="BD28" s="39">
        <f t="shared" si="6"/>
        <v>0</v>
      </c>
      <c r="BE28" s="39">
        <f t="shared" si="7"/>
        <v>0</v>
      </c>
      <c r="BF28" s="39">
        <f t="shared" si="8"/>
        <v>0</v>
      </c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34"/>
      <c r="CA28" s="18"/>
      <c r="CB28" s="20"/>
      <c r="CC28" s="36" t="str">
        <f>IFERROR(VLOOKUP('A1 (Aktivlər)'!CB28,List!Z:AA,2,0),"")</f>
      </c>
      <c r="CD28" s="34"/>
    </row>
    <row r="29" ht="21.75" customHeight="1" s="112" customFormat="1">
      <c r="A29" s="111">
        <v>15</v>
      </c>
      <c r="B29" s="35" t="str">
        <f t="shared" si="2"/>
      </c>
      <c r="C29" s="32"/>
      <c r="D29" s="33"/>
      <c r="E29" s="1"/>
      <c r="F29" s="36" t="str">
        <f>IFERROR(VLOOKUP('A1 (Aktivlər)'!E29,List!A:B,2,0),"")</f>
      </c>
      <c r="G29" s="1"/>
      <c r="H29" s="36" t="str">
        <f>IFERROR(VLOOKUP('A1 (Aktivlər)'!G29,List!G:H,2,0),"")</f>
      </c>
      <c r="I29" s="1"/>
      <c r="J29" s="36" t="str">
        <f>IFERROR(VLOOKUP('A1 (Aktivlər)'!I29,List!C:D,2,0),"")</f>
      </c>
      <c r="K29" s="1"/>
      <c r="L29" s="36" t="str">
        <f>IFERROR(VLOOKUP('A1 (Aktivlər)'!K29,List!E:F,2,0),"")</f>
      </c>
      <c r="M29" s="1"/>
      <c r="N29" s="36" t="str">
        <f>IFERROR(VLOOKUP('A1 (Aktivlər)'!M29,List!M:N,2,0),"")</f>
      </c>
      <c r="O29" s="1"/>
      <c r="P29" s="36" t="str">
        <f>IFERROR(VLOOKUP('A1 (Aktivlər)'!O29,List!S:T,2,0),"")</f>
      </c>
      <c r="Q29" s="1"/>
      <c r="R29" s="36" t="str">
        <f>IFERROR(VLOOKUP('A1 (Aktivlər)'!Q29,List!K:L,2,0),"")</f>
      </c>
      <c r="S29" s="16"/>
      <c r="T29" s="16"/>
      <c r="U29" s="17"/>
      <c r="V29" s="17"/>
      <c r="W29" s="20"/>
      <c r="X29" s="18"/>
      <c r="Y29" s="1"/>
      <c r="Z29" s="36" t="str">
        <f>IFERROR(VLOOKUP('A1 (Aktivlər)'!Y29,List!O:P,2,0),"")</f>
      </c>
      <c r="AA29" s="19"/>
      <c r="AB29" s="19"/>
      <c r="AC29" s="37">
        <f t="shared" si="0"/>
        <v>0</v>
      </c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21"/>
      <c r="AZ29" s="36" t="str">
        <f>IFERROR(VLOOKUP('A1 (Aktivlər)'!AY29,List!Q:R,2,0),"")</f>
      </c>
      <c r="BA29" s="38">
        <f t="shared" si="9"/>
        <v>0</v>
      </c>
      <c r="BB29" s="38">
        <f t="shared" si="4"/>
        <v>0</v>
      </c>
      <c r="BC29" s="39">
        <f t="shared" si="5"/>
        <v>0</v>
      </c>
      <c r="BD29" s="39">
        <f t="shared" si="6"/>
        <v>0</v>
      </c>
      <c r="BE29" s="39">
        <f t="shared" si="7"/>
        <v>0</v>
      </c>
      <c r="BF29" s="39">
        <f t="shared" si="8"/>
        <v>0</v>
      </c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34"/>
      <c r="CA29" s="18"/>
      <c r="CB29" s="20"/>
      <c r="CC29" s="36" t="str">
        <f>IFERROR(VLOOKUP('A1 (Aktivlər)'!CB29,List!Z:AA,2,0),"")</f>
      </c>
      <c r="CD29" s="34"/>
    </row>
    <row r="30" ht="21.75" customHeight="1" s="112" customFormat="1">
      <c r="A30" s="111">
        <v>16</v>
      </c>
      <c r="B30" s="35" t="str">
        <f t="shared" si="2"/>
      </c>
      <c r="C30" s="32"/>
      <c r="D30" s="33"/>
      <c r="E30" s="1"/>
      <c r="F30" s="36" t="str">
        <f>IFERROR(VLOOKUP('A1 (Aktivlər)'!E30,List!A:B,2,0),"")</f>
      </c>
      <c r="G30" s="1"/>
      <c r="H30" s="36" t="str">
        <f>IFERROR(VLOOKUP('A1 (Aktivlər)'!G30,List!G:H,2,0),"")</f>
      </c>
      <c r="I30" s="1"/>
      <c r="J30" s="36" t="str">
        <f>IFERROR(VLOOKUP('A1 (Aktivlər)'!I30,List!C:D,2,0),"")</f>
      </c>
      <c r="K30" s="1"/>
      <c r="L30" s="36" t="str">
        <f>IFERROR(VLOOKUP('A1 (Aktivlər)'!K30,List!E:F,2,0),"")</f>
      </c>
      <c r="M30" s="1"/>
      <c r="N30" s="36" t="str">
        <f>IFERROR(VLOOKUP('A1 (Aktivlər)'!M30,List!M:N,2,0),"")</f>
      </c>
      <c r="O30" s="1"/>
      <c r="P30" s="36" t="str">
        <f>IFERROR(VLOOKUP('A1 (Aktivlər)'!O30,List!S:T,2,0),"")</f>
      </c>
      <c r="Q30" s="1"/>
      <c r="R30" s="36" t="str">
        <f>IFERROR(VLOOKUP('A1 (Aktivlər)'!Q30,List!K:L,2,0),"")</f>
      </c>
      <c r="S30" s="16"/>
      <c r="T30" s="16"/>
      <c r="U30" s="17"/>
      <c r="V30" s="17"/>
      <c r="W30" s="20"/>
      <c r="X30" s="18"/>
      <c r="Y30" s="1"/>
      <c r="Z30" s="36" t="str">
        <f>IFERROR(VLOOKUP('A1 (Aktivlər)'!Y30,List!O:P,2,0),"")</f>
      </c>
      <c r="AA30" s="19"/>
      <c r="AB30" s="19"/>
      <c r="AC30" s="37">
        <f t="shared" si="0"/>
        <v>0</v>
      </c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21"/>
      <c r="AZ30" s="36" t="str">
        <f>IFERROR(VLOOKUP('A1 (Aktivlər)'!AY30,List!Q:R,2,0),"")</f>
      </c>
      <c r="BA30" s="38">
        <f t="shared" si="9"/>
        <v>0</v>
      </c>
      <c r="BB30" s="38">
        <f t="shared" si="4"/>
        <v>0</v>
      </c>
      <c r="BC30" s="39">
        <f t="shared" si="5"/>
        <v>0</v>
      </c>
      <c r="BD30" s="39">
        <f t="shared" si="6"/>
        <v>0</v>
      </c>
      <c r="BE30" s="39">
        <f t="shared" si="7"/>
        <v>0</v>
      </c>
      <c r="BF30" s="39">
        <f t="shared" si="8"/>
        <v>0</v>
      </c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34"/>
      <c r="CA30" s="18"/>
      <c r="CB30" s="20"/>
      <c r="CC30" s="36" t="str">
        <f>IFERROR(VLOOKUP('A1 (Aktivlər)'!CB30,List!Z:AA,2,0),"")</f>
      </c>
      <c r="CD30" s="34"/>
    </row>
    <row r="31" ht="21.75" customHeight="1" s="112" customFormat="1">
      <c r="A31" s="111">
        <v>17</v>
      </c>
      <c r="B31" s="35" t="str">
        <f t="shared" si="2"/>
      </c>
      <c r="C31" s="32"/>
      <c r="D31" s="33"/>
      <c r="E31" s="1"/>
      <c r="F31" s="36" t="str">
        <f>IFERROR(VLOOKUP('A1 (Aktivlər)'!E31,List!A:B,2,0),"")</f>
      </c>
      <c r="G31" s="1"/>
      <c r="H31" s="36" t="str">
        <f>IFERROR(VLOOKUP('A1 (Aktivlər)'!G31,List!G:H,2,0),"")</f>
      </c>
      <c r="I31" s="1"/>
      <c r="J31" s="36" t="str">
        <f>IFERROR(VLOOKUP('A1 (Aktivlər)'!I31,List!C:D,2,0),"")</f>
      </c>
      <c r="K31" s="1"/>
      <c r="L31" s="36" t="str">
        <f>IFERROR(VLOOKUP('A1 (Aktivlər)'!K31,List!E:F,2,0),"")</f>
      </c>
      <c r="M31" s="1"/>
      <c r="N31" s="36" t="str">
        <f>IFERROR(VLOOKUP('A1 (Aktivlər)'!M31,List!M:N,2,0),"")</f>
      </c>
      <c r="O31" s="1"/>
      <c r="P31" s="36" t="str">
        <f>IFERROR(VLOOKUP('A1 (Aktivlər)'!O31,List!S:T,2,0),"")</f>
      </c>
      <c r="Q31" s="1"/>
      <c r="R31" s="36" t="str">
        <f>IFERROR(VLOOKUP('A1 (Aktivlər)'!Q31,List!K:L,2,0),"")</f>
      </c>
      <c r="S31" s="16"/>
      <c r="T31" s="16"/>
      <c r="U31" s="17"/>
      <c r="V31" s="17"/>
      <c r="W31" s="20"/>
      <c r="X31" s="18"/>
      <c r="Y31" s="1"/>
      <c r="Z31" s="36" t="str">
        <f>IFERROR(VLOOKUP('A1 (Aktivlər)'!Y31,List!O:P,2,0),"")</f>
      </c>
      <c r="AA31" s="19"/>
      <c r="AB31" s="19"/>
      <c r="AC31" s="37">
        <f t="shared" si="0"/>
        <v>0</v>
      </c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21"/>
      <c r="AZ31" s="36" t="str">
        <f>IFERROR(VLOOKUP('A1 (Aktivlər)'!AY31,List!Q:R,2,0),"")</f>
      </c>
      <c r="BA31" s="38">
        <f t="shared" si="9"/>
        <v>0</v>
      </c>
      <c r="BB31" s="38">
        <f t="shared" si="4"/>
        <v>0</v>
      </c>
      <c r="BC31" s="39">
        <f t="shared" si="5"/>
        <v>0</v>
      </c>
      <c r="BD31" s="39">
        <f t="shared" si="6"/>
        <v>0</v>
      </c>
      <c r="BE31" s="39">
        <f t="shared" si="7"/>
        <v>0</v>
      </c>
      <c r="BF31" s="39">
        <f t="shared" si="8"/>
        <v>0</v>
      </c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34"/>
      <c r="CA31" s="18"/>
      <c r="CB31" s="20"/>
      <c r="CC31" s="36" t="str">
        <f>IFERROR(VLOOKUP('A1 (Aktivlər)'!CB31,List!Z:AA,2,0),"")</f>
      </c>
      <c r="CD31" s="34"/>
    </row>
    <row r="32" ht="21.75" customHeight="1" s="112" customFormat="1">
      <c r="A32" s="111">
        <v>18</v>
      </c>
      <c r="B32" s="35" t="str">
        <f t="shared" si="2"/>
      </c>
      <c r="C32" s="32"/>
      <c r="D32" s="33"/>
      <c r="E32" s="1"/>
      <c r="F32" s="36" t="str">
        <f>IFERROR(VLOOKUP('A1 (Aktivlər)'!E32,List!A:B,2,0),"")</f>
      </c>
      <c r="G32" s="1"/>
      <c r="H32" s="36" t="str">
        <f>IFERROR(VLOOKUP('A1 (Aktivlər)'!G32,List!G:H,2,0),"")</f>
      </c>
      <c r="I32" s="1"/>
      <c r="J32" s="36" t="str">
        <f>IFERROR(VLOOKUP('A1 (Aktivlər)'!I32,List!C:D,2,0),"")</f>
      </c>
      <c r="K32" s="1"/>
      <c r="L32" s="36" t="str">
        <f>IFERROR(VLOOKUP('A1 (Aktivlər)'!K32,List!E:F,2,0),"")</f>
      </c>
      <c r="M32" s="1"/>
      <c r="N32" s="36" t="str">
        <f>IFERROR(VLOOKUP('A1 (Aktivlər)'!M32,List!M:N,2,0),"")</f>
      </c>
      <c r="O32" s="1"/>
      <c r="P32" s="36" t="str">
        <f>IFERROR(VLOOKUP('A1 (Aktivlər)'!O32,List!S:T,2,0),"")</f>
      </c>
      <c r="Q32" s="1"/>
      <c r="R32" s="36" t="str">
        <f>IFERROR(VLOOKUP('A1 (Aktivlər)'!Q32,List!K:L,2,0),"")</f>
      </c>
      <c r="S32" s="16"/>
      <c r="T32" s="16"/>
      <c r="U32" s="17"/>
      <c r="V32" s="17"/>
      <c r="W32" s="20"/>
      <c r="X32" s="18"/>
      <c r="Y32" s="1"/>
      <c r="Z32" s="36" t="str">
        <f>IFERROR(VLOOKUP('A1 (Aktivlər)'!Y32,List!O:P,2,0),"")</f>
      </c>
      <c r="AA32" s="19"/>
      <c r="AB32" s="19"/>
      <c r="AC32" s="37">
        <f t="shared" si="0"/>
        <v>0</v>
      </c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21"/>
      <c r="AZ32" s="36" t="str">
        <f>IFERROR(VLOOKUP('A1 (Aktivlər)'!AY32,List!Q:R,2,0),"")</f>
      </c>
      <c r="BA32" s="38">
        <f t="shared" si="9"/>
        <v>0</v>
      </c>
      <c r="BB32" s="38">
        <f t="shared" si="4"/>
        <v>0</v>
      </c>
      <c r="BC32" s="39">
        <f t="shared" si="5"/>
        <v>0</v>
      </c>
      <c r="BD32" s="39">
        <f t="shared" si="6"/>
        <v>0</v>
      </c>
      <c r="BE32" s="39">
        <f t="shared" si="7"/>
        <v>0</v>
      </c>
      <c r="BF32" s="39">
        <f t="shared" si="8"/>
        <v>0</v>
      </c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34"/>
      <c r="CA32" s="18"/>
      <c r="CB32" s="20"/>
      <c r="CC32" s="36" t="str">
        <f>IFERROR(VLOOKUP('A1 (Aktivlər)'!CB32,List!Z:AA,2,0),"")</f>
      </c>
      <c r="CD32" s="34"/>
    </row>
    <row r="33" ht="21.75" customHeight="1" s="112" customFormat="1">
      <c r="A33" s="111">
        <v>19</v>
      </c>
      <c r="B33" s="35" t="str">
        <f t="shared" si="2"/>
      </c>
      <c r="C33" s="32"/>
      <c r="D33" s="33"/>
      <c r="E33" s="1"/>
      <c r="F33" s="36" t="str">
        <f>IFERROR(VLOOKUP('A1 (Aktivlər)'!E33,List!A:B,2,0),"")</f>
      </c>
      <c r="G33" s="1"/>
      <c r="H33" s="36" t="str">
        <f>IFERROR(VLOOKUP('A1 (Aktivlər)'!G33,List!G:H,2,0),"")</f>
      </c>
      <c r="I33" s="1"/>
      <c r="J33" s="36" t="str">
        <f>IFERROR(VLOOKUP('A1 (Aktivlər)'!I33,List!C:D,2,0),"")</f>
      </c>
      <c r="K33" s="1"/>
      <c r="L33" s="36" t="str">
        <f>IFERROR(VLOOKUP('A1 (Aktivlər)'!K33,List!E:F,2,0),"")</f>
      </c>
      <c r="M33" s="1"/>
      <c r="N33" s="36" t="str">
        <f>IFERROR(VLOOKUP('A1 (Aktivlər)'!M33,List!M:N,2,0),"")</f>
      </c>
      <c r="O33" s="1"/>
      <c r="P33" s="36" t="str">
        <f>IFERROR(VLOOKUP('A1 (Aktivlər)'!O33,List!S:T,2,0),"")</f>
      </c>
      <c r="Q33" s="1"/>
      <c r="R33" s="36" t="str">
        <f>IFERROR(VLOOKUP('A1 (Aktivlər)'!Q33,List!K:L,2,0),"")</f>
      </c>
      <c r="S33" s="16"/>
      <c r="T33" s="16"/>
      <c r="U33" s="17"/>
      <c r="V33" s="17"/>
      <c r="W33" s="20"/>
      <c r="X33" s="18"/>
      <c r="Y33" s="1"/>
      <c r="Z33" s="36" t="str">
        <f>IFERROR(VLOOKUP('A1 (Aktivlər)'!Y33,List!O:P,2,0),"")</f>
      </c>
      <c r="AA33" s="19"/>
      <c r="AB33" s="19"/>
      <c r="AC33" s="37">
        <f t="shared" si="0"/>
        <v>0</v>
      </c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21"/>
      <c r="AZ33" s="36" t="str">
        <f>IFERROR(VLOOKUP('A1 (Aktivlər)'!AY33,List!Q:R,2,0),"")</f>
      </c>
      <c r="BA33" s="38">
        <f t="shared" si="9"/>
        <v>0</v>
      </c>
      <c r="BB33" s="38">
        <f t="shared" si="4"/>
        <v>0</v>
      </c>
      <c r="BC33" s="39">
        <f t="shared" si="5"/>
        <v>0</v>
      </c>
      <c r="BD33" s="39">
        <f t="shared" si="6"/>
        <v>0</v>
      </c>
      <c r="BE33" s="39">
        <f t="shared" si="7"/>
        <v>0</v>
      </c>
      <c r="BF33" s="39">
        <f t="shared" si="8"/>
        <v>0</v>
      </c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34"/>
      <c r="CA33" s="18"/>
      <c r="CB33" s="20"/>
      <c r="CC33" s="36" t="str">
        <f>IFERROR(VLOOKUP('A1 (Aktivlər)'!CB33,List!Z:AA,2,0),"")</f>
      </c>
      <c r="CD33" s="34"/>
    </row>
    <row r="34" ht="21.75" customHeight="1" s="112" customFormat="1">
      <c r="A34" s="111">
        <v>20</v>
      </c>
      <c r="B34" s="35" t="str">
        <f t="shared" si="2"/>
      </c>
      <c r="C34" s="32"/>
      <c r="D34" s="33"/>
      <c r="E34" s="1"/>
      <c r="F34" s="36" t="str">
        <f>IFERROR(VLOOKUP('A1 (Aktivlər)'!E34,List!A:B,2,0),"")</f>
      </c>
      <c r="G34" s="1"/>
      <c r="H34" s="36" t="str">
        <f>IFERROR(VLOOKUP('A1 (Aktivlər)'!G34,List!G:H,2,0),"")</f>
      </c>
      <c r="I34" s="1"/>
      <c r="J34" s="36" t="str">
        <f>IFERROR(VLOOKUP('A1 (Aktivlər)'!I34,List!C:D,2,0),"")</f>
      </c>
      <c r="K34" s="1"/>
      <c r="L34" s="36" t="str">
        <f>IFERROR(VLOOKUP('A1 (Aktivlər)'!K34,List!E:F,2,0),"")</f>
      </c>
      <c r="M34" s="1"/>
      <c r="N34" s="36" t="str">
        <f>IFERROR(VLOOKUP('A1 (Aktivlər)'!M34,List!M:N,2,0),"")</f>
      </c>
      <c r="O34" s="1"/>
      <c r="P34" s="36" t="str">
        <f>IFERROR(VLOOKUP('A1 (Aktivlər)'!O34,List!S:T,2,0),"")</f>
      </c>
      <c r="Q34" s="1"/>
      <c r="R34" s="36" t="str">
        <f>IFERROR(VLOOKUP('A1 (Aktivlər)'!Q34,List!K:L,2,0),"")</f>
      </c>
      <c r="S34" s="16"/>
      <c r="T34" s="16"/>
      <c r="U34" s="17"/>
      <c r="V34" s="17"/>
      <c r="W34" s="20"/>
      <c r="X34" s="18"/>
      <c r="Y34" s="1"/>
      <c r="Z34" s="36" t="str">
        <f>IFERROR(VLOOKUP('A1 (Aktivlər)'!Y34,List!O:P,2,0),"")</f>
      </c>
      <c r="AA34" s="19"/>
      <c r="AB34" s="19"/>
      <c r="AC34" s="37">
        <f t="shared" si="0"/>
        <v>0</v>
      </c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21"/>
      <c r="AZ34" s="36" t="str">
        <f>IFERROR(VLOOKUP('A1 (Aktivlər)'!AY34,List!Q:R,2,0),"")</f>
      </c>
      <c r="BA34" s="38">
        <f t="shared" si="9"/>
        <v>0</v>
      </c>
      <c r="BB34" s="38">
        <f t="shared" si="4"/>
        <v>0</v>
      </c>
      <c r="BC34" s="39">
        <f t="shared" si="5"/>
        <v>0</v>
      </c>
      <c r="BD34" s="39">
        <f t="shared" si="6"/>
        <v>0</v>
      </c>
      <c r="BE34" s="39">
        <f t="shared" si="7"/>
        <v>0</v>
      </c>
      <c r="BF34" s="39">
        <f t="shared" si="8"/>
        <v>0</v>
      </c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34"/>
      <c r="CA34" s="18"/>
      <c r="CB34" s="20"/>
      <c r="CC34" s="36" t="str">
        <f>IFERROR(VLOOKUP('A1 (Aktivlər)'!CB34,List!Z:AA,2,0),"")</f>
      </c>
      <c r="CD34" s="34"/>
    </row>
    <row r="35" ht="21.75" customHeight="1" s="112" customFormat="1">
      <c r="A35" s="111">
        <v>21</v>
      </c>
      <c r="B35" s="35" t="str">
        <f t="shared" si="2"/>
      </c>
      <c r="C35" s="32"/>
      <c r="D35" s="33"/>
      <c r="E35" s="1"/>
      <c r="F35" s="36" t="str">
        <f>IFERROR(VLOOKUP('A1 (Aktivlər)'!E35,List!A:B,2,0),"")</f>
      </c>
      <c r="G35" s="1"/>
      <c r="H35" s="36" t="str">
        <f>IFERROR(VLOOKUP('A1 (Aktivlər)'!G35,List!G:H,2,0),"")</f>
      </c>
      <c r="I35" s="1"/>
      <c r="J35" s="36" t="str">
        <f>IFERROR(VLOOKUP('A1 (Aktivlər)'!I35,List!C:D,2,0),"")</f>
      </c>
      <c r="K35" s="1"/>
      <c r="L35" s="36" t="str">
        <f>IFERROR(VLOOKUP('A1 (Aktivlər)'!K35,List!E:F,2,0),"")</f>
      </c>
      <c r="M35" s="1"/>
      <c r="N35" s="36" t="str">
        <f>IFERROR(VLOOKUP('A1 (Aktivlər)'!M35,List!M:N,2,0),"")</f>
      </c>
      <c r="O35" s="1"/>
      <c r="P35" s="36" t="str">
        <f>IFERROR(VLOOKUP('A1 (Aktivlər)'!O35,List!S:T,2,0),"")</f>
      </c>
      <c r="Q35" s="1"/>
      <c r="R35" s="36" t="str">
        <f>IFERROR(VLOOKUP('A1 (Aktivlər)'!Q35,List!K:L,2,0),"")</f>
      </c>
      <c r="S35" s="16"/>
      <c r="T35" s="16"/>
      <c r="U35" s="17"/>
      <c r="V35" s="17"/>
      <c r="W35" s="20"/>
      <c r="X35" s="18"/>
      <c r="Y35" s="1"/>
      <c r="Z35" s="36" t="str">
        <f>IFERROR(VLOOKUP('A1 (Aktivlər)'!Y35,List!O:P,2,0),"")</f>
      </c>
      <c r="AA35" s="19"/>
      <c r="AB35" s="19"/>
      <c r="AC35" s="37">
        <f t="shared" si="0"/>
        <v>0</v>
      </c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21"/>
      <c r="AZ35" s="36" t="str">
        <f>IFERROR(VLOOKUP('A1 (Aktivlər)'!AY35,List!Q:R,2,0),"")</f>
      </c>
      <c r="BA35" s="38">
        <f t="shared" si="9"/>
        <v>0</v>
      </c>
      <c r="BB35" s="38">
        <f t="shared" si="4"/>
        <v>0</v>
      </c>
      <c r="BC35" s="39">
        <f t="shared" si="5"/>
        <v>0</v>
      </c>
      <c r="BD35" s="39">
        <f t="shared" si="6"/>
        <v>0</v>
      </c>
      <c r="BE35" s="39">
        <f t="shared" si="7"/>
        <v>0</v>
      </c>
      <c r="BF35" s="39">
        <f t="shared" si="8"/>
        <v>0</v>
      </c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34"/>
      <c r="CA35" s="18"/>
      <c r="CB35" s="20"/>
      <c r="CC35" s="36" t="str">
        <f>IFERROR(VLOOKUP('A1 (Aktivlər)'!CB35,List!Z:AA,2,0),"")</f>
      </c>
      <c r="CD35" s="34"/>
    </row>
    <row r="36" ht="21.75" customHeight="1" s="112" customFormat="1">
      <c r="A36" s="111">
        <v>22</v>
      </c>
      <c r="B36" s="35" t="str">
        <f t="shared" si="2"/>
      </c>
      <c r="C36" s="32"/>
      <c r="D36" s="33"/>
      <c r="E36" s="1"/>
      <c r="F36" s="36" t="str">
        <f>IFERROR(VLOOKUP('A1 (Aktivlər)'!E36,List!A:B,2,0),"")</f>
      </c>
      <c r="G36" s="1"/>
      <c r="H36" s="36" t="str">
        <f>IFERROR(VLOOKUP('A1 (Aktivlər)'!G36,List!G:H,2,0),"")</f>
      </c>
      <c r="I36" s="1"/>
      <c r="J36" s="36" t="str">
        <f>IFERROR(VLOOKUP('A1 (Aktivlər)'!I36,List!C:D,2,0),"")</f>
      </c>
      <c r="K36" s="1"/>
      <c r="L36" s="36" t="str">
        <f>IFERROR(VLOOKUP('A1 (Aktivlər)'!K36,List!E:F,2,0),"")</f>
      </c>
      <c r="M36" s="1"/>
      <c r="N36" s="36" t="str">
        <f>IFERROR(VLOOKUP('A1 (Aktivlər)'!M36,List!M:N,2,0),"")</f>
      </c>
      <c r="O36" s="1"/>
      <c r="P36" s="36" t="str">
        <f>IFERROR(VLOOKUP('A1 (Aktivlər)'!O36,List!S:T,2,0),"")</f>
      </c>
      <c r="Q36" s="1"/>
      <c r="R36" s="36" t="str">
        <f>IFERROR(VLOOKUP('A1 (Aktivlər)'!Q36,List!K:L,2,0),"")</f>
      </c>
      <c r="S36" s="16"/>
      <c r="T36" s="16"/>
      <c r="U36" s="17"/>
      <c r="V36" s="17"/>
      <c r="W36" s="20"/>
      <c r="X36" s="18"/>
      <c r="Y36" s="1"/>
      <c r="Z36" s="36" t="str">
        <f>IFERROR(VLOOKUP('A1 (Aktivlər)'!Y36,List!O:P,2,0),"")</f>
      </c>
      <c r="AA36" s="19"/>
      <c r="AB36" s="19"/>
      <c r="AC36" s="37">
        <f t="shared" si="0"/>
        <v>0</v>
      </c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21"/>
      <c r="AZ36" s="36" t="str">
        <f>IFERROR(VLOOKUP('A1 (Aktivlər)'!AY36,List!Q:R,2,0),"")</f>
      </c>
      <c r="BA36" s="38">
        <f t="shared" si="9"/>
        <v>0</v>
      </c>
      <c r="BB36" s="38">
        <f t="shared" si="4"/>
        <v>0</v>
      </c>
      <c r="BC36" s="39">
        <f t="shared" si="5"/>
        <v>0</v>
      </c>
      <c r="BD36" s="39">
        <f t="shared" si="6"/>
        <v>0</v>
      </c>
      <c r="BE36" s="39">
        <f t="shared" si="7"/>
        <v>0</v>
      </c>
      <c r="BF36" s="39">
        <f t="shared" si="8"/>
        <v>0</v>
      </c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34"/>
      <c r="CA36" s="18"/>
      <c r="CB36" s="20"/>
      <c r="CC36" s="36" t="str">
        <f>IFERROR(VLOOKUP('A1 (Aktivlər)'!CB36,List!Z:AA,2,0),"")</f>
      </c>
      <c r="CD36" s="34"/>
    </row>
    <row r="37" ht="21.75" customHeight="1" s="112" customFormat="1">
      <c r="A37" s="111">
        <v>23</v>
      </c>
      <c r="B37" s="35" t="str">
        <f t="shared" si="2"/>
      </c>
      <c r="C37" s="32"/>
      <c r="D37" s="33"/>
      <c r="E37" s="1"/>
      <c r="F37" s="36" t="str">
        <f>IFERROR(VLOOKUP('A1 (Aktivlər)'!E37,List!A:B,2,0),"")</f>
      </c>
      <c r="G37" s="1"/>
      <c r="H37" s="36" t="str">
        <f>IFERROR(VLOOKUP('A1 (Aktivlər)'!G37,List!G:H,2,0),"")</f>
      </c>
      <c r="I37" s="1"/>
      <c r="J37" s="36" t="str">
        <f>IFERROR(VLOOKUP('A1 (Aktivlər)'!I37,List!C:D,2,0),"")</f>
      </c>
      <c r="K37" s="1"/>
      <c r="L37" s="36" t="str">
        <f>IFERROR(VLOOKUP('A1 (Aktivlər)'!K37,List!E:F,2,0),"")</f>
      </c>
      <c r="M37" s="1"/>
      <c r="N37" s="36" t="str">
        <f>IFERROR(VLOOKUP('A1 (Aktivlər)'!M37,List!M:N,2,0),"")</f>
      </c>
      <c r="O37" s="1"/>
      <c r="P37" s="36" t="str">
        <f>IFERROR(VLOOKUP('A1 (Aktivlər)'!O37,List!S:T,2,0),"")</f>
      </c>
      <c r="Q37" s="1"/>
      <c r="R37" s="36" t="str">
        <f>IFERROR(VLOOKUP('A1 (Aktivlər)'!Q37,List!K:L,2,0),"")</f>
      </c>
      <c r="S37" s="16"/>
      <c r="T37" s="16"/>
      <c r="U37" s="17"/>
      <c r="V37" s="17"/>
      <c r="W37" s="20"/>
      <c r="X37" s="18"/>
      <c r="Y37" s="1"/>
      <c r="Z37" s="36" t="str">
        <f>IFERROR(VLOOKUP('A1 (Aktivlər)'!Y37,List!O:P,2,0),"")</f>
      </c>
      <c r="AA37" s="19"/>
      <c r="AB37" s="19"/>
      <c r="AC37" s="37">
        <f t="shared" si="0"/>
        <v>0</v>
      </c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21"/>
      <c r="AZ37" s="36" t="str">
        <f>IFERROR(VLOOKUP('A1 (Aktivlər)'!AY37,List!Q:R,2,0),"")</f>
      </c>
      <c r="BA37" s="38">
        <f t="shared" si="9"/>
        <v>0</v>
      </c>
      <c r="BB37" s="38">
        <f t="shared" si="4"/>
        <v>0</v>
      </c>
      <c r="BC37" s="39">
        <f t="shared" si="5"/>
        <v>0</v>
      </c>
      <c r="BD37" s="39">
        <f t="shared" si="6"/>
        <v>0</v>
      </c>
      <c r="BE37" s="39">
        <f t="shared" si="7"/>
        <v>0</v>
      </c>
      <c r="BF37" s="39">
        <f t="shared" si="8"/>
        <v>0</v>
      </c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34"/>
      <c r="CA37" s="18"/>
      <c r="CB37" s="20"/>
      <c r="CC37" s="36" t="str">
        <f>IFERROR(VLOOKUP('A1 (Aktivlər)'!CB37,List!Z:AA,2,0),"")</f>
      </c>
      <c r="CD37" s="34"/>
    </row>
    <row r="38" ht="21.75" customHeight="1" s="112" customFormat="1">
      <c r="A38" s="111">
        <v>24</v>
      </c>
      <c r="B38" s="35" t="str">
        <f t="shared" si="2"/>
      </c>
      <c r="C38" s="32"/>
      <c r="D38" s="33"/>
      <c r="E38" s="1"/>
      <c r="F38" s="36" t="str">
        <f>IFERROR(VLOOKUP('A1 (Aktivlər)'!E38,List!A:B,2,0),"")</f>
      </c>
      <c r="G38" s="1"/>
      <c r="H38" s="36" t="str">
        <f>IFERROR(VLOOKUP('A1 (Aktivlər)'!G38,List!G:H,2,0),"")</f>
      </c>
      <c r="I38" s="1"/>
      <c r="J38" s="36" t="str">
        <f>IFERROR(VLOOKUP('A1 (Aktivlər)'!I38,List!C:D,2,0),"")</f>
      </c>
      <c r="K38" s="1"/>
      <c r="L38" s="36" t="str">
        <f>IFERROR(VLOOKUP('A1 (Aktivlər)'!K38,List!E:F,2,0),"")</f>
      </c>
      <c r="M38" s="1"/>
      <c r="N38" s="36" t="str">
        <f>IFERROR(VLOOKUP('A1 (Aktivlər)'!M38,List!M:N,2,0),"")</f>
      </c>
      <c r="O38" s="1"/>
      <c r="P38" s="36" t="str">
        <f>IFERROR(VLOOKUP('A1 (Aktivlər)'!O38,List!S:T,2,0),"")</f>
      </c>
      <c r="Q38" s="1"/>
      <c r="R38" s="36" t="str">
        <f>IFERROR(VLOOKUP('A1 (Aktivlər)'!Q38,List!K:L,2,0),"")</f>
      </c>
      <c r="S38" s="16"/>
      <c r="T38" s="16"/>
      <c r="U38" s="17"/>
      <c r="V38" s="17"/>
      <c r="W38" s="20"/>
      <c r="X38" s="18"/>
      <c r="Y38" s="1"/>
      <c r="Z38" s="36" t="str">
        <f>IFERROR(VLOOKUP('A1 (Aktivlər)'!Y38,List!O:P,2,0),"")</f>
      </c>
      <c r="AA38" s="19"/>
      <c r="AB38" s="19"/>
      <c r="AC38" s="37">
        <f t="shared" si="0"/>
        <v>0</v>
      </c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21"/>
      <c r="AZ38" s="36" t="str">
        <f>IFERROR(VLOOKUP('A1 (Aktivlər)'!AY38,List!Q:R,2,0),"")</f>
      </c>
      <c r="BA38" s="38">
        <f t="shared" si="9"/>
        <v>0</v>
      </c>
      <c r="BB38" s="38">
        <f t="shared" si="4"/>
        <v>0</v>
      </c>
      <c r="BC38" s="39">
        <f t="shared" si="5"/>
        <v>0</v>
      </c>
      <c r="BD38" s="39">
        <f t="shared" si="6"/>
        <v>0</v>
      </c>
      <c r="BE38" s="39">
        <f t="shared" si="7"/>
        <v>0</v>
      </c>
      <c r="BF38" s="39">
        <f t="shared" si="8"/>
        <v>0</v>
      </c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34"/>
      <c r="CA38" s="18"/>
      <c r="CB38" s="20"/>
      <c r="CC38" s="36" t="str">
        <f>IFERROR(VLOOKUP('A1 (Aktivlər)'!CB38,List!Z:AA,2,0),"")</f>
      </c>
      <c r="CD38" s="34"/>
    </row>
    <row r="39" ht="21.75" customHeight="1" s="112" customFormat="1">
      <c r="A39" s="111">
        <v>25</v>
      </c>
      <c r="B39" s="35" t="str">
        <f t="shared" si="2"/>
      </c>
      <c r="C39" s="32"/>
      <c r="D39" s="33"/>
      <c r="E39" s="1"/>
      <c r="F39" s="36" t="str">
        <f>IFERROR(VLOOKUP('A1 (Aktivlər)'!E39,List!A:B,2,0),"")</f>
      </c>
      <c r="G39" s="1"/>
      <c r="H39" s="36" t="str">
        <f>IFERROR(VLOOKUP('A1 (Aktivlər)'!G39,List!G:H,2,0),"")</f>
      </c>
      <c r="I39" s="1"/>
      <c r="J39" s="36" t="str">
        <f>IFERROR(VLOOKUP('A1 (Aktivlər)'!I39,List!C:D,2,0),"")</f>
      </c>
      <c r="K39" s="1"/>
      <c r="L39" s="36" t="str">
        <f>IFERROR(VLOOKUP('A1 (Aktivlər)'!K39,List!E:F,2,0),"")</f>
      </c>
      <c r="M39" s="1"/>
      <c r="N39" s="36" t="str">
        <f>IFERROR(VLOOKUP('A1 (Aktivlər)'!M39,List!M:N,2,0),"")</f>
      </c>
      <c r="O39" s="1"/>
      <c r="P39" s="36" t="str">
        <f>IFERROR(VLOOKUP('A1 (Aktivlər)'!O39,List!S:T,2,0),"")</f>
      </c>
      <c r="Q39" s="1"/>
      <c r="R39" s="36" t="str">
        <f>IFERROR(VLOOKUP('A1 (Aktivlər)'!Q39,List!K:L,2,0),"")</f>
      </c>
      <c r="S39" s="16"/>
      <c r="T39" s="16"/>
      <c r="U39" s="17"/>
      <c r="V39" s="17"/>
      <c r="W39" s="20"/>
      <c r="X39" s="18"/>
      <c r="Y39" s="1"/>
      <c r="Z39" s="36" t="str">
        <f>IFERROR(VLOOKUP('A1 (Aktivlər)'!Y39,List!O:P,2,0),"")</f>
      </c>
      <c r="AA39" s="19"/>
      <c r="AB39" s="19"/>
      <c r="AC39" s="37">
        <f t="shared" si="0"/>
        <v>0</v>
      </c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21"/>
      <c r="AZ39" s="36" t="str">
        <f>IFERROR(VLOOKUP('A1 (Aktivlər)'!AY39,List!Q:R,2,0),"")</f>
      </c>
      <c r="BA39" s="38">
        <f t="shared" si="9"/>
        <v>0</v>
      </c>
      <c r="BB39" s="38">
        <f t="shared" si="4"/>
        <v>0</v>
      </c>
      <c r="BC39" s="39">
        <f t="shared" si="5"/>
        <v>0</v>
      </c>
      <c r="BD39" s="39">
        <f t="shared" si="6"/>
        <v>0</v>
      </c>
      <c r="BE39" s="39">
        <f t="shared" si="7"/>
        <v>0</v>
      </c>
      <c r="BF39" s="39">
        <f t="shared" si="8"/>
        <v>0</v>
      </c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34"/>
      <c r="CA39" s="18"/>
      <c r="CB39" s="20"/>
      <c r="CC39" s="36" t="str">
        <f>IFERROR(VLOOKUP('A1 (Aktivlər)'!CB39,List!Z:AA,2,0),"")</f>
      </c>
      <c r="CD39" s="34"/>
    </row>
    <row r="40" ht="21.75" customHeight="1" s="112" customFormat="1">
      <c r="A40" s="111">
        <v>26</v>
      </c>
      <c r="B40" s="35" t="str">
        <f t="shared" si="2"/>
      </c>
      <c r="C40" s="32"/>
      <c r="D40" s="33"/>
      <c r="E40" s="1"/>
      <c r="F40" s="36" t="str">
        <f>IFERROR(VLOOKUP('A1 (Aktivlər)'!E40,List!A:B,2,0),"")</f>
      </c>
      <c r="G40" s="1"/>
      <c r="H40" s="36" t="str">
        <f>IFERROR(VLOOKUP('A1 (Aktivlər)'!G40,List!G:H,2,0),"")</f>
      </c>
      <c r="I40" s="1"/>
      <c r="J40" s="36" t="str">
        <f>IFERROR(VLOOKUP('A1 (Aktivlər)'!I40,List!C:D,2,0),"")</f>
      </c>
      <c r="K40" s="1"/>
      <c r="L40" s="36" t="str">
        <f>IFERROR(VLOOKUP('A1 (Aktivlər)'!K40,List!E:F,2,0),"")</f>
      </c>
      <c r="M40" s="1"/>
      <c r="N40" s="36" t="str">
        <f>IFERROR(VLOOKUP('A1 (Aktivlər)'!M40,List!M:N,2,0),"")</f>
      </c>
      <c r="O40" s="1"/>
      <c r="P40" s="36" t="str">
        <f>IFERROR(VLOOKUP('A1 (Aktivlər)'!O40,List!S:T,2,0),"")</f>
      </c>
      <c r="Q40" s="1"/>
      <c r="R40" s="36" t="str">
        <f>IFERROR(VLOOKUP('A1 (Aktivlər)'!Q40,List!K:L,2,0),"")</f>
      </c>
      <c r="S40" s="16"/>
      <c r="T40" s="16"/>
      <c r="U40" s="17"/>
      <c r="V40" s="17"/>
      <c r="W40" s="20"/>
      <c r="X40" s="18"/>
      <c r="Y40" s="1"/>
      <c r="Z40" s="36" t="str">
        <f>IFERROR(VLOOKUP('A1 (Aktivlər)'!Y40,List!O:P,2,0),"")</f>
      </c>
      <c r="AA40" s="19"/>
      <c r="AB40" s="19"/>
      <c r="AC40" s="37">
        <f t="shared" si="0"/>
        <v>0</v>
      </c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21"/>
      <c r="AZ40" s="36" t="str">
        <f>IFERROR(VLOOKUP('A1 (Aktivlər)'!AY40,List!Q:R,2,0),"")</f>
      </c>
      <c r="BA40" s="38">
        <f t="shared" si="9"/>
        <v>0</v>
      </c>
      <c r="BB40" s="38">
        <f t="shared" si="4"/>
        <v>0</v>
      </c>
      <c r="BC40" s="39">
        <f t="shared" si="5"/>
        <v>0</v>
      </c>
      <c r="BD40" s="39">
        <f t="shared" si="6"/>
        <v>0</v>
      </c>
      <c r="BE40" s="39">
        <f t="shared" si="7"/>
        <v>0</v>
      </c>
      <c r="BF40" s="39">
        <f t="shared" si="8"/>
        <v>0</v>
      </c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34"/>
      <c r="CA40" s="18"/>
      <c r="CB40" s="20"/>
      <c r="CC40" s="36" t="str">
        <f>IFERROR(VLOOKUP('A1 (Aktivlər)'!CB40,List!Z:AA,2,0),"")</f>
      </c>
      <c r="CD40" s="34"/>
    </row>
    <row r="41" ht="21.75" customHeight="1" s="112" customFormat="1">
      <c r="A41" s="111">
        <v>27</v>
      </c>
      <c r="B41" s="35" t="str">
        <f t="shared" si="2"/>
      </c>
      <c r="C41" s="32"/>
      <c r="D41" s="33"/>
      <c r="E41" s="1"/>
      <c r="F41" s="36" t="str">
        <f>IFERROR(VLOOKUP('A1 (Aktivlər)'!E41,List!A:B,2,0),"")</f>
      </c>
      <c r="G41" s="1"/>
      <c r="H41" s="36" t="str">
        <f>IFERROR(VLOOKUP('A1 (Aktivlər)'!G41,List!G:H,2,0),"")</f>
      </c>
      <c r="I41" s="1"/>
      <c r="J41" s="36" t="str">
        <f>IFERROR(VLOOKUP('A1 (Aktivlər)'!I41,List!C:D,2,0),"")</f>
      </c>
      <c r="K41" s="1"/>
      <c r="L41" s="36" t="str">
        <f>IFERROR(VLOOKUP('A1 (Aktivlər)'!K41,List!E:F,2,0),"")</f>
      </c>
      <c r="M41" s="1"/>
      <c r="N41" s="36" t="str">
        <f>IFERROR(VLOOKUP('A1 (Aktivlər)'!M41,List!M:N,2,0),"")</f>
      </c>
      <c r="O41" s="1"/>
      <c r="P41" s="36" t="str">
        <f>IFERROR(VLOOKUP('A1 (Aktivlər)'!O41,List!S:T,2,0),"")</f>
      </c>
      <c r="Q41" s="1"/>
      <c r="R41" s="36" t="str">
        <f>IFERROR(VLOOKUP('A1 (Aktivlər)'!Q41,List!K:L,2,0),"")</f>
      </c>
      <c r="S41" s="16"/>
      <c r="T41" s="16"/>
      <c r="U41" s="17"/>
      <c r="V41" s="17"/>
      <c r="W41" s="20"/>
      <c r="X41" s="18"/>
      <c r="Y41" s="1"/>
      <c r="Z41" s="36" t="str">
        <f>IFERROR(VLOOKUP('A1 (Aktivlər)'!Y41,List!O:P,2,0),"")</f>
      </c>
      <c r="AA41" s="19"/>
      <c r="AB41" s="19"/>
      <c r="AC41" s="37">
        <f t="shared" si="0"/>
        <v>0</v>
      </c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21"/>
      <c r="AZ41" s="36" t="str">
        <f>IFERROR(VLOOKUP('A1 (Aktivlər)'!AY41,List!Q:R,2,0),"")</f>
      </c>
      <c r="BA41" s="38">
        <f t="shared" si="9"/>
        <v>0</v>
      </c>
      <c r="BB41" s="38">
        <f t="shared" si="4"/>
        <v>0</v>
      </c>
      <c r="BC41" s="39">
        <f t="shared" si="5"/>
        <v>0</v>
      </c>
      <c r="BD41" s="39">
        <f t="shared" si="6"/>
        <v>0</v>
      </c>
      <c r="BE41" s="39">
        <f t="shared" si="7"/>
        <v>0</v>
      </c>
      <c r="BF41" s="39">
        <f t="shared" si="8"/>
        <v>0</v>
      </c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34"/>
      <c r="CA41" s="18"/>
      <c r="CB41" s="20"/>
      <c r="CC41" s="36" t="str">
        <f>IFERROR(VLOOKUP('A1 (Aktivlər)'!CB41,List!Z:AA,2,0),"")</f>
      </c>
      <c r="CD41" s="34"/>
    </row>
    <row r="42" ht="21.75" customHeight="1" s="112" customFormat="1">
      <c r="A42" s="111">
        <v>28</v>
      </c>
      <c r="B42" s="35" t="str">
        <f t="shared" si="2"/>
      </c>
      <c r="C42" s="32"/>
      <c r="D42" s="33"/>
      <c r="E42" s="1"/>
      <c r="F42" s="36" t="str">
        <f>IFERROR(VLOOKUP('A1 (Aktivlər)'!E42,List!A:B,2,0),"")</f>
      </c>
      <c r="G42" s="1"/>
      <c r="H42" s="36" t="str">
        <f>IFERROR(VLOOKUP('A1 (Aktivlər)'!G42,List!G:H,2,0),"")</f>
      </c>
      <c r="I42" s="1"/>
      <c r="J42" s="36" t="str">
        <f>IFERROR(VLOOKUP('A1 (Aktivlər)'!I42,List!C:D,2,0),"")</f>
      </c>
      <c r="K42" s="1"/>
      <c r="L42" s="36" t="str">
        <f>IFERROR(VLOOKUP('A1 (Aktivlər)'!K42,List!E:F,2,0),"")</f>
      </c>
      <c r="M42" s="1"/>
      <c r="N42" s="36" t="str">
        <f>IFERROR(VLOOKUP('A1 (Aktivlər)'!M42,List!M:N,2,0),"")</f>
      </c>
      <c r="O42" s="1"/>
      <c r="P42" s="36" t="str">
        <f>IFERROR(VLOOKUP('A1 (Aktivlər)'!O42,List!S:T,2,0),"")</f>
      </c>
      <c r="Q42" s="1"/>
      <c r="R42" s="36" t="str">
        <f>IFERROR(VLOOKUP('A1 (Aktivlər)'!Q42,List!K:L,2,0),"")</f>
      </c>
      <c r="S42" s="16"/>
      <c r="T42" s="16"/>
      <c r="U42" s="17"/>
      <c r="V42" s="17"/>
      <c r="W42" s="20"/>
      <c r="X42" s="18"/>
      <c r="Y42" s="1"/>
      <c r="Z42" s="36" t="str">
        <f>IFERROR(VLOOKUP('A1 (Aktivlər)'!Y42,List!O:P,2,0),"")</f>
      </c>
      <c r="AA42" s="19"/>
      <c r="AB42" s="19"/>
      <c r="AC42" s="37">
        <f t="shared" si="0"/>
        <v>0</v>
      </c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21"/>
      <c r="AZ42" s="36" t="str">
        <f>IFERROR(VLOOKUP('A1 (Aktivlər)'!AY42,List!Q:R,2,0),"")</f>
      </c>
      <c r="BA42" s="38">
        <f t="shared" si="9"/>
        <v>0</v>
      </c>
      <c r="BB42" s="38">
        <f t="shared" si="4"/>
        <v>0</v>
      </c>
      <c r="BC42" s="39">
        <f t="shared" si="5"/>
        <v>0</v>
      </c>
      <c r="BD42" s="39">
        <f t="shared" si="6"/>
        <v>0</v>
      </c>
      <c r="BE42" s="39">
        <f t="shared" si="7"/>
        <v>0</v>
      </c>
      <c r="BF42" s="39">
        <f t="shared" si="8"/>
        <v>0</v>
      </c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34"/>
      <c r="CA42" s="18"/>
      <c r="CB42" s="20"/>
      <c r="CC42" s="36" t="str">
        <f>IFERROR(VLOOKUP('A1 (Aktivlər)'!CB42,List!Z:AA,2,0),"")</f>
      </c>
      <c r="CD42" s="34"/>
    </row>
    <row r="43" ht="21.75" customHeight="1" s="112" customFormat="1">
      <c r="A43" s="111">
        <v>29</v>
      </c>
      <c r="B43" s="35" t="str">
        <f t="shared" si="2"/>
      </c>
      <c r="C43" s="32"/>
      <c r="D43" s="33"/>
      <c r="E43" s="1"/>
      <c r="F43" s="36" t="str">
        <f>IFERROR(VLOOKUP('A1 (Aktivlər)'!E43,List!A:B,2,0),"")</f>
      </c>
      <c r="G43" s="1"/>
      <c r="H43" s="36" t="str">
        <f>IFERROR(VLOOKUP('A1 (Aktivlər)'!G43,List!G:H,2,0),"")</f>
      </c>
      <c r="I43" s="1"/>
      <c r="J43" s="36" t="str">
        <f>IFERROR(VLOOKUP('A1 (Aktivlər)'!I43,List!C:D,2,0),"")</f>
      </c>
      <c r="K43" s="1"/>
      <c r="L43" s="36" t="str">
        <f>IFERROR(VLOOKUP('A1 (Aktivlər)'!K43,List!E:F,2,0),"")</f>
      </c>
      <c r="M43" s="1"/>
      <c r="N43" s="36" t="str">
        <f>IFERROR(VLOOKUP('A1 (Aktivlər)'!M43,List!M:N,2,0),"")</f>
      </c>
      <c r="O43" s="1"/>
      <c r="P43" s="36" t="str">
        <f>IFERROR(VLOOKUP('A1 (Aktivlər)'!O43,List!S:T,2,0),"")</f>
      </c>
      <c r="Q43" s="1"/>
      <c r="R43" s="36" t="str">
        <f>IFERROR(VLOOKUP('A1 (Aktivlər)'!Q43,List!K:L,2,0),"")</f>
      </c>
      <c r="S43" s="16"/>
      <c r="T43" s="16"/>
      <c r="U43" s="17"/>
      <c r="V43" s="17"/>
      <c r="W43" s="20"/>
      <c r="X43" s="18"/>
      <c r="Y43" s="1"/>
      <c r="Z43" s="36" t="str">
        <f>IFERROR(VLOOKUP('A1 (Aktivlər)'!Y43,List!O:P,2,0),"")</f>
      </c>
      <c r="AA43" s="19"/>
      <c r="AB43" s="19"/>
      <c r="AC43" s="37">
        <f t="shared" si="0"/>
        <v>0</v>
      </c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21"/>
      <c r="AZ43" s="36" t="str">
        <f>IFERROR(VLOOKUP('A1 (Aktivlər)'!AY43,List!Q:R,2,0),"")</f>
      </c>
      <c r="BA43" s="38">
        <f>AB43+AH43-AM43+AR43+AT43</f>
        <v>0</v>
      </c>
      <c r="BB43" s="38">
        <f t="shared" si="4"/>
        <v>0</v>
      </c>
      <c r="BC43" s="39">
        <f t="shared" si="5"/>
        <v>0</v>
      </c>
      <c r="BD43" s="39">
        <f t="shared" si="6"/>
        <v>0</v>
      </c>
      <c r="BE43" s="39">
        <f t="shared" si="7"/>
        <v>0</v>
      </c>
      <c r="BF43" s="39">
        <f t="shared" si="8"/>
        <v>0</v>
      </c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34"/>
      <c r="CA43" s="18"/>
      <c r="CB43" s="20"/>
      <c r="CC43" s="36" t="str">
        <f>IFERROR(VLOOKUP('A1 (Aktivlər)'!CB43,List!Z:AA,2,0),"")</f>
      </c>
      <c r="CD43" s="34"/>
    </row>
    <row r="44" ht="21.75" customHeight="1" s="112" customFormat="1">
      <c r="A44" s="111">
        <v>30</v>
      </c>
      <c r="B44" s="35" t="str">
        <f ref="B44:B73" t="shared" si="11">IF((C44&amp;"-"&amp;D44&amp;"-"&amp;F44&amp;"-"&amp;H44&amp;"-"&amp;P44&amp;"-"&amp;N44)="-----","",(C44&amp;"-"&amp;D44&amp;"-"&amp;F44&amp;"-"&amp;H44&amp;"-"&amp;P44&amp;"-"&amp;N44))</f>
      </c>
      <c r="C44" s="32"/>
      <c r="D44" s="33"/>
      <c r="E44" s="1"/>
      <c r="F44" s="36" t="str">
        <f>IFERROR(VLOOKUP('A1 (Aktivlər)'!E44,List!A:B,2,0),"")</f>
      </c>
      <c r="G44" s="1"/>
      <c r="H44" s="36" t="str">
        <f>IFERROR(VLOOKUP('A1 (Aktivlər)'!G44,List!G:H,2,0),"")</f>
      </c>
      <c r="I44" s="1"/>
      <c r="J44" s="36" t="str">
        <f>IFERROR(VLOOKUP('A1 (Aktivlər)'!I44,List!C:D,2,0),"")</f>
      </c>
      <c r="K44" s="1"/>
      <c r="L44" s="36" t="str">
        <f>IFERROR(VLOOKUP('A1 (Aktivlər)'!K44,List!E:F,2,0),"")</f>
      </c>
      <c r="M44" s="1"/>
      <c r="N44" s="36" t="str">
        <f>IFERROR(VLOOKUP('A1 (Aktivlər)'!M44,List!M:N,2,0),"")</f>
      </c>
      <c r="O44" s="1"/>
      <c r="P44" s="36" t="str">
        <f>IFERROR(VLOOKUP('A1 (Aktivlər)'!O44,List!S:T,2,0),"")</f>
      </c>
      <c r="Q44" s="1"/>
      <c r="R44" s="36" t="str">
        <f>IFERROR(VLOOKUP('A1 (Aktivlər)'!Q44,List!K:L,2,0),"")</f>
      </c>
      <c r="S44" s="16"/>
      <c r="T44" s="16"/>
      <c r="U44" s="17"/>
      <c r="V44" s="17"/>
      <c r="W44" s="20"/>
      <c r="X44" s="18"/>
      <c r="Y44" s="1"/>
      <c r="Z44" s="36" t="str">
        <f>IFERROR(VLOOKUP('A1 (Aktivlər)'!Y44,List!O:P,2,0),"")</f>
      </c>
      <c r="AA44" s="19"/>
      <c r="AB44" s="19"/>
      <c r="AC44" s="37">
        <f ref="AC44:AC73" t="shared" si="12">AD44+AF44</f>
        <v>0</v>
      </c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21"/>
      <c r="AZ44" s="36" t="str">
        <f>IFERROR(VLOOKUP('A1 (Aktivlər)'!AY44,List!Q:R,2,0),"")</f>
      </c>
      <c r="BA44" s="38">
        <f ref="BA44:BA73" t="shared" si="13">AB44+AH44-AM44+AR44+AT44</f>
        <v>0</v>
      </c>
      <c r="BB44" s="38">
        <f ref="BB44:BB73" t="shared" si="14">BC44+BE44</f>
        <v>0</v>
      </c>
      <c r="BC44" s="39">
        <f ref="BC44:BC73" t="shared" si="15">AD44+AI44-AN44+AS44+AU44</f>
        <v>0</v>
      </c>
      <c r="BD44" s="39">
        <f ref="BD44:BD73" t="shared" si="16">AE44+AJ44-AO44+AV44</f>
        <v>0</v>
      </c>
      <c r="BE44" s="39">
        <f ref="BE44:BE73" t="shared" si="17">AF44+AK44-AP44+AW44</f>
        <v>0</v>
      </c>
      <c r="BF44" s="39">
        <f ref="BF44:BF73" t="shared" si="18">AG44+AL44-AQ44+AX44</f>
        <v>0</v>
      </c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34"/>
      <c r="CA44" s="18"/>
      <c r="CB44" s="20"/>
      <c r="CC44" s="36" t="str">
        <f>IFERROR(VLOOKUP('A1 (Aktivlər)'!CB44,List!Z:AA,2,0),"")</f>
      </c>
      <c r="CD44" s="34"/>
    </row>
    <row r="45" ht="21.75" customHeight="1" s="112" customFormat="1">
      <c r="A45" s="111">
        <v>31</v>
      </c>
      <c r="B45" s="35" t="str">
        <f t="shared" si="11"/>
      </c>
      <c r="C45" s="32"/>
      <c r="D45" s="33"/>
      <c r="E45" s="1"/>
      <c r="F45" s="36" t="str">
        <f>IFERROR(VLOOKUP('A1 (Aktivlər)'!E45,List!A:B,2,0),"")</f>
      </c>
      <c r="G45" s="1"/>
      <c r="H45" s="36" t="str">
        <f>IFERROR(VLOOKUP('A1 (Aktivlər)'!G45,List!G:H,2,0),"")</f>
      </c>
      <c r="I45" s="1"/>
      <c r="J45" s="36" t="str">
        <f>IFERROR(VLOOKUP('A1 (Aktivlər)'!I45,List!C:D,2,0),"")</f>
      </c>
      <c r="K45" s="1"/>
      <c r="L45" s="36" t="str">
        <f>IFERROR(VLOOKUP('A1 (Aktivlər)'!K45,List!E:F,2,0),"")</f>
      </c>
      <c r="M45" s="1"/>
      <c r="N45" s="36" t="str">
        <f>IFERROR(VLOOKUP('A1 (Aktivlər)'!M45,List!M:N,2,0),"")</f>
      </c>
      <c r="O45" s="1"/>
      <c r="P45" s="36" t="str">
        <f>IFERROR(VLOOKUP('A1 (Aktivlər)'!O45,List!S:T,2,0),"")</f>
      </c>
      <c r="Q45" s="1"/>
      <c r="R45" s="36" t="str">
        <f>IFERROR(VLOOKUP('A1 (Aktivlər)'!Q45,List!K:L,2,0),"")</f>
      </c>
      <c r="S45" s="16"/>
      <c r="T45" s="16"/>
      <c r="U45" s="17"/>
      <c r="V45" s="17"/>
      <c r="W45" s="20"/>
      <c r="X45" s="18"/>
      <c r="Y45" s="1"/>
      <c r="Z45" s="36" t="str">
        <f>IFERROR(VLOOKUP('A1 (Aktivlər)'!Y45,List!O:P,2,0),"")</f>
      </c>
      <c r="AA45" s="19"/>
      <c r="AB45" s="19"/>
      <c r="AC45" s="37">
        <f t="shared" si="12"/>
        <v>0</v>
      </c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21"/>
      <c r="AZ45" s="36" t="str">
        <f>IFERROR(VLOOKUP('A1 (Aktivlər)'!AY45,List!Q:R,2,0),"")</f>
      </c>
      <c r="BA45" s="38">
        <f t="shared" si="13"/>
        <v>0</v>
      </c>
      <c r="BB45" s="38">
        <f t="shared" si="14"/>
        <v>0</v>
      </c>
      <c r="BC45" s="39">
        <f t="shared" si="15"/>
        <v>0</v>
      </c>
      <c r="BD45" s="39">
        <f t="shared" si="16"/>
        <v>0</v>
      </c>
      <c r="BE45" s="39">
        <f t="shared" si="17"/>
        <v>0</v>
      </c>
      <c r="BF45" s="39">
        <f t="shared" si="18"/>
        <v>0</v>
      </c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19"/>
      <c r="BZ45" s="34"/>
      <c r="CA45" s="18"/>
      <c r="CB45" s="20"/>
      <c r="CC45" s="36" t="str">
        <f>IFERROR(VLOOKUP('A1 (Aktivlər)'!CB45,List!Z:AA,2,0),"")</f>
      </c>
      <c r="CD45" s="34"/>
    </row>
    <row r="46" ht="21.75" customHeight="1" s="112" customFormat="1">
      <c r="A46" s="111">
        <v>32</v>
      </c>
      <c r="B46" s="35" t="str">
        <f t="shared" si="11"/>
      </c>
      <c r="C46" s="32"/>
      <c r="D46" s="33"/>
      <c r="E46" s="1"/>
      <c r="F46" s="36" t="str">
        <f>IFERROR(VLOOKUP('A1 (Aktivlər)'!E46,List!A:B,2,0),"")</f>
      </c>
      <c r="G46" s="1"/>
      <c r="H46" s="36" t="str">
        <f>IFERROR(VLOOKUP('A1 (Aktivlər)'!G46,List!G:H,2,0),"")</f>
      </c>
      <c r="I46" s="1"/>
      <c r="J46" s="36" t="str">
        <f>IFERROR(VLOOKUP('A1 (Aktivlər)'!I46,List!C:D,2,0),"")</f>
      </c>
      <c r="K46" s="1"/>
      <c r="L46" s="36" t="str">
        <f>IFERROR(VLOOKUP('A1 (Aktivlər)'!K46,List!E:F,2,0),"")</f>
      </c>
      <c r="M46" s="1"/>
      <c r="N46" s="36" t="str">
        <f>IFERROR(VLOOKUP('A1 (Aktivlər)'!M46,List!M:N,2,0),"")</f>
      </c>
      <c r="O46" s="1"/>
      <c r="P46" s="36" t="str">
        <f>IFERROR(VLOOKUP('A1 (Aktivlər)'!O46,List!S:T,2,0),"")</f>
      </c>
      <c r="Q46" s="1"/>
      <c r="R46" s="36" t="str">
        <f>IFERROR(VLOOKUP('A1 (Aktivlər)'!Q46,List!K:L,2,0),"")</f>
      </c>
      <c r="S46" s="16"/>
      <c r="T46" s="16"/>
      <c r="U46" s="17"/>
      <c r="V46" s="17"/>
      <c r="W46" s="20"/>
      <c r="X46" s="18"/>
      <c r="Y46" s="1"/>
      <c r="Z46" s="36" t="str">
        <f>IFERROR(VLOOKUP('A1 (Aktivlər)'!Y46,List!O:P,2,0),"")</f>
      </c>
      <c r="AA46" s="19"/>
      <c r="AB46" s="19"/>
      <c r="AC46" s="37">
        <f t="shared" si="12"/>
        <v>0</v>
      </c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21"/>
      <c r="AZ46" s="36" t="str">
        <f>IFERROR(VLOOKUP('A1 (Aktivlər)'!AY46,List!Q:R,2,0),"")</f>
      </c>
      <c r="BA46" s="38">
        <f t="shared" si="13"/>
        <v>0</v>
      </c>
      <c r="BB46" s="38">
        <f t="shared" si="14"/>
        <v>0</v>
      </c>
      <c r="BC46" s="39">
        <f t="shared" si="15"/>
        <v>0</v>
      </c>
      <c r="BD46" s="39">
        <f t="shared" si="16"/>
        <v>0</v>
      </c>
      <c r="BE46" s="39">
        <f t="shared" si="17"/>
        <v>0</v>
      </c>
      <c r="BF46" s="39">
        <f t="shared" si="18"/>
        <v>0</v>
      </c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  <c r="BZ46" s="34"/>
      <c r="CA46" s="18"/>
      <c r="CB46" s="20"/>
      <c r="CC46" s="36" t="str">
        <f>IFERROR(VLOOKUP('A1 (Aktivlər)'!CB46,List!Z:AA,2,0),"")</f>
      </c>
      <c r="CD46" s="34"/>
    </row>
    <row r="47" ht="21.75" customHeight="1" s="112" customFormat="1">
      <c r="A47" s="111">
        <v>33</v>
      </c>
      <c r="B47" s="35" t="str">
        <f t="shared" si="11"/>
      </c>
      <c r="C47" s="32"/>
      <c r="D47" s="33"/>
      <c r="E47" s="1"/>
      <c r="F47" s="36" t="str">
        <f>IFERROR(VLOOKUP('A1 (Aktivlər)'!E47,List!A:B,2,0),"")</f>
      </c>
      <c r="G47" s="1"/>
      <c r="H47" s="36" t="str">
        <f>IFERROR(VLOOKUP('A1 (Aktivlər)'!G47,List!G:H,2,0),"")</f>
      </c>
      <c r="I47" s="1"/>
      <c r="J47" s="36" t="str">
        <f>IFERROR(VLOOKUP('A1 (Aktivlər)'!I47,List!C:D,2,0),"")</f>
      </c>
      <c r="K47" s="1"/>
      <c r="L47" s="36" t="str">
        <f>IFERROR(VLOOKUP('A1 (Aktivlər)'!K47,List!E:F,2,0),"")</f>
      </c>
      <c r="M47" s="1"/>
      <c r="N47" s="36" t="str">
        <f>IFERROR(VLOOKUP('A1 (Aktivlər)'!M47,List!M:N,2,0),"")</f>
      </c>
      <c r="O47" s="1"/>
      <c r="P47" s="36" t="str">
        <f>IFERROR(VLOOKUP('A1 (Aktivlər)'!O47,List!S:T,2,0),"")</f>
      </c>
      <c r="Q47" s="1"/>
      <c r="R47" s="36" t="str">
        <f>IFERROR(VLOOKUP('A1 (Aktivlər)'!Q47,List!K:L,2,0),"")</f>
      </c>
      <c r="S47" s="16"/>
      <c r="T47" s="16"/>
      <c r="U47" s="17"/>
      <c r="V47" s="17"/>
      <c r="W47" s="20"/>
      <c r="X47" s="18"/>
      <c r="Y47" s="1"/>
      <c r="Z47" s="36" t="str">
        <f>IFERROR(VLOOKUP('A1 (Aktivlər)'!Y47,List!O:P,2,0),"")</f>
      </c>
      <c r="AA47" s="19"/>
      <c r="AB47" s="19"/>
      <c r="AC47" s="37">
        <f t="shared" si="12"/>
        <v>0</v>
      </c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21"/>
      <c r="AZ47" s="36" t="str">
        <f>IFERROR(VLOOKUP('A1 (Aktivlər)'!AY47,List!Q:R,2,0),"")</f>
      </c>
      <c r="BA47" s="38">
        <f t="shared" si="13"/>
        <v>0</v>
      </c>
      <c r="BB47" s="38">
        <f t="shared" si="14"/>
        <v>0</v>
      </c>
      <c r="BC47" s="39">
        <f t="shared" si="15"/>
        <v>0</v>
      </c>
      <c r="BD47" s="39">
        <f t="shared" si="16"/>
        <v>0</v>
      </c>
      <c r="BE47" s="39">
        <f t="shared" si="17"/>
        <v>0</v>
      </c>
      <c r="BF47" s="39">
        <f t="shared" si="18"/>
        <v>0</v>
      </c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  <c r="BZ47" s="34"/>
      <c r="CA47" s="18"/>
      <c r="CB47" s="20"/>
      <c r="CC47" s="36" t="str">
        <f>IFERROR(VLOOKUP('A1 (Aktivlər)'!CB47,List!Z:AA,2,0),"")</f>
      </c>
      <c r="CD47" s="34"/>
    </row>
    <row r="48" ht="21.75" customHeight="1" s="112" customFormat="1">
      <c r="A48" s="111">
        <v>34</v>
      </c>
      <c r="B48" s="35" t="str">
        <f t="shared" si="11"/>
      </c>
      <c r="C48" s="32"/>
      <c r="D48" s="33"/>
      <c r="E48" s="1"/>
      <c r="F48" s="36" t="str">
        <f>IFERROR(VLOOKUP('A1 (Aktivlər)'!E48,List!A:B,2,0),"")</f>
      </c>
      <c r="G48" s="1"/>
      <c r="H48" s="36" t="str">
        <f>IFERROR(VLOOKUP('A1 (Aktivlər)'!G48,List!G:H,2,0),"")</f>
      </c>
      <c r="I48" s="1"/>
      <c r="J48" s="36" t="str">
        <f>IFERROR(VLOOKUP('A1 (Aktivlər)'!I48,List!C:D,2,0),"")</f>
      </c>
      <c r="K48" s="1"/>
      <c r="L48" s="36" t="str">
        <f>IFERROR(VLOOKUP('A1 (Aktivlər)'!K48,List!E:F,2,0),"")</f>
      </c>
      <c r="M48" s="1"/>
      <c r="N48" s="36" t="str">
        <f>IFERROR(VLOOKUP('A1 (Aktivlər)'!M48,List!M:N,2,0),"")</f>
      </c>
      <c r="O48" s="1"/>
      <c r="P48" s="36" t="str">
        <f>IFERROR(VLOOKUP('A1 (Aktivlər)'!O48,List!S:T,2,0),"")</f>
      </c>
      <c r="Q48" s="1"/>
      <c r="R48" s="36" t="str">
        <f>IFERROR(VLOOKUP('A1 (Aktivlər)'!Q48,List!K:L,2,0),"")</f>
      </c>
      <c r="S48" s="16"/>
      <c r="T48" s="16"/>
      <c r="U48" s="17"/>
      <c r="V48" s="17"/>
      <c r="W48" s="20"/>
      <c r="X48" s="18"/>
      <c r="Y48" s="1"/>
      <c r="Z48" s="36" t="str">
        <f>IFERROR(VLOOKUP('A1 (Aktivlər)'!Y48,List!O:P,2,0),"")</f>
      </c>
      <c r="AA48" s="19"/>
      <c r="AB48" s="19"/>
      <c r="AC48" s="37">
        <f t="shared" si="12"/>
        <v>0</v>
      </c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21"/>
      <c r="AZ48" s="36" t="str">
        <f>IFERROR(VLOOKUP('A1 (Aktivlər)'!AY48,List!Q:R,2,0),"")</f>
      </c>
      <c r="BA48" s="38">
        <f t="shared" si="13"/>
        <v>0</v>
      </c>
      <c r="BB48" s="38">
        <f t="shared" si="14"/>
        <v>0</v>
      </c>
      <c r="BC48" s="39">
        <f t="shared" si="15"/>
        <v>0</v>
      </c>
      <c r="BD48" s="39">
        <f t="shared" si="16"/>
        <v>0</v>
      </c>
      <c r="BE48" s="39">
        <f t="shared" si="17"/>
        <v>0</v>
      </c>
      <c r="BF48" s="39">
        <f t="shared" si="18"/>
        <v>0</v>
      </c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19"/>
      <c r="BZ48" s="34"/>
      <c r="CA48" s="18"/>
      <c r="CB48" s="20"/>
      <c r="CC48" s="36" t="str">
        <f>IFERROR(VLOOKUP('A1 (Aktivlər)'!CB48,List!Z:AA,2,0),"")</f>
      </c>
      <c r="CD48" s="34"/>
    </row>
    <row r="49" ht="21.75" customHeight="1" s="112" customFormat="1">
      <c r="A49" s="111">
        <v>35</v>
      </c>
      <c r="B49" s="35" t="str">
        <f t="shared" si="11"/>
      </c>
      <c r="C49" s="32"/>
      <c r="D49" s="33"/>
      <c r="E49" s="1"/>
      <c r="F49" s="36" t="str">
        <f>IFERROR(VLOOKUP('A1 (Aktivlər)'!E49,List!A:B,2,0),"")</f>
      </c>
      <c r="G49" s="1"/>
      <c r="H49" s="36" t="str">
        <f>IFERROR(VLOOKUP('A1 (Aktivlər)'!G49,List!G:H,2,0),"")</f>
      </c>
      <c r="I49" s="1"/>
      <c r="J49" s="36" t="str">
        <f>IFERROR(VLOOKUP('A1 (Aktivlər)'!I49,List!C:D,2,0),"")</f>
      </c>
      <c r="K49" s="1"/>
      <c r="L49" s="36" t="str">
        <f>IFERROR(VLOOKUP('A1 (Aktivlər)'!K49,List!E:F,2,0),"")</f>
      </c>
      <c r="M49" s="1"/>
      <c r="N49" s="36" t="str">
        <f>IFERROR(VLOOKUP('A1 (Aktivlər)'!M49,List!M:N,2,0),"")</f>
      </c>
      <c r="O49" s="1"/>
      <c r="P49" s="36" t="str">
        <f>IFERROR(VLOOKUP('A1 (Aktivlər)'!O49,List!S:T,2,0),"")</f>
      </c>
      <c r="Q49" s="1"/>
      <c r="R49" s="36" t="str">
        <f>IFERROR(VLOOKUP('A1 (Aktivlər)'!Q49,List!K:L,2,0),"")</f>
      </c>
      <c r="S49" s="16"/>
      <c r="T49" s="16"/>
      <c r="U49" s="17"/>
      <c r="V49" s="17"/>
      <c r="W49" s="20"/>
      <c r="X49" s="18"/>
      <c r="Y49" s="1"/>
      <c r="Z49" s="36" t="str">
        <f>IFERROR(VLOOKUP('A1 (Aktivlər)'!Y49,List!O:P,2,0),"")</f>
      </c>
      <c r="AA49" s="19"/>
      <c r="AB49" s="19"/>
      <c r="AC49" s="37">
        <f t="shared" si="12"/>
        <v>0</v>
      </c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21"/>
      <c r="AZ49" s="36" t="str">
        <f>IFERROR(VLOOKUP('A1 (Aktivlər)'!AY49,List!Q:R,2,0),"")</f>
      </c>
      <c r="BA49" s="38">
        <f t="shared" si="13"/>
        <v>0</v>
      </c>
      <c r="BB49" s="38">
        <f t="shared" si="14"/>
        <v>0</v>
      </c>
      <c r="BC49" s="39">
        <f t="shared" si="15"/>
        <v>0</v>
      </c>
      <c r="BD49" s="39">
        <f t="shared" si="16"/>
        <v>0</v>
      </c>
      <c r="BE49" s="39">
        <f t="shared" si="17"/>
        <v>0</v>
      </c>
      <c r="BF49" s="39">
        <f t="shared" si="18"/>
        <v>0</v>
      </c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34"/>
      <c r="CA49" s="18"/>
      <c r="CB49" s="20"/>
      <c r="CC49" s="36" t="str">
        <f>IFERROR(VLOOKUP('A1 (Aktivlər)'!CB49,List!Z:AA,2,0),"")</f>
      </c>
      <c r="CD49" s="34"/>
    </row>
    <row r="50" ht="21.75" customHeight="1" s="112" customFormat="1">
      <c r="A50" s="111">
        <v>36</v>
      </c>
      <c r="B50" s="35" t="str">
        <f t="shared" si="11"/>
      </c>
      <c r="C50" s="32"/>
      <c r="D50" s="33"/>
      <c r="E50" s="1"/>
      <c r="F50" s="36" t="str">
        <f>IFERROR(VLOOKUP('A1 (Aktivlər)'!E50,List!A:B,2,0),"")</f>
      </c>
      <c r="G50" s="1"/>
      <c r="H50" s="36" t="str">
        <f>IFERROR(VLOOKUP('A1 (Aktivlər)'!G50,List!G:H,2,0),"")</f>
      </c>
      <c r="I50" s="1"/>
      <c r="J50" s="36" t="str">
        <f>IFERROR(VLOOKUP('A1 (Aktivlər)'!I50,List!C:D,2,0),"")</f>
      </c>
      <c r="K50" s="1"/>
      <c r="L50" s="36" t="str">
        <f>IFERROR(VLOOKUP('A1 (Aktivlər)'!K50,List!E:F,2,0),"")</f>
      </c>
      <c r="M50" s="1"/>
      <c r="N50" s="36" t="str">
        <f>IFERROR(VLOOKUP('A1 (Aktivlər)'!M50,List!M:N,2,0),"")</f>
      </c>
      <c r="O50" s="1"/>
      <c r="P50" s="36" t="str">
        <f>IFERROR(VLOOKUP('A1 (Aktivlər)'!O50,List!S:T,2,0),"")</f>
      </c>
      <c r="Q50" s="1"/>
      <c r="R50" s="36" t="str">
        <f>IFERROR(VLOOKUP('A1 (Aktivlər)'!Q50,List!K:L,2,0),"")</f>
      </c>
      <c r="S50" s="16"/>
      <c r="T50" s="16"/>
      <c r="U50" s="17"/>
      <c r="V50" s="17"/>
      <c r="W50" s="20"/>
      <c r="X50" s="18"/>
      <c r="Y50" s="1"/>
      <c r="Z50" s="36" t="str">
        <f>IFERROR(VLOOKUP('A1 (Aktivlər)'!Y50,List!O:P,2,0),"")</f>
      </c>
      <c r="AA50" s="19"/>
      <c r="AB50" s="19"/>
      <c r="AC50" s="37">
        <f t="shared" si="12"/>
        <v>0</v>
      </c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21"/>
      <c r="AZ50" s="36" t="str">
        <f>IFERROR(VLOOKUP('A1 (Aktivlər)'!AY50,List!Q:R,2,0),"")</f>
      </c>
      <c r="BA50" s="38">
        <f t="shared" si="13"/>
        <v>0</v>
      </c>
      <c r="BB50" s="38">
        <f t="shared" si="14"/>
        <v>0</v>
      </c>
      <c r="BC50" s="39">
        <f t="shared" si="15"/>
        <v>0</v>
      </c>
      <c r="BD50" s="39">
        <f t="shared" si="16"/>
        <v>0</v>
      </c>
      <c r="BE50" s="39">
        <f t="shared" si="17"/>
        <v>0</v>
      </c>
      <c r="BF50" s="39">
        <f t="shared" si="18"/>
        <v>0</v>
      </c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  <c r="BZ50" s="34"/>
      <c r="CA50" s="18"/>
      <c r="CB50" s="20"/>
      <c r="CC50" s="36" t="str">
        <f>IFERROR(VLOOKUP('A1 (Aktivlər)'!CB50,List!Z:AA,2,0),"")</f>
      </c>
      <c r="CD50" s="34"/>
    </row>
    <row r="51" ht="21.75" customHeight="1" s="112" customFormat="1">
      <c r="A51" s="111">
        <v>37</v>
      </c>
      <c r="B51" s="35" t="str">
        <f t="shared" si="11"/>
      </c>
      <c r="C51" s="32"/>
      <c r="D51" s="33"/>
      <c r="E51" s="1"/>
      <c r="F51" s="36" t="str">
        <f>IFERROR(VLOOKUP('A1 (Aktivlər)'!E51,List!A:B,2,0),"")</f>
      </c>
      <c r="G51" s="1"/>
      <c r="H51" s="36" t="str">
        <f>IFERROR(VLOOKUP('A1 (Aktivlər)'!G51,List!G:H,2,0),"")</f>
      </c>
      <c r="I51" s="1"/>
      <c r="J51" s="36" t="str">
        <f>IFERROR(VLOOKUP('A1 (Aktivlər)'!I51,List!C:D,2,0),"")</f>
      </c>
      <c r="K51" s="1"/>
      <c r="L51" s="36" t="str">
        <f>IFERROR(VLOOKUP('A1 (Aktivlər)'!K51,List!E:F,2,0),"")</f>
      </c>
      <c r="M51" s="1"/>
      <c r="N51" s="36" t="str">
        <f>IFERROR(VLOOKUP('A1 (Aktivlər)'!M51,List!M:N,2,0),"")</f>
      </c>
      <c r="O51" s="1"/>
      <c r="P51" s="36" t="str">
        <f>IFERROR(VLOOKUP('A1 (Aktivlər)'!O51,List!S:T,2,0),"")</f>
      </c>
      <c r="Q51" s="1"/>
      <c r="R51" s="36" t="str">
        <f>IFERROR(VLOOKUP('A1 (Aktivlər)'!Q51,List!K:L,2,0),"")</f>
      </c>
      <c r="S51" s="16"/>
      <c r="T51" s="16"/>
      <c r="U51" s="17"/>
      <c r="V51" s="17"/>
      <c r="W51" s="20"/>
      <c r="X51" s="18"/>
      <c r="Y51" s="1"/>
      <c r="Z51" s="36" t="str">
        <f>IFERROR(VLOOKUP('A1 (Aktivlər)'!Y51,List!O:P,2,0),"")</f>
      </c>
      <c r="AA51" s="19"/>
      <c r="AB51" s="19"/>
      <c r="AC51" s="37">
        <f t="shared" si="12"/>
        <v>0</v>
      </c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21"/>
      <c r="AZ51" s="36" t="str">
        <f>IFERROR(VLOOKUP('A1 (Aktivlər)'!AY51,List!Q:R,2,0),"")</f>
      </c>
      <c r="BA51" s="38">
        <f t="shared" si="13"/>
        <v>0</v>
      </c>
      <c r="BB51" s="38">
        <f t="shared" si="14"/>
        <v>0</v>
      </c>
      <c r="BC51" s="39">
        <f t="shared" si="15"/>
        <v>0</v>
      </c>
      <c r="BD51" s="39">
        <f t="shared" si="16"/>
        <v>0</v>
      </c>
      <c r="BE51" s="39">
        <f t="shared" si="17"/>
        <v>0</v>
      </c>
      <c r="BF51" s="39">
        <f t="shared" si="18"/>
        <v>0</v>
      </c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34"/>
      <c r="CA51" s="18"/>
      <c r="CB51" s="20"/>
      <c r="CC51" s="36" t="str">
        <f>IFERROR(VLOOKUP('A1 (Aktivlər)'!CB51,List!Z:AA,2,0),"")</f>
      </c>
      <c r="CD51" s="34"/>
    </row>
    <row r="52" ht="21.75" customHeight="1" s="112" customFormat="1">
      <c r="A52" s="111">
        <v>38</v>
      </c>
      <c r="B52" s="35" t="str">
        <f t="shared" si="11"/>
      </c>
      <c r="C52" s="32"/>
      <c r="D52" s="33"/>
      <c r="E52" s="1"/>
      <c r="F52" s="36" t="str">
        <f>IFERROR(VLOOKUP('A1 (Aktivlər)'!E52,List!A:B,2,0),"")</f>
      </c>
      <c r="G52" s="1"/>
      <c r="H52" s="36" t="str">
        <f>IFERROR(VLOOKUP('A1 (Aktivlər)'!G52,List!G:H,2,0),"")</f>
      </c>
      <c r="I52" s="1"/>
      <c r="J52" s="36" t="str">
        <f>IFERROR(VLOOKUP('A1 (Aktivlər)'!I52,List!C:D,2,0),"")</f>
      </c>
      <c r="K52" s="1"/>
      <c r="L52" s="36" t="str">
        <f>IFERROR(VLOOKUP('A1 (Aktivlər)'!K52,List!E:F,2,0),"")</f>
      </c>
      <c r="M52" s="1"/>
      <c r="N52" s="36" t="str">
        <f>IFERROR(VLOOKUP('A1 (Aktivlər)'!M52,List!M:N,2,0),"")</f>
      </c>
      <c r="O52" s="1"/>
      <c r="P52" s="36" t="str">
        <f>IFERROR(VLOOKUP('A1 (Aktivlər)'!O52,List!S:T,2,0),"")</f>
      </c>
      <c r="Q52" s="1"/>
      <c r="R52" s="36" t="str">
        <f>IFERROR(VLOOKUP('A1 (Aktivlər)'!Q52,List!K:L,2,0),"")</f>
      </c>
      <c r="S52" s="16"/>
      <c r="T52" s="16"/>
      <c r="U52" s="17"/>
      <c r="V52" s="17"/>
      <c r="W52" s="20"/>
      <c r="X52" s="18"/>
      <c r="Y52" s="1"/>
      <c r="Z52" s="36" t="str">
        <f>IFERROR(VLOOKUP('A1 (Aktivlər)'!Y52,List!O:P,2,0),"")</f>
      </c>
      <c r="AA52" s="19"/>
      <c r="AB52" s="19"/>
      <c r="AC52" s="37">
        <f t="shared" si="12"/>
        <v>0</v>
      </c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21"/>
      <c r="AZ52" s="36" t="str">
        <f>IFERROR(VLOOKUP('A1 (Aktivlər)'!AY52,List!Q:R,2,0),"")</f>
      </c>
      <c r="BA52" s="38">
        <f t="shared" si="13"/>
        <v>0</v>
      </c>
      <c r="BB52" s="38">
        <f t="shared" si="14"/>
        <v>0</v>
      </c>
      <c r="BC52" s="39">
        <f t="shared" si="15"/>
        <v>0</v>
      </c>
      <c r="BD52" s="39">
        <f t="shared" si="16"/>
        <v>0</v>
      </c>
      <c r="BE52" s="39">
        <f t="shared" si="17"/>
        <v>0</v>
      </c>
      <c r="BF52" s="39">
        <f t="shared" si="18"/>
        <v>0</v>
      </c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34"/>
      <c r="CA52" s="18"/>
      <c r="CB52" s="20"/>
      <c r="CC52" s="36" t="str">
        <f>IFERROR(VLOOKUP('A1 (Aktivlər)'!CB52,List!Z:AA,2,0),"")</f>
      </c>
      <c r="CD52" s="34"/>
    </row>
    <row r="53" ht="21.75" customHeight="1" s="112" customFormat="1">
      <c r="A53" s="111">
        <v>39</v>
      </c>
      <c r="B53" s="35" t="str">
        <f t="shared" si="11"/>
      </c>
      <c r="C53" s="32"/>
      <c r="D53" s="33"/>
      <c r="E53" s="1"/>
      <c r="F53" s="36" t="str">
        <f>IFERROR(VLOOKUP('A1 (Aktivlər)'!E53,List!A:B,2,0),"")</f>
      </c>
      <c r="G53" s="1"/>
      <c r="H53" s="36" t="str">
        <f>IFERROR(VLOOKUP('A1 (Aktivlər)'!G53,List!G:H,2,0),"")</f>
      </c>
      <c r="I53" s="1"/>
      <c r="J53" s="36" t="str">
        <f>IFERROR(VLOOKUP('A1 (Aktivlər)'!I53,List!C:D,2,0),"")</f>
      </c>
      <c r="K53" s="1"/>
      <c r="L53" s="36" t="str">
        <f>IFERROR(VLOOKUP('A1 (Aktivlər)'!K53,List!E:F,2,0),"")</f>
      </c>
      <c r="M53" s="1"/>
      <c r="N53" s="36" t="str">
        <f>IFERROR(VLOOKUP('A1 (Aktivlər)'!M53,List!M:N,2,0),"")</f>
      </c>
      <c r="O53" s="1"/>
      <c r="P53" s="36" t="str">
        <f>IFERROR(VLOOKUP('A1 (Aktivlər)'!O53,List!S:T,2,0),"")</f>
      </c>
      <c r="Q53" s="1"/>
      <c r="R53" s="36" t="str">
        <f>IFERROR(VLOOKUP('A1 (Aktivlər)'!Q53,List!K:L,2,0),"")</f>
      </c>
      <c r="S53" s="16"/>
      <c r="T53" s="16"/>
      <c r="U53" s="17"/>
      <c r="V53" s="17"/>
      <c r="W53" s="20"/>
      <c r="X53" s="18"/>
      <c r="Y53" s="1"/>
      <c r="Z53" s="36" t="str">
        <f>IFERROR(VLOOKUP('A1 (Aktivlər)'!Y53,List!O:P,2,0),"")</f>
      </c>
      <c r="AA53" s="19"/>
      <c r="AB53" s="19"/>
      <c r="AC53" s="37">
        <f t="shared" si="12"/>
        <v>0</v>
      </c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21"/>
      <c r="AZ53" s="36" t="str">
        <f>IFERROR(VLOOKUP('A1 (Aktivlər)'!AY53,List!Q:R,2,0),"")</f>
      </c>
      <c r="BA53" s="38">
        <f t="shared" si="13"/>
        <v>0</v>
      </c>
      <c r="BB53" s="38">
        <f t="shared" si="14"/>
        <v>0</v>
      </c>
      <c r="BC53" s="39">
        <f t="shared" si="15"/>
        <v>0</v>
      </c>
      <c r="BD53" s="39">
        <f t="shared" si="16"/>
        <v>0</v>
      </c>
      <c r="BE53" s="39">
        <f t="shared" si="17"/>
        <v>0</v>
      </c>
      <c r="BF53" s="39">
        <f t="shared" si="18"/>
        <v>0</v>
      </c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34"/>
      <c r="CA53" s="18"/>
      <c r="CB53" s="20"/>
      <c r="CC53" s="36" t="str">
        <f>IFERROR(VLOOKUP('A1 (Aktivlər)'!CB53,List!Z:AA,2,0),"")</f>
      </c>
      <c r="CD53" s="34"/>
    </row>
    <row r="54" ht="21.75" customHeight="1" s="112" customFormat="1">
      <c r="A54" s="111">
        <v>40</v>
      </c>
      <c r="B54" s="35" t="str">
        <f t="shared" si="11"/>
      </c>
      <c r="C54" s="32"/>
      <c r="D54" s="33"/>
      <c r="E54" s="1"/>
      <c r="F54" s="36" t="str">
        <f>IFERROR(VLOOKUP('A1 (Aktivlər)'!E54,List!A:B,2,0),"")</f>
      </c>
      <c r="G54" s="1"/>
      <c r="H54" s="36" t="str">
        <f>IFERROR(VLOOKUP('A1 (Aktivlər)'!G54,List!G:H,2,0),"")</f>
      </c>
      <c r="I54" s="1"/>
      <c r="J54" s="36" t="str">
        <f>IFERROR(VLOOKUP('A1 (Aktivlər)'!I54,List!C:D,2,0),"")</f>
      </c>
      <c r="K54" s="1"/>
      <c r="L54" s="36" t="str">
        <f>IFERROR(VLOOKUP('A1 (Aktivlər)'!K54,List!E:F,2,0),"")</f>
      </c>
      <c r="M54" s="1"/>
      <c r="N54" s="36" t="str">
        <f>IFERROR(VLOOKUP('A1 (Aktivlər)'!M54,List!M:N,2,0),"")</f>
      </c>
      <c r="O54" s="1"/>
      <c r="P54" s="36" t="str">
        <f>IFERROR(VLOOKUP('A1 (Aktivlər)'!O54,List!S:T,2,0),"")</f>
      </c>
      <c r="Q54" s="1"/>
      <c r="R54" s="36" t="str">
        <f>IFERROR(VLOOKUP('A1 (Aktivlər)'!Q54,List!K:L,2,0),"")</f>
      </c>
      <c r="S54" s="16"/>
      <c r="T54" s="16"/>
      <c r="U54" s="17"/>
      <c r="V54" s="17"/>
      <c r="W54" s="20"/>
      <c r="X54" s="18"/>
      <c r="Y54" s="1"/>
      <c r="Z54" s="36" t="str">
        <f>IFERROR(VLOOKUP('A1 (Aktivlər)'!Y54,List!O:P,2,0),"")</f>
      </c>
      <c r="AA54" s="19"/>
      <c r="AB54" s="19"/>
      <c r="AC54" s="37">
        <f t="shared" si="12"/>
        <v>0</v>
      </c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21"/>
      <c r="AZ54" s="36" t="str">
        <f>IFERROR(VLOOKUP('A1 (Aktivlər)'!AY54,List!Q:R,2,0),"")</f>
      </c>
      <c r="BA54" s="38">
        <f t="shared" si="13"/>
        <v>0</v>
      </c>
      <c r="BB54" s="38">
        <f t="shared" si="14"/>
        <v>0</v>
      </c>
      <c r="BC54" s="39">
        <f t="shared" si="15"/>
        <v>0</v>
      </c>
      <c r="BD54" s="39">
        <f t="shared" si="16"/>
        <v>0</v>
      </c>
      <c r="BE54" s="39">
        <f t="shared" si="17"/>
        <v>0</v>
      </c>
      <c r="BF54" s="39">
        <f t="shared" si="18"/>
        <v>0</v>
      </c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34"/>
      <c r="CA54" s="18"/>
      <c r="CB54" s="20"/>
      <c r="CC54" s="36" t="str">
        <f>IFERROR(VLOOKUP('A1 (Aktivlər)'!CB54,List!Z:AA,2,0),"")</f>
      </c>
      <c r="CD54" s="34"/>
    </row>
    <row r="55" ht="21.75" customHeight="1" s="112" customFormat="1">
      <c r="A55" s="111">
        <v>41</v>
      </c>
      <c r="B55" s="35" t="str">
        <f t="shared" si="11"/>
      </c>
      <c r="C55" s="32"/>
      <c r="D55" s="33"/>
      <c r="E55" s="1"/>
      <c r="F55" s="36" t="str">
        <f>IFERROR(VLOOKUP('A1 (Aktivlər)'!E55,List!A:B,2,0),"")</f>
      </c>
      <c r="G55" s="1"/>
      <c r="H55" s="36" t="str">
        <f>IFERROR(VLOOKUP('A1 (Aktivlər)'!G55,List!G:H,2,0),"")</f>
      </c>
      <c r="I55" s="1"/>
      <c r="J55" s="36" t="str">
        <f>IFERROR(VLOOKUP('A1 (Aktivlər)'!I55,List!C:D,2,0),"")</f>
      </c>
      <c r="K55" s="1"/>
      <c r="L55" s="36" t="str">
        <f>IFERROR(VLOOKUP('A1 (Aktivlər)'!K55,List!E:F,2,0),"")</f>
      </c>
      <c r="M55" s="1"/>
      <c r="N55" s="36" t="str">
        <f>IFERROR(VLOOKUP('A1 (Aktivlər)'!M55,List!M:N,2,0),"")</f>
      </c>
      <c r="O55" s="1"/>
      <c r="P55" s="36" t="str">
        <f>IFERROR(VLOOKUP('A1 (Aktivlər)'!O55,List!S:T,2,0),"")</f>
      </c>
      <c r="Q55" s="1"/>
      <c r="R55" s="36" t="str">
        <f>IFERROR(VLOOKUP('A1 (Aktivlər)'!Q55,List!K:L,2,0),"")</f>
      </c>
      <c r="S55" s="16"/>
      <c r="T55" s="16"/>
      <c r="U55" s="17"/>
      <c r="V55" s="17"/>
      <c r="W55" s="20"/>
      <c r="X55" s="18"/>
      <c r="Y55" s="1"/>
      <c r="Z55" s="36" t="str">
        <f>IFERROR(VLOOKUP('A1 (Aktivlər)'!Y55,List!O:P,2,0),"")</f>
      </c>
      <c r="AA55" s="19"/>
      <c r="AB55" s="19"/>
      <c r="AC55" s="37">
        <f t="shared" si="12"/>
        <v>0</v>
      </c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21"/>
      <c r="AZ55" s="36" t="str">
        <f>IFERROR(VLOOKUP('A1 (Aktivlər)'!AY55,List!Q:R,2,0),"")</f>
      </c>
      <c r="BA55" s="38">
        <f t="shared" si="13"/>
        <v>0</v>
      </c>
      <c r="BB55" s="38">
        <f t="shared" si="14"/>
        <v>0</v>
      </c>
      <c r="BC55" s="39">
        <f t="shared" si="15"/>
        <v>0</v>
      </c>
      <c r="BD55" s="39">
        <f t="shared" si="16"/>
        <v>0</v>
      </c>
      <c r="BE55" s="39">
        <f t="shared" si="17"/>
        <v>0</v>
      </c>
      <c r="BF55" s="39">
        <f t="shared" si="18"/>
        <v>0</v>
      </c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34"/>
      <c r="CA55" s="18"/>
      <c r="CB55" s="20"/>
      <c r="CC55" s="36" t="str">
        <f>IFERROR(VLOOKUP('A1 (Aktivlər)'!CB55,List!Z:AA,2,0),"")</f>
      </c>
      <c r="CD55" s="34"/>
    </row>
    <row r="56" ht="21.75" customHeight="1" s="112" customFormat="1">
      <c r="A56" s="111">
        <v>42</v>
      </c>
      <c r="B56" s="35" t="str">
        <f t="shared" si="11"/>
      </c>
      <c r="C56" s="32"/>
      <c r="D56" s="33"/>
      <c r="E56" s="1"/>
      <c r="F56" s="36" t="str">
        <f>IFERROR(VLOOKUP('A1 (Aktivlər)'!E56,List!A:B,2,0),"")</f>
      </c>
      <c r="G56" s="1"/>
      <c r="H56" s="36" t="str">
        <f>IFERROR(VLOOKUP('A1 (Aktivlər)'!G56,List!G:H,2,0),"")</f>
      </c>
      <c r="I56" s="1"/>
      <c r="J56" s="36" t="str">
        <f>IFERROR(VLOOKUP('A1 (Aktivlər)'!I56,List!C:D,2,0),"")</f>
      </c>
      <c r="K56" s="1"/>
      <c r="L56" s="36" t="str">
        <f>IFERROR(VLOOKUP('A1 (Aktivlər)'!K56,List!E:F,2,0),"")</f>
      </c>
      <c r="M56" s="1"/>
      <c r="N56" s="36" t="str">
        <f>IFERROR(VLOOKUP('A1 (Aktivlər)'!M56,List!M:N,2,0),"")</f>
      </c>
      <c r="O56" s="1"/>
      <c r="P56" s="36" t="str">
        <f>IFERROR(VLOOKUP('A1 (Aktivlər)'!O56,List!S:T,2,0),"")</f>
      </c>
      <c r="Q56" s="1"/>
      <c r="R56" s="36" t="str">
        <f>IFERROR(VLOOKUP('A1 (Aktivlər)'!Q56,List!K:L,2,0),"")</f>
      </c>
      <c r="S56" s="16"/>
      <c r="T56" s="16"/>
      <c r="U56" s="17"/>
      <c r="V56" s="17"/>
      <c r="W56" s="20"/>
      <c r="X56" s="18"/>
      <c r="Y56" s="1"/>
      <c r="Z56" s="36" t="str">
        <f>IFERROR(VLOOKUP('A1 (Aktivlər)'!Y56,List!O:P,2,0),"")</f>
      </c>
      <c r="AA56" s="19"/>
      <c r="AB56" s="19"/>
      <c r="AC56" s="37">
        <f t="shared" si="12"/>
        <v>0</v>
      </c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21"/>
      <c r="AZ56" s="36" t="str">
        <f>IFERROR(VLOOKUP('A1 (Aktivlər)'!AY56,List!Q:R,2,0),"")</f>
      </c>
      <c r="BA56" s="38">
        <f t="shared" si="13"/>
        <v>0</v>
      </c>
      <c r="BB56" s="38">
        <f t="shared" si="14"/>
        <v>0</v>
      </c>
      <c r="BC56" s="39">
        <f t="shared" si="15"/>
        <v>0</v>
      </c>
      <c r="BD56" s="39">
        <f t="shared" si="16"/>
        <v>0</v>
      </c>
      <c r="BE56" s="39">
        <f t="shared" si="17"/>
        <v>0</v>
      </c>
      <c r="BF56" s="39">
        <f t="shared" si="18"/>
        <v>0</v>
      </c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34"/>
      <c r="CA56" s="18"/>
      <c r="CB56" s="20"/>
      <c r="CC56" s="36" t="str">
        <f>IFERROR(VLOOKUP('A1 (Aktivlər)'!CB56,List!Z:AA,2,0),"")</f>
      </c>
      <c r="CD56" s="34"/>
    </row>
    <row r="57" ht="21.75" customHeight="1" s="112" customFormat="1">
      <c r="A57" s="111">
        <v>43</v>
      </c>
      <c r="B57" s="35" t="str">
        <f t="shared" si="11"/>
      </c>
      <c r="C57" s="32"/>
      <c r="D57" s="33"/>
      <c r="E57" s="1"/>
      <c r="F57" s="36" t="str">
        <f>IFERROR(VLOOKUP('A1 (Aktivlər)'!E57,List!A:B,2,0),"")</f>
      </c>
      <c r="G57" s="1"/>
      <c r="H57" s="36" t="str">
        <f>IFERROR(VLOOKUP('A1 (Aktivlər)'!G57,List!G:H,2,0),"")</f>
      </c>
      <c r="I57" s="1"/>
      <c r="J57" s="36" t="str">
        <f>IFERROR(VLOOKUP('A1 (Aktivlər)'!I57,List!C:D,2,0),"")</f>
      </c>
      <c r="K57" s="1"/>
      <c r="L57" s="36" t="str">
        <f>IFERROR(VLOOKUP('A1 (Aktivlər)'!K57,List!E:F,2,0),"")</f>
      </c>
      <c r="M57" s="1"/>
      <c r="N57" s="36" t="str">
        <f>IFERROR(VLOOKUP('A1 (Aktivlər)'!M57,List!M:N,2,0),"")</f>
      </c>
      <c r="O57" s="1"/>
      <c r="P57" s="36" t="str">
        <f>IFERROR(VLOOKUP('A1 (Aktivlər)'!O57,List!S:T,2,0),"")</f>
      </c>
      <c r="Q57" s="1"/>
      <c r="R57" s="36" t="str">
        <f>IFERROR(VLOOKUP('A1 (Aktivlər)'!Q57,List!K:L,2,0),"")</f>
      </c>
      <c r="S57" s="16"/>
      <c r="T57" s="16"/>
      <c r="U57" s="17"/>
      <c r="V57" s="17"/>
      <c r="W57" s="20"/>
      <c r="X57" s="18"/>
      <c r="Y57" s="1"/>
      <c r="Z57" s="36" t="str">
        <f>IFERROR(VLOOKUP('A1 (Aktivlər)'!Y57,List!O:P,2,0),"")</f>
      </c>
      <c r="AA57" s="19"/>
      <c r="AB57" s="19"/>
      <c r="AC57" s="37">
        <f t="shared" si="12"/>
        <v>0</v>
      </c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21"/>
      <c r="AZ57" s="36" t="str">
        <f>IFERROR(VLOOKUP('A1 (Aktivlər)'!AY57,List!Q:R,2,0),"")</f>
      </c>
      <c r="BA57" s="38">
        <f t="shared" si="13"/>
        <v>0</v>
      </c>
      <c r="BB57" s="38">
        <f t="shared" si="14"/>
        <v>0</v>
      </c>
      <c r="BC57" s="39">
        <f t="shared" si="15"/>
        <v>0</v>
      </c>
      <c r="BD57" s="39">
        <f t="shared" si="16"/>
        <v>0</v>
      </c>
      <c r="BE57" s="39">
        <f t="shared" si="17"/>
        <v>0</v>
      </c>
      <c r="BF57" s="39">
        <f t="shared" si="18"/>
        <v>0</v>
      </c>
      <c r="BG57" s="19"/>
      <c r="BH57" s="19"/>
      <c r="BI57" s="19"/>
      <c r="BJ57" s="19"/>
      <c r="BK57" s="19"/>
      <c r="BL57" s="19"/>
      <c r="BM57" s="19"/>
      <c r="BN57" s="19"/>
      <c r="BO57" s="19"/>
      <c r="BP57" s="19"/>
      <c r="BQ57" s="19"/>
      <c r="BR57" s="19"/>
      <c r="BS57" s="19"/>
      <c r="BT57" s="19"/>
      <c r="BU57" s="19"/>
      <c r="BV57" s="19"/>
      <c r="BW57" s="19"/>
      <c r="BX57" s="19"/>
      <c r="BY57" s="19"/>
      <c r="BZ57" s="34"/>
      <c r="CA57" s="18"/>
      <c r="CB57" s="20"/>
      <c r="CC57" s="36" t="str">
        <f>IFERROR(VLOOKUP('A1 (Aktivlər)'!CB57,List!Z:AA,2,0),"")</f>
      </c>
      <c r="CD57" s="34"/>
    </row>
    <row r="58" ht="21.75" customHeight="1" s="112" customFormat="1">
      <c r="A58" s="111">
        <v>44</v>
      </c>
      <c r="B58" s="35" t="str">
        <f t="shared" si="11"/>
      </c>
      <c r="C58" s="32"/>
      <c r="D58" s="33"/>
      <c r="E58" s="1"/>
      <c r="F58" s="36" t="str">
        <f>IFERROR(VLOOKUP('A1 (Aktivlər)'!E58,List!A:B,2,0),"")</f>
      </c>
      <c r="G58" s="1"/>
      <c r="H58" s="36" t="str">
        <f>IFERROR(VLOOKUP('A1 (Aktivlər)'!G58,List!G:H,2,0),"")</f>
      </c>
      <c r="I58" s="1"/>
      <c r="J58" s="36" t="str">
        <f>IFERROR(VLOOKUP('A1 (Aktivlər)'!I58,List!C:D,2,0),"")</f>
      </c>
      <c r="K58" s="1"/>
      <c r="L58" s="36" t="str">
        <f>IFERROR(VLOOKUP('A1 (Aktivlər)'!K58,List!E:F,2,0),"")</f>
      </c>
      <c r="M58" s="1"/>
      <c r="N58" s="36" t="str">
        <f>IFERROR(VLOOKUP('A1 (Aktivlər)'!M58,List!M:N,2,0),"")</f>
      </c>
      <c r="O58" s="1"/>
      <c r="P58" s="36" t="str">
        <f>IFERROR(VLOOKUP('A1 (Aktivlər)'!O58,List!S:T,2,0),"")</f>
      </c>
      <c r="Q58" s="1"/>
      <c r="R58" s="36" t="str">
        <f>IFERROR(VLOOKUP('A1 (Aktivlər)'!Q58,List!K:L,2,0),"")</f>
      </c>
      <c r="S58" s="16"/>
      <c r="T58" s="16"/>
      <c r="U58" s="17"/>
      <c r="V58" s="17"/>
      <c r="W58" s="20"/>
      <c r="X58" s="18"/>
      <c r="Y58" s="1"/>
      <c r="Z58" s="36" t="str">
        <f>IFERROR(VLOOKUP('A1 (Aktivlər)'!Y58,List!O:P,2,0),"")</f>
      </c>
      <c r="AA58" s="19"/>
      <c r="AB58" s="19"/>
      <c r="AC58" s="37">
        <f t="shared" si="12"/>
        <v>0</v>
      </c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21"/>
      <c r="AZ58" s="36" t="str">
        <f>IFERROR(VLOOKUP('A1 (Aktivlər)'!AY58,List!Q:R,2,0),"")</f>
      </c>
      <c r="BA58" s="38">
        <f t="shared" si="13"/>
        <v>0</v>
      </c>
      <c r="BB58" s="38">
        <f t="shared" si="14"/>
        <v>0</v>
      </c>
      <c r="BC58" s="39">
        <f t="shared" si="15"/>
        <v>0</v>
      </c>
      <c r="BD58" s="39">
        <f t="shared" si="16"/>
        <v>0</v>
      </c>
      <c r="BE58" s="39">
        <f t="shared" si="17"/>
        <v>0</v>
      </c>
      <c r="BF58" s="39">
        <f t="shared" si="18"/>
        <v>0</v>
      </c>
      <c r="BG58" s="19"/>
      <c r="BH58" s="19"/>
      <c r="BI58" s="19"/>
      <c r="BJ58" s="19"/>
      <c r="BK58" s="19"/>
      <c r="BL58" s="19"/>
      <c r="BM58" s="19"/>
      <c r="BN58" s="19"/>
      <c r="BO58" s="19"/>
      <c r="BP58" s="19"/>
      <c r="BQ58" s="19"/>
      <c r="BR58" s="19"/>
      <c r="BS58" s="19"/>
      <c r="BT58" s="19"/>
      <c r="BU58" s="19"/>
      <c r="BV58" s="19"/>
      <c r="BW58" s="19"/>
      <c r="BX58" s="19"/>
      <c r="BY58" s="19"/>
      <c r="BZ58" s="34"/>
      <c r="CA58" s="18"/>
      <c r="CB58" s="20"/>
      <c r="CC58" s="36" t="str">
        <f>IFERROR(VLOOKUP('A1 (Aktivlər)'!CB58,List!Z:AA,2,0),"")</f>
      </c>
      <c r="CD58" s="34"/>
    </row>
    <row r="59" ht="21.75" customHeight="1" s="112" customFormat="1">
      <c r="A59" s="111">
        <v>45</v>
      </c>
      <c r="B59" s="35" t="str">
        <f t="shared" si="11"/>
      </c>
      <c r="C59" s="32"/>
      <c r="D59" s="33"/>
      <c r="E59" s="1"/>
      <c r="F59" s="36" t="str">
        <f>IFERROR(VLOOKUP('A1 (Aktivlər)'!E59,List!A:B,2,0),"")</f>
      </c>
      <c r="G59" s="1"/>
      <c r="H59" s="36" t="str">
        <f>IFERROR(VLOOKUP('A1 (Aktivlər)'!G59,List!G:H,2,0),"")</f>
      </c>
      <c r="I59" s="1"/>
      <c r="J59" s="36" t="str">
        <f>IFERROR(VLOOKUP('A1 (Aktivlər)'!I59,List!C:D,2,0),"")</f>
      </c>
      <c r="K59" s="1"/>
      <c r="L59" s="36" t="str">
        <f>IFERROR(VLOOKUP('A1 (Aktivlər)'!K59,List!E:F,2,0),"")</f>
      </c>
      <c r="M59" s="1"/>
      <c r="N59" s="36" t="str">
        <f>IFERROR(VLOOKUP('A1 (Aktivlər)'!M59,List!M:N,2,0),"")</f>
      </c>
      <c r="O59" s="1"/>
      <c r="P59" s="36" t="str">
        <f>IFERROR(VLOOKUP('A1 (Aktivlər)'!O59,List!S:T,2,0),"")</f>
      </c>
      <c r="Q59" s="1"/>
      <c r="R59" s="36" t="str">
        <f>IFERROR(VLOOKUP('A1 (Aktivlər)'!Q59,List!K:L,2,0),"")</f>
      </c>
      <c r="S59" s="16"/>
      <c r="T59" s="16"/>
      <c r="U59" s="17"/>
      <c r="V59" s="17"/>
      <c r="W59" s="20"/>
      <c r="X59" s="18"/>
      <c r="Y59" s="1"/>
      <c r="Z59" s="36" t="str">
        <f>IFERROR(VLOOKUP('A1 (Aktivlər)'!Y59,List!O:P,2,0),"")</f>
      </c>
      <c r="AA59" s="19"/>
      <c r="AB59" s="19"/>
      <c r="AC59" s="37">
        <f t="shared" si="12"/>
        <v>0</v>
      </c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21"/>
      <c r="AZ59" s="36" t="str">
        <f>IFERROR(VLOOKUP('A1 (Aktivlər)'!AY59,List!Q:R,2,0),"")</f>
      </c>
      <c r="BA59" s="38">
        <f t="shared" si="13"/>
        <v>0</v>
      </c>
      <c r="BB59" s="38">
        <f t="shared" si="14"/>
        <v>0</v>
      </c>
      <c r="BC59" s="39">
        <f t="shared" si="15"/>
        <v>0</v>
      </c>
      <c r="BD59" s="39">
        <f t="shared" si="16"/>
        <v>0</v>
      </c>
      <c r="BE59" s="39">
        <f t="shared" si="17"/>
        <v>0</v>
      </c>
      <c r="BF59" s="39">
        <f t="shared" si="18"/>
        <v>0</v>
      </c>
      <c r="BG59" s="19"/>
      <c r="BH59" s="19"/>
      <c r="BI59" s="19"/>
      <c r="BJ59" s="19"/>
      <c r="BK59" s="19"/>
      <c r="BL59" s="19"/>
      <c r="BM59" s="19"/>
      <c r="BN59" s="19"/>
      <c r="BO59" s="19"/>
      <c r="BP59" s="19"/>
      <c r="BQ59" s="19"/>
      <c r="BR59" s="19"/>
      <c r="BS59" s="19"/>
      <c r="BT59" s="19"/>
      <c r="BU59" s="19"/>
      <c r="BV59" s="19"/>
      <c r="BW59" s="19"/>
      <c r="BX59" s="19"/>
      <c r="BY59" s="19"/>
      <c r="BZ59" s="34"/>
      <c r="CA59" s="18"/>
      <c r="CB59" s="20"/>
      <c r="CC59" s="36" t="str">
        <f>IFERROR(VLOOKUP('A1 (Aktivlər)'!CB59,List!Z:AA,2,0),"")</f>
      </c>
      <c r="CD59" s="34"/>
    </row>
    <row r="60" ht="21.75" customHeight="1" s="112" customFormat="1">
      <c r="A60" s="111">
        <v>46</v>
      </c>
      <c r="B60" s="35" t="str">
        <f t="shared" si="11"/>
      </c>
      <c r="C60" s="32"/>
      <c r="D60" s="33"/>
      <c r="E60" s="1"/>
      <c r="F60" s="36" t="str">
        <f>IFERROR(VLOOKUP('A1 (Aktivlər)'!E60,List!A:B,2,0),"")</f>
      </c>
      <c r="G60" s="1"/>
      <c r="H60" s="36" t="str">
        <f>IFERROR(VLOOKUP('A1 (Aktivlər)'!G60,List!G:H,2,0),"")</f>
      </c>
      <c r="I60" s="1"/>
      <c r="J60" s="36" t="str">
        <f>IFERROR(VLOOKUP('A1 (Aktivlər)'!I60,List!C:D,2,0),"")</f>
      </c>
      <c r="K60" s="1"/>
      <c r="L60" s="36" t="str">
        <f>IFERROR(VLOOKUP('A1 (Aktivlər)'!K60,List!E:F,2,0),"")</f>
      </c>
      <c r="M60" s="1"/>
      <c r="N60" s="36" t="str">
        <f>IFERROR(VLOOKUP('A1 (Aktivlər)'!M60,List!M:N,2,0),"")</f>
      </c>
      <c r="O60" s="1"/>
      <c r="P60" s="36" t="str">
        <f>IFERROR(VLOOKUP('A1 (Aktivlər)'!O60,List!S:T,2,0),"")</f>
      </c>
      <c r="Q60" s="1"/>
      <c r="R60" s="36" t="str">
        <f>IFERROR(VLOOKUP('A1 (Aktivlər)'!Q60,List!K:L,2,0),"")</f>
      </c>
      <c r="S60" s="16"/>
      <c r="T60" s="16"/>
      <c r="U60" s="17"/>
      <c r="V60" s="17"/>
      <c r="W60" s="20"/>
      <c r="X60" s="18"/>
      <c r="Y60" s="1"/>
      <c r="Z60" s="36" t="str">
        <f>IFERROR(VLOOKUP('A1 (Aktivlər)'!Y60,List!O:P,2,0),"")</f>
      </c>
      <c r="AA60" s="19"/>
      <c r="AB60" s="19"/>
      <c r="AC60" s="37">
        <f t="shared" si="12"/>
        <v>0</v>
      </c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21"/>
      <c r="AZ60" s="36" t="str">
        <f>IFERROR(VLOOKUP('A1 (Aktivlər)'!AY60,List!Q:R,2,0),"")</f>
      </c>
      <c r="BA60" s="38">
        <f t="shared" si="13"/>
        <v>0</v>
      </c>
      <c r="BB60" s="38">
        <f t="shared" si="14"/>
        <v>0</v>
      </c>
      <c r="BC60" s="39">
        <f t="shared" si="15"/>
        <v>0</v>
      </c>
      <c r="BD60" s="39">
        <f t="shared" si="16"/>
        <v>0</v>
      </c>
      <c r="BE60" s="39">
        <f t="shared" si="17"/>
        <v>0</v>
      </c>
      <c r="BF60" s="39">
        <f t="shared" si="18"/>
        <v>0</v>
      </c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19"/>
      <c r="BY60" s="19"/>
      <c r="BZ60" s="34"/>
      <c r="CA60" s="18"/>
      <c r="CB60" s="20"/>
      <c r="CC60" s="36" t="str">
        <f>IFERROR(VLOOKUP('A1 (Aktivlər)'!CB60,List!Z:AA,2,0),"")</f>
      </c>
      <c r="CD60" s="34"/>
    </row>
    <row r="61" ht="21.75" customHeight="1" s="112" customFormat="1">
      <c r="A61" s="111">
        <v>47</v>
      </c>
      <c r="B61" s="35" t="str">
        <f t="shared" si="11"/>
      </c>
      <c r="C61" s="32"/>
      <c r="D61" s="33"/>
      <c r="E61" s="1"/>
      <c r="F61" s="36" t="str">
        <f>IFERROR(VLOOKUP('A1 (Aktivlər)'!E61,List!A:B,2,0),"")</f>
      </c>
      <c r="G61" s="1"/>
      <c r="H61" s="36" t="str">
        <f>IFERROR(VLOOKUP('A1 (Aktivlər)'!G61,List!G:H,2,0),"")</f>
      </c>
      <c r="I61" s="1"/>
      <c r="J61" s="36" t="str">
        <f>IFERROR(VLOOKUP('A1 (Aktivlər)'!I61,List!C:D,2,0),"")</f>
      </c>
      <c r="K61" s="1"/>
      <c r="L61" s="36" t="str">
        <f>IFERROR(VLOOKUP('A1 (Aktivlər)'!K61,List!E:F,2,0),"")</f>
      </c>
      <c r="M61" s="1"/>
      <c r="N61" s="36" t="str">
        <f>IFERROR(VLOOKUP('A1 (Aktivlər)'!M61,List!M:N,2,0),"")</f>
      </c>
      <c r="O61" s="1"/>
      <c r="P61" s="36" t="str">
        <f>IFERROR(VLOOKUP('A1 (Aktivlər)'!O61,List!S:T,2,0),"")</f>
      </c>
      <c r="Q61" s="1"/>
      <c r="R61" s="36" t="str">
        <f>IFERROR(VLOOKUP('A1 (Aktivlər)'!Q61,List!K:L,2,0),"")</f>
      </c>
      <c r="S61" s="16"/>
      <c r="T61" s="16"/>
      <c r="U61" s="17"/>
      <c r="V61" s="17"/>
      <c r="W61" s="20"/>
      <c r="X61" s="18"/>
      <c r="Y61" s="1"/>
      <c r="Z61" s="36" t="str">
        <f>IFERROR(VLOOKUP('A1 (Aktivlər)'!Y61,List!O:P,2,0),"")</f>
      </c>
      <c r="AA61" s="19"/>
      <c r="AB61" s="19"/>
      <c r="AC61" s="37">
        <f t="shared" si="12"/>
        <v>0</v>
      </c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21"/>
      <c r="AZ61" s="36" t="str">
        <f>IFERROR(VLOOKUP('A1 (Aktivlər)'!AY61,List!Q:R,2,0),"")</f>
      </c>
      <c r="BA61" s="38">
        <f t="shared" si="13"/>
        <v>0</v>
      </c>
      <c r="BB61" s="38">
        <f t="shared" si="14"/>
        <v>0</v>
      </c>
      <c r="BC61" s="39">
        <f t="shared" si="15"/>
        <v>0</v>
      </c>
      <c r="BD61" s="39">
        <f t="shared" si="16"/>
        <v>0</v>
      </c>
      <c r="BE61" s="39">
        <f t="shared" si="17"/>
        <v>0</v>
      </c>
      <c r="BF61" s="39">
        <f t="shared" si="18"/>
        <v>0</v>
      </c>
      <c r="BG61" s="19"/>
      <c r="BH61" s="19"/>
      <c r="BI61" s="19"/>
      <c r="BJ61" s="19"/>
      <c r="BK61" s="19"/>
      <c r="BL61" s="19"/>
      <c r="BM61" s="19"/>
      <c r="BN61" s="19"/>
      <c r="BO61" s="19"/>
      <c r="BP61" s="19"/>
      <c r="BQ61" s="19"/>
      <c r="BR61" s="19"/>
      <c r="BS61" s="19"/>
      <c r="BT61" s="19"/>
      <c r="BU61" s="19"/>
      <c r="BV61" s="19"/>
      <c r="BW61" s="19"/>
      <c r="BX61" s="19"/>
      <c r="BY61" s="19"/>
      <c r="BZ61" s="34"/>
      <c r="CA61" s="18"/>
      <c r="CB61" s="20"/>
      <c r="CC61" s="36" t="str">
        <f>IFERROR(VLOOKUP('A1 (Aktivlər)'!CB61,List!Z:AA,2,0),"")</f>
      </c>
      <c r="CD61" s="34"/>
    </row>
    <row r="62" ht="21.75" customHeight="1" s="112" customFormat="1">
      <c r="A62" s="111">
        <v>48</v>
      </c>
      <c r="B62" s="35" t="str">
        <f t="shared" si="11"/>
      </c>
      <c r="C62" s="32"/>
      <c r="D62" s="33"/>
      <c r="E62" s="1"/>
      <c r="F62" s="36" t="str">
        <f>IFERROR(VLOOKUP('A1 (Aktivlər)'!E62,List!A:B,2,0),"")</f>
      </c>
      <c r="G62" s="1"/>
      <c r="H62" s="36" t="str">
        <f>IFERROR(VLOOKUP('A1 (Aktivlər)'!G62,List!G:H,2,0),"")</f>
      </c>
      <c r="I62" s="1"/>
      <c r="J62" s="36" t="str">
        <f>IFERROR(VLOOKUP('A1 (Aktivlər)'!I62,List!C:D,2,0),"")</f>
      </c>
      <c r="K62" s="1"/>
      <c r="L62" s="36" t="str">
        <f>IFERROR(VLOOKUP('A1 (Aktivlər)'!K62,List!E:F,2,0),"")</f>
      </c>
      <c r="M62" s="1"/>
      <c r="N62" s="36" t="str">
        <f>IFERROR(VLOOKUP('A1 (Aktivlər)'!M62,List!M:N,2,0),"")</f>
      </c>
      <c r="O62" s="1"/>
      <c r="P62" s="36" t="str">
        <f>IFERROR(VLOOKUP('A1 (Aktivlər)'!O62,List!S:T,2,0),"")</f>
      </c>
      <c r="Q62" s="1"/>
      <c r="R62" s="36" t="str">
        <f>IFERROR(VLOOKUP('A1 (Aktivlər)'!Q62,List!K:L,2,0),"")</f>
      </c>
      <c r="S62" s="16"/>
      <c r="T62" s="16"/>
      <c r="U62" s="17"/>
      <c r="V62" s="17"/>
      <c r="W62" s="20"/>
      <c r="X62" s="18"/>
      <c r="Y62" s="1"/>
      <c r="Z62" s="36" t="str">
        <f>IFERROR(VLOOKUP('A1 (Aktivlər)'!Y62,List!O:P,2,0),"")</f>
      </c>
      <c r="AA62" s="19"/>
      <c r="AB62" s="19"/>
      <c r="AC62" s="37">
        <f t="shared" si="12"/>
        <v>0</v>
      </c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21"/>
      <c r="AZ62" s="36" t="str">
        <f>IFERROR(VLOOKUP('A1 (Aktivlər)'!AY62,List!Q:R,2,0),"")</f>
      </c>
      <c r="BA62" s="38">
        <f t="shared" si="13"/>
        <v>0</v>
      </c>
      <c r="BB62" s="38">
        <f t="shared" si="14"/>
        <v>0</v>
      </c>
      <c r="BC62" s="39">
        <f t="shared" si="15"/>
        <v>0</v>
      </c>
      <c r="BD62" s="39">
        <f t="shared" si="16"/>
        <v>0</v>
      </c>
      <c r="BE62" s="39">
        <f t="shared" si="17"/>
        <v>0</v>
      </c>
      <c r="BF62" s="39">
        <f t="shared" si="18"/>
        <v>0</v>
      </c>
      <c r="BG62" s="19"/>
      <c r="BH62" s="19"/>
      <c r="BI62" s="19"/>
      <c r="BJ62" s="19"/>
      <c r="BK62" s="19"/>
      <c r="BL62" s="19"/>
      <c r="BM62" s="19"/>
      <c r="BN62" s="19"/>
      <c r="BO62" s="19"/>
      <c r="BP62" s="19"/>
      <c r="BQ62" s="19"/>
      <c r="BR62" s="19"/>
      <c r="BS62" s="19"/>
      <c r="BT62" s="19"/>
      <c r="BU62" s="19"/>
      <c r="BV62" s="19"/>
      <c r="BW62" s="19"/>
      <c r="BX62" s="19"/>
      <c r="BY62" s="19"/>
      <c r="BZ62" s="34"/>
      <c r="CA62" s="18"/>
      <c r="CB62" s="20"/>
      <c r="CC62" s="36" t="str">
        <f>IFERROR(VLOOKUP('A1 (Aktivlər)'!CB62,List!Z:AA,2,0),"")</f>
      </c>
      <c r="CD62" s="34"/>
    </row>
    <row r="63" ht="21.75" customHeight="1" s="112" customFormat="1">
      <c r="A63" s="111">
        <v>49</v>
      </c>
      <c r="B63" s="35" t="str">
        <f t="shared" si="11"/>
      </c>
      <c r="C63" s="32"/>
      <c r="D63" s="33"/>
      <c r="E63" s="1"/>
      <c r="F63" s="36" t="str">
        <f>IFERROR(VLOOKUP('A1 (Aktivlər)'!E63,List!A:B,2,0),"")</f>
      </c>
      <c r="G63" s="1"/>
      <c r="H63" s="36" t="str">
        <f>IFERROR(VLOOKUP('A1 (Aktivlər)'!G63,List!G:H,2,0),"")</f>
      </c>
      <c r="I63" s="1"/>
      <c r="J63" s="36" t="str">
        <f>IFERROR(VLOOKUP('A1 (Aktivlər)'!I63,List!C:D,2,0),"")</f>
      </c>
      <c r="K63" s="1"/>
      <c r="L63" s="36" t="str">
        <f>IFERROR(VLOOKUP('A1 (Aktivlər)'!K63,List!E:F,2,0),"")</f>
      </c>
      <c r="M63" s="1"/>
      <c r="N63" s="36" t="str">
        <f>IFERROR(VLOOKUP('A1 (Aktivlər)'!M63,List!M:N,2,0),"")</f>
      </c>
      <c r="O63" s="1"/>
      <c r="P63" s="36" t="str">
        <f>IFERROR(VLOOKUP('A1 (Aktivlər)'!O63,List!S:T,2,0),"")</f>
      </c>
      <c r="Q63" s="1"/>
      <c r="R63" s="36" t="str">
        <f>IFERROR(VLOOKUP('A1 (Aktivlər)'!Q63,List!K:L,2,0),"")</f>
      </c>
      <c r="S63" s="16"/>
      <c r="T63" s="16"/>
      <c r="U63" s="17"/>
      <c r="V63" s="17"/>
      <c r="W63" s="20"/>
      <c r="X63" s="18"/>
      <c r="Y63" s="1"/>
      <c r="Z63" s="36" t="str">
        <f>IFERROR(VLOOKUP('A1 (Aktivlər)'!Y63,List!O:P,2,0),"")</f>
      </c>
      <c r="AA63" s="19"/>
      <c r="AB63" s="19"/>
      <c r="AC63" s="37">
        <f t="shared" si="12"/>
        <v>0</v>
      </c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21"/>
      <c r="AZ63" s="36" t="str">
        <f>IFERROR(VLOOKUP('A1 (Aktivlər)'!AY63,List!Q:R,2,0),"")</f>
      </c>
      <c r="BA63" s="38">
        <f t="shared" si="13"/>
        <v>0</v>
      </c>
      <c r="BB63" s="38">
        <f t="shared" si="14"/>
        <v>0</v>
      </c>
      <c r="BC63" s="39">
        <f t="shared" si="15"/>
        <v>0</v>
      </c>
      <c r="BD63" s="39">
        <f t="shared" si="16"/>
        <v>0</v>
      </c>
      <c r="BE63" s="39">
        <f t="shared" si="17"/>
        <v>0</v>
      </c>
      <c r="BF63" s="39">
        <f t="shared" si="18"/>
        <v>0</v>
      </c>
      <c r="BG63" s="19"/>
      <c r="BH63" s="19"/>
      <c r="BI63" s="19"/>
      <c r="BJ63" s="19"/>
      <c r="BK63" s="19"/>
      <c r="BL63" s="19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34"/>
      <c r="CA63" s="18"/>
      <c r="CB63" s="20"/>
      <c r="CC63" s="36" t="str">
        <f>IFERROR(VLOOKUP('A1 (Aktivlər)'!CB63,List!Z:AA,2,0),"")</f>
      </c>
      <c r="CD63" s="34"/>
    </row>
    <row r="64" ht="21.75" customHeight="1" s="112" customFormat="1">
      <c r="A64" s="111">
        <v>50</v>
      </c>
      <c r="B64" s="35" t="str">
        <f t="shared" si="11"/>
      </c>
      <c r="C64" s="32"/>
      <c r="D64" s="33"/>
      <c r="E64" s="1"/>
      <c r="F64" s="36" t="str">
        <f>IFERROR(VLOOKUP('A1 (Aktivlər)'!E64,List!A:B,2,0),"")</f>
      </c>
      <c r="G64" s="1"/>
      <c r="H64" s="36" t="str">
        <f>IFERROR(VLOOKUP('A1 (Aktivlər)'!G64,List!G:H,2,0),"")</f>
      </c>
      <c r="I64" s="1"/>
      <c r="J64" s="36" t="str">
        <f>IFERROR(VLOOKUP('A1 (Aktivlər)'!I64,List!C:D,2,0),"")</f>
      </c>
      <c r="K64" s="1"/>
      <c r="L64" s="36" t="str">
        <f>IFERROR(VLOOKUP('A1 (Aktivlər)'!K64,List!E:F,2,0),"")</f>
      </c>
      <c r="M64" s="1"/>
      <c r="N64" s="36" t="str">
        <f>IFERROR(VLOOKUP('A1 (Aktivlər)'!M64,List!M:N,2,0),"")</f>
      </c>
      <c r="O64" s="1"/>
      <c r="P64" s="36" t="str">
        <f>IFERROR(VLOOKUP('A1 (Aktivlər)'!O64,List!S:T,2,0),"")</f>
      </c>
      <c r="Q64" s="1"/>
      <c r="R64" s="36" t="str">
        <f>IFERROR(VLOOKUP('A1 (Aktivlər)'!Q64,List!K:L,2,0),"")</f>
      </c>
      <c r="S64" s="16"/>
      <c r="T64" s="16"/>
      <c r="U64" s="17"/>
      <c r="V64" s="17"/>
      <c r="W64" s="20"/>
      <c r="X64" s="18"/>
      <c r="Y64" s="1"/>
      <c r="Z64" s="36" t="str">
        <f>IFERROR(VLOOKUP('A1 (Aktivlər)'!Y64,List!O:P,2,0),"")</f>
      </c>
      <c r="AA64" s="19"/>
      <c r="AB64" s="19"/>
      <c r="AC64" s="37">
        <f t="shared" si="12"/>
        <v>0</v>
      </c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21"/>
      <c r="AZ64" s="36" t="str">
        <f>IFERROR(VLOOKUP('A1 (Aktivlər)'!AY64,List!Q:R,2,0),"")</f>
      </c>
      <c r="BA64" s="38">
        <f t="shared" si="13"/>
        <v>0</v>
      </c>
      <c r="BB64" s="38">
        <f t="shared" si="14"/>
        <v>0</v>
      </c>
      <c r="BC64" s="39">
        <f t="shared" si="15"/>
        <v>0</v>
      </c>
      <c r="BD64" s="39">
        <f t="shared" si="16"/>
        <v>0</v>
      </c>
      <c r="BE64" s="39">
        <f t="shared" si="17"/>
        <v>0</v>
      </c>
      <c r="BF64" s="39">
        <f t="shared" si="18"/>
        <v>0</v>
      </c>
      <c r="BG64" s="19"/>
      <c r="BH64" s="19"/>
      <c r="BI64" s="19"/>
      <c r="BJ64" s="19"/>
      <c r="BK64" s="19"/>
      <c r="BL64" s="19"/>
      <c r="BM64" s="19"/>
      <c r="BN64" s="19"/>
      <c r="BO64" s="19"/>
      <c r="BP64" s="19"/>
      <c r="BQ64" s="19"/>
      <c r="BR64" s="19"/>
      <c r="BS64" s="19"/>
      <c r="BT64" s="19"/>
      <c r="BU64" s="19"/>
      <c r="BV64" s="19"/>
      <c r="BW64" s="19"/>
      <c r="BX64" s="19"/>
      <c r="BY64" s="19"/>
      <c r="BZ64" s="34"/>
      <c r="CA64" s="18"/>
      <c r="CB64" s="20"/>
      <c r="CC64" s="36" t="str">
        <f>IFERROR(VLOOKUP('A1 (Aktivlər)'!CB64,List!Z:AA,2,0),"")</f>
      </c>
      <c r="CD64" s="34"/>
    </row>
    <row r="65" ht="21.75" customHeight="1" s="112" customFormat="1">
      <c r="A65" s="111">
        <v>51</v>
      </c>
      <c r="B65" s="35" t="str">
        <f t="shared" si="11"/>
      </c>
      <c r="C65" s="32"/>
      <c r="D65" s="33"/>
      <c r="E65" s="1"/>
      <c r="F65" s="36" t="str">
        <f>IFERROR(VLOOKUP('A1 (Aktivlər)'!E65,List!A:B,2,0),"")</f>
      </c>
      <c r="G65" s="1"/>
      <c r="H65" s="36" t="str">
        <f>IFERROR(VLOOKUP('A1 (Aktivlər)'!G65,List!G:H,2,0),"")</f>
      </c>
      <c r="I65" s="1"/>
      <c r="J65" s="36" t="str">
        <f>IFERROR(VLOOKUP('A1 (Aktivlər)'!I65,List!C:D,2,0),"")</f>
      </c>
      <c r="K65" s="1"/>
      <c r="L65" s="36" t="str">
        <f>IFERROR(VLOOKUP('A1 (Aktivlər)'!K65,List!E:F,2,0),"")</f>
      </c>
      <c r="M65" s="1"/>
      <c r="N65" s="36" t="str">
        <f>IFERROR(VLOOKUP('A1 (Aktivlər)'!M65,List!M:N,2,0),"")</f>
      </c>
      <c r="O65" s="1"/>
      <c r="P65" s="36" t="str">
        <f>IFERROR(VLOOKUP('A1 (Aktivlər)'!O65,List!S:T,2,0),"")</f>
      </c>
      <c r="Q65" s="1"/>
      <c r="R65" s="36" t="str">
        <f>IFERROR(VLOOKUP('A1 (Aktivlər)'!Q65,List!K:L,2,0),"")</f>
      </c>
      <c r="S65" s="16"/>
      <c r="T65" s="16"/>
      <c r="U65" s="17"/>
      <c r="V65" s="17"/>
      <c r="W65" s="20"/>
      <c r="X65" s="18"/>
      <c r="Y65" s="1"/>
      <c r="Z65" s="36" t="str">
        <f>IFERROR(VLOOKUP('A1 (Aktivlər)'!Y65,List!O:P,2,0),"")</f>
      </c>
      <c r="AA65" s="19"/>
      <c r="AB65" s="19"/>
      <c r="AC65" s="37">
        <f t="shared" si="12"/>
        <v>0</v>
      </c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21"/>
      <c r="AZ65" s="36" t="str">
        <f>IFERROR(VLOOKUP('A1 (Aktivlər)'!AY65,List!Q:R,2,0),"")</f>
      </c>
      <c r="BA65" s="38">
        <f t="shared" si="13"/>
        <v>0</v>
      </c>
      <c r="BB65" s="38">
        <f t="shared" si="14"/>
        <v>0</v>
      </c>
      <c r="BC65" s="39">
        <f t="shared" si="15"/>
        <v>0</v>
      </c>
      <c r="BD65" s="39">
        <f t="shared" si="16"/>
        <v>0</v>
      </c>
      <c r="BE65" s="39">
        <f t="shared" si="17"/>
        <v>0</v>
      </c>
      <c r="BF65" s="39">
        <f t="shared" si="18"/>
        <v>0</v>
      </c>
      <c r="BG65" s="19"/>
      <c r="BH65" s="19"/>
      <c r="BI65" s="19"/>
      <c r="BJ65" s="19"/>
      <c r="BK65" s="19"/>
      <c r="BL65" s="19"/>
      <c r="BM65" s="19"/>
      <c r="BN65" s="19"/>
      <c r="BO65" s="19"/>
      <c r="BP65" s="19"/>
      <c r="BQ65" s="19"/>
      <c r="BR65" s="19"/>
      <c r="BS65" s="19"/>
      <c r="BT65" s="19"/>
      <c r="BU65" s="19"/>
      <c r="BV65" s="19"/>
      <c r="BW65" s="19"/>
      <c r="BX65" s="19"/>
      <c r="BY65" s="19"/>
      <c r="BZ65" s="34"/>
      <c r="CA65" s="18"/>
      <c r="CB65" s="20"/>
      <c r="CC65" s="36" t="str">
        <f>IFERROR(VLOOKUP('A1 (Aktivlər)'!CB65,List!Z:AA,2,0),"")</f>
      </c>
      <c r="CD65" s="34"/>
    </row>
    <row r="66" ht="21.75" customHeight="1" s="112" customFormat="1">
      <c r="A66" s="111">
        <v>52</v>
      </c>
      <c r="B66" s="35" t="str">
        <f t="shared" si="11"/>
      </c>
      <c r="C66" s="32"/>
      <c r="D66" s="33"/>
      <c r="E66" s="1"/>
      <c r="F66" s="36" t="str">
        <f>IFERROR(VLOOKUP('A1 (Aktivlər)'!E66,List!A:B,2,0),"")</f>
      </c>
      <c r="G66" s="1"/>
      <c r="H66" s="36" t="str">
        <f>IFERROR(VLOOKUP('A1 (Aktivlər)'!G66,List!G:H,2,0),"")</f>
      </c>
      <c r="I66" s="1"/>
      <c r="J66" s="36" t="str">
        <f>IFERROR(VLOOKUP('A1 (Aktivlər)'!I66,List!C:D,2,0),"")</f>
      </c>
      <c r="K66" s="1"/>
      <c r="L66" s="36" t="str">
        <f>IFERROR(VLOOKUP('A1 (Aktivlər)'!K66,List!E:F,2,0),"")</f>
      </c>
      <c r="M66" s="1"/>
      <c r="N66" s="36" t="str">
        <f>IFERROR(VLOOKUP('A1 (Aktivlər)'!M66,List!M:N,2,0),"")</f>
      </c>
      <c r="O66" s="1"/>
      <c r="P66" s="36" t="str">
        <f>IFERROR(VLOOKUP('A1 (Aktivlər)'!O66,List!S:T,2,0),"")</f>
      </c>
      <c r="Q66" s="1"/>
      <c r="R66" s="36" t="str">
        <f>IFERROR(VLOOKUP('A1 (Aktivlər)'!Q66,List!K:L,2,0),"")</f>
      </c>
      <c r="S66" s="16"/>
      <c r="T66" s="16"/>
      <c r="U66" s="17"/>
      <c r="V66" s="17"/>
      <c r="W66" s="20"/>
      <c r="X66" s="18"/>
      <c r="Y66" s="1"/>
      <c r="Z66" s="36" t="str">
        <f>IFERROR(VLOOKUP('A1 (Aktivlər)'!Y66,List!O:P,2,0),"")</f>
      </c>
      <c r="AA66" s="19"/>
      <c r="AB66" s="19"/>
      <c r="AC66" s="37">
        <f t="shared" si="12"/>
        <v>0</v>
      </c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21"/>
      <c r="AZ66" s="36" t="str">
        <f>IFERROR(VLOOKUP('A1 (Aktivlər)'!AY66,List!Q:R,2,0),"")</f>
      </c>
      <c r="BA66" s="38">
        <f t="shared" si="13"/>
        <v>0</v>
      </c>
      <c r="BB66" s="38">
        <f t="shared" si="14"/>
        <v>0</v>
      </c>
      <c r="BC66" s="39">
        <f t="shared" si="15"/>
        <v>0</v>
      </c>
      <c r="BD66" s="39">
        <f t="shared" si="16"/>
        <v>0</v>
      </c>
      <c r="BE66" s="39">
        <f t="shared" si="17"/>
        <v>0</v>
      </c>
      <c r="BF66" s="39">
        <f t="shared" si="18"/>
        <v>0</v>
      </c>
      <c r="BG66" s="19"/>
      <c r="BH66" s="19"/>
      <c r="BI66" s="19"/>
      <c r="BJ66" s="19"/>
      <c r="BK66" s="19"/>
      <c r="BL66" s="19"/>
      <c r="BM66" s="19"/>
      <c r="BN66" s="19"/>
      <c r="BO66" s="19"/>
      <c r="BP66" s="19"/>
      <c r="BQ66" s="19"/>
      <c r="BR66" s="19"/>
      <c r="BS66" s="19"/>
      <c r="BT66" s="19"/>
      <c r="BU66" s="19"/>
      <c r="BV66" s="19"/>
      <c r="BW66" s="19"/>
      <c r="BX66" s="19"/>
      <c r="BY66" s="19"/>
      <c r="BZ66" s="34"/>
      <c r="CA66" s="18"/>
      <c r="CB66" s="20"/>
      <c r="CC66" s="36" t="str">
        <f>IFERROR(VLOOKUP('A1 (Aktivlər)'!CB66,List!Z:AA,2,0),"")</f>
      </c>
      <c r="CD66" s="34"/>
    </row>
    <row r="67" ht="21.75" customHeight="1" s="112" customFormat="1">
      <c r="A67" s="111">
        <v>53</v>
      </c>
      <c r="B67" s="35" t="str">
        <f t="shared" si="11"/>
      </c>
      <c r="C67" s="32"/>
      <c r="D67" s="33"/>
      <c r="E67" s="1"/>
      <c r="F67" s="36" t="str">
        <f>IFERROR(VLOOKUP('A1 (Aktivlər)'!E67,List!A:B,2,0),"")</f>
      </c>
      <c r="G67" s="1"/>
      <c r="H67" s="36" t="str">
        <f>IFERROR(VLOOKUP('A1 (Aktivlər)'!G67,List!G:H,2,0),"")</f>
      </c>
      <c r="I67" s="1"/>
      <c r="J67" s="36" t="str">
        <f>IFERROR(VLOOKUP('A1 (Aktivlər)'!I67,List!C:D,2,0),"")</f>
      </c>
      <c r="K67" s="1"/>
      <c r="L67" s="36" t="str">
        <f>IFERROR(VLOOKUP('A1 (Aktivlər)'!K67,List!E:F,2,0),"")</f>
      </c>
      <c r="M67" s="1"/>
      <c r="N67" s="36" t="str">
        <f>IFERROR(VLOOKUP('A1 (Aktivlər)'!M67,List!M:N,2,0),"")</f>
      </c>
      <c r="O67" s="1"/>
      <c r="P67" s="36" t="str">
        <f>IFERROR(VLOOKUP('A1 (Aktivlər)'!O67,List!S:T,2,0),"")</f>
      </c>
      <c r="Q67" s="1"/>
      <c r="R67" s="36" t="str">
        <f>IFERROR(VLOOKUP('A1 (Aktivlər)'!Q67,List!K:L,2,0),"")</f>
      </c>
      <c r="S67" s="16"/>
      <c r="T67" s="16"/>
      <c r="U67" s="17"/>
      <c r="V67" s="17"/>
      <c r="W67" s="20"/>
      <c r="X67" s="18"/>
      <c r="Y67" s="1"/>
      <c r="Z67" s="36" t="str">
        <f>IFERROR(VLOOKUP('A1 (Aktivlər)'!Y67,List!O:P,2,0),"")</f>
      </c>
      <c r="AA67" s="19"/>
      <c r="AB67" s="19"/>
      <c r="AC67" s="37">
        <f t="shared" si="12"/>
        <v>0</v>
      </c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21"/>
      <c r="AZ67" s="36" t="str">
        <f>IFERROR(VLOOKUP('A1 (Aktivlər)'!AY67,List!Q:R,2,0),"")</f>
      </c>
      <c r="BA67" s="38">
        <f t="shared" si="13"/>
        <v>0</v>
      </c>
      <c r="BB67" s="38">
        <f t="shared" si="14"/>
        <v>0</v>
      </c>
      <c r="BC67" s="39">
        <f t="shared" si="15"/>
        <v>0</v>
      </c>
      <c r="BD67" s="39">
        <f t="shared" si="16"/>
        <v>0</v>
      </c>
      <c r="BE67" s="39">
        <f t="shared" si="17"/>
        <v>0</v>
      </c>
      <c r="BF67" s="39">
        <f t="shared" si="18"/>
        <v>0</v>
      </c>
      <c r="BG67" s="19"/>
      <c r="BH67" s="19"/>
      <c r="BI67" s="19"/>
      <c r="BJ67" s="19"/>
      <c r="BK67" s="19"/>
      <c r="BL67" s="19"/>
      <c r="BM67" s="19"/>
      <c r="BN67" s="19"/>
      <c r="BO67" s="19"/>
      <c r="BP67" s="19"/>
      <c r="BQ67" s="19"/>
      <c r="BR67" s="19"/>
      <c r="BS67" s="19"/>
      <c r="BT67" s="19"/>
      <c r="BU67" s="19"/>
      <c r="BV67" s="19"/>
      <c r="BW67" s="19"/>
      <c r="BX67" s="19"/>
      <c r="BY67" s="19"/>
      <c r="BZ67" s="34"/>
      <c r="CA67" s="18"/>
      <c r="CB67" s="20"/>
      <c r="CC67" s="36" t="str">
        <f>IFERROR(VLOOKUP('A1 (Aktivlər)'!CB67,List!Z:AA,2,0),"")</f>
      </c>
      <c r="CD67" s="34"/>
    </row>
    <row r="68" ht="21.75" customHeight="1" s="112" customFormat="1">
      <c r="A68" s="111">
        <v>54</v>
      </c>
      <c r="B68" s="35" t="str">
        <f t="shared" si="11"/>
      </c>
      <c r="C68" s="32"/>
      <c r="D68" s="33"/>
      <c r="E68" s="1"/>
      <c r="F68" s="36" t="str">
        <f>IFERROR(VLOOKUP('A1 (Aktivlər)'!E68,List!A:B,2,0),"")</f>
      </c>
      <c r="G68" s="1"/>
      <c r="H68" s="36" t="str">
        <f>IFERROR(VLOOKUP('A1 (Aktivlər)'!G68,List!G:H,2,0),"")</f>
      </c>
      <c r="I68" s="1"/>
      <c r="J68" s="36" t="str">
        <f>IFERROR(VLOOKUP('A1 (Aktivlər)'!I68,List!C:D,2,0),"")</f>
      </c>
      <c r="K68" s="1"/>
      <c r="L68" s="36" t="str">
        <f>IFERROR(VLOOKUP('A1 (Aktivlər)'!K68,List!E:F,2,0),"")</f>
      </c>
      <c r="M68" s="1"/>
      <c r="N68" s="36" t="str">
        <f>IFERROR(VLOOKUP('A1 (Aktivlər)'!M68,List!M:N,2,0),"")</f>
      </c>
      <c r="O68" s="1"/>
      <c r="P68" s="36" t="str">
        <f>IFERROR(VLOOKUP('A1 (Aktivlər)'!O68,List!S:T,2,0),"")</f>
      </c>
      <c r="Q68" s="1"/>
      <c r="R68" s="36" t="str">
        <f>IFERROR(VLOOKUP('A1 (Aktivlər)'!Q68,List!K:L,2,0),"")</f>
      </c>
      <c r="S68" s="16"/>
      <c r="T68" s="16"/>
      <c r="U68" s="17"/>
      <c r="V68" s="17"/>
      <c r="W68" s="20"/>
      <c r="X68" s="18"/>
      <c r="Y68" s="1"/>
      <c r="Z68" s="36" t="str">
        <f>IFERROR(VLOOKUP('A1 (Aktivlər)'!Y68,List!O:P,2,0),"")</f>
      </c>
      <c r="AA68" s="19"/>
      <c r="AB68" s="19"/>
      <c r="AC68" s="37">
        <f t="shared" si="12"/>
        <v>0</v>
      </c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21"/>
      <c r="AZ68" s="36" t="str">
        <f>IFERROR(VLOOKUP('A1 (Aktivlər)'!AY68,List!Q:R,2,0),"")</f>
      </c>
      <c r="BA68" s="38">
        <f t="shared" si="13"/>
        <v>0</v>
      </c>
      <c r="BB68" s="38">
        <f t="shared" si="14"/>
        <v>0</v>
      </c>
      <c r="BC68" s="39">
        <f t="shared" si="15"/>
        <v>0</v>
      </c>
      <c r="BD68" s="39">
        <f t="shared" si="16"/>
        <v>0</v>
      </c>
      <c r="BE68" s="39">
        <f t="shared" si="17"/>
        <v>0</v>
      </c>
      <c r="BF68" s="39">
        <f t="shared" si="18"/>
        <v>0</v>
      </c>
      <c r="BG68" s="19"/>
      <c r="BH68" s="19"/>
      <c r="BI68" s="19"/>
      <c r="BJ68" s="19"/>
      <c r="BK68" s="19"/>
      <c r="BL68" s="19"/>
      <c r="BM68" s="19"/>
      <c r="BN68" s="19"/>
      <c r="BO68" s="19"/>
      <c r="BP68" s="19"/>
      <c r="BQ68" s="19"/>
      <c r="BR68" s="19"/>
      <c r="BS68" s="19"/>
      <c r="BT68" s="19"/>
      <c r="BU68" s="19"/>
      <c r="BV68" s="19"/>
      <c r="BW68" s="19"/>
      <c r="BX68" s="19"/>
      <c r="BY68" s="19"/>
      <c r="BZ68" s="34"/>
      <c r="CA68" s="18"/>
      <c r="CB68" s="20"/>
      <c r="CC68" s="36" t="str">
        <f>IFERROR(VLOOKUP('A1 (Aktivlər)'!CB68,List!Z:AA,2,0),"")</f>
      </c>
      <c r="CD68" s="34"/>
    </row>
    <row r="69" ht="21.75" customHeight="1" s="112" customFormat="1">
      <c r="A69" s="111">
        <v>55</v>
      </c>
      <c r="B69" s="35" t="str">
        <f t="shared" si="11"/>
      </c>
      <c r="C69" s="32"/>
      <c r="D69" s="33"/>
      <c r="E69" s="1"/>
      <c r="F69" s="36" t="str">
        <f>IFERROR(VLOOKUP('A1 (Aktivlər)'!E69,List!A:B,2,0),"")</f>
      </c>
      <c r="G69" s="1"/>
      <c r="H69" s="36" t="str">
        <f>IFERROR(VLOOKUP('A1 (Aktivlər)'!G69,List!G:H,2,0),"")</f>
      </c>
      <c r="I69" s="1"/>
      <c r="J69" s="36" t="str">
        <f>IFERROR(VLOOKUP('A1 (Aktivlər)'!I69,List!C:D,2,0),"")</f>
      </c>
      <c r="K69" s="1"/>
      <c r="L69" s="36" t="str">
        <f>IFERROR(VLOOKUP('A1 (Aktivlər)'!K69,List!E:F,2,0),"")</f>
      </c>
      <c r="M69" s="1"/>
      <c r="N69" s="36" t="str">
        <f>IFERROR(VLOOKUP('A1 (Aktivlər)'!M69,List!M:N,2,0),"")</f>
      </c>
      <c r="O69" s="1"/>
      <c r="P69" s="36" t="str">
        <f>IFERROR(VLOOKUP('A1 (Aktivlər)'!O69,List!S:T,2,0),"")</f>
      </c>
      <c r="Q69" s="1"/>
      <c r="R69" s="36" t="str">
        <f>IFERROR(VLOOKUP('A1 (Aktivlər)'!Q69,List!K:L,2,0),"")</f>
      </c>
      <c r="S69" s="16"/>
      <c r="T69" s="16"/>
      <c r="U69" s="17"/>
      <c r="V69" s="17"/>
      <c r="W69" s="20"/>
      <c r="X69" s="18"/>
      <c r="Y69" s="1"/>
      <c r="Z69" s="36" t="str">
        <f>IFERROR(VLOOKUP('A1 (Aktivlər)'!Y69,List!O:P,2,0),"")</f>
      </c>
      <c r="AA69" s="19"/>
      <c r="AB69" s="19"/>
      <c r="AC69" s="37">
        <f t="shared" si="12"/>
        <v>0</v>
      </c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21"/>
      <c r="AZ69" s="36" t="str">
        <f>IFERROR(VLOOKUP('A1 (Aktivlər)'!AY69,List!Q:R,2,0),"")</f>
      </c>
      <c r="BA69" s="38">
        <f t="shared" si="13"/>
        <v>0</v>
      </c>
      <c r="BB69" s="38">
        <f t="shared" si="14"/>
        <v>0</v>
      </c>
      <c r="BC69" s="39">
        <f t="shared" si="15"/>
        <v>0</v>
      </c>
      <c r="BD69" s="39">
        <f t="shared" si="16"/>
        <v>0</v>
      </c>
      <c r="BE69" s="39">
        <f t="shared" si="17"/>
        <v>0</v>
      </c>
      <c r="BF69" s="39">
        <f t="shared" si="18"/>
        <v>0</v>
      </c>
      <c r="BG69" s="19"/>
      <c r="BH69" s="19"/>
      <c r="BI69" s="19"/>
      <c r="BJ69" s="19"/>
      <c r="BK69" s="19"/>
      <c r="BL69" s="19"/>
      <c r="BM69" s="19"/>
      <c r="BN69" s="19"/>
      <c r="BO69" s="19"/>
      <c r="BP69" s="19"/>
      <c r="BQ69" s="19"/>
      <c r="BR69" s="19"/>
      <c r="BS69" s="19"/>
      <c r="BT69" s="19"/>
      <c r="BU69" s="19"/>
      <c r="BV69" s="19"/>
      <c r="BW69" s="19"/>
      <c r="BX69" s="19"/>
      <c r="BY69" s="19"/>
      <c r="BZ69" s="34"/>
      <c r="CA69" s="18"/>
      <c r="CB69" s="20"/>
      <c r="CC69" s="36" t="str">
        <f>IFERROR(VLOOKUP('A1 (Aktivlər)'!CB69,List!Z:AA,2,0),"")</f>
      </c>
      <c r="CD69" s="34"/>
    </row>
    <row r="70" ht="21.75" customHeight="1" s="112" customFormat="1">
      <c r="A70" s="111">
        <v>56</v>
      </c>
      <c r="B70" s="35" t="str">
        <f t="shared" si="11"/>
      </c>
      <c r="C70" s="32"/>
      <c r="D70" s="33"/>
      <c r="E70" s="1"/>
      <c r="F70" s="36" t="str">
        <f>IFERROR(VLOOKUP('A1 (Aktivlər)'!E70,List!A:B,2,0),"")</f>
      </c>
      <c r="G70" s="1"/>
      <c r="H70" s="36" t="str">
        <f>IFERROR(VLOOKUP('A1 (Aktivlər)'!G70,List!G:H,2,0),"")</f>
      </c>
      <c r="I70" s="1"/>
      <c r="J70" s="36" t="str">
        <f>IFERROR(VLOOKUP('A1 (Aktivlər)'!I70,List!C:D,2,0),"")</f>
      </c>
      <c r="K70" s="1"/>
      <c r="L70" s="36" t="str">
        <f>IFERROR(VLOOKUP('A1 (Aktivlər)'!K70,List!E:F,2,0),"")</f>
      </c>
      <c r="M70" s="1"/>
      <c r="N70" s="36" t="str">
        <f>IFERROR(VLOOKUP('A1 (Aktivlər)'!M70,List!M:N,2,0),"")</f>
      </c>
      <c r="O70" s="1"/>
      <c r="P70" s="36" t="str">
        <f>IFERROR(VLOOKUP('A1 (Aktivlər)'!O70,List!S:T,2,0),"")</f>
      </c>
      <c r="Q70" s="1"/>
      <c r="R70" s="36" t="str">
        <f>IFERROR(VLOOKUP('A1 (Aktivlər)'!Q70,List!K:L,2,0),"")</f>
      </c>
      <c r="S70" s="16"/>
      <c r="T70" s="16"/>
      <c r="U70" s="17"/>
      <c r="V70" s="17"/>
      <c r="W70" s="20"/>
      <c r="X70" s="18"/>
      <c r="Y70" s="1"/>
      <c r="Z70" s="36" t="str">
        <f>IFERROR(VLOOKUP('A1 (Aktivlər)'!Y70,List!O:P,2,0),"")</f>
      </c>
      <c r="AA70" s="19"/>
      <c r="AB70" s="19"/>
      <c r="AC70" s="37">
        <f t="shared" si="12"/>
        <v>0</v>
      </c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21"/>
      <c r="AZ70" s="36" t="str">
        <f>IFERROR(VLOOKUP('A1 (Aktivlər)'!AY70,List!Q:R,2,0),"")</f>
      </c>
      <c r="BA70" s="38">
        <f t="shared" si="13"/>
        <v>0</v>
      </c>
      <c r="BB70" s="38">
        <f t="shared" si="14"/>
        <v>0</v>
      </c>
      <c r="BC70" s="39">
        <f t="shared" si="15"/>
        <v>0</v>
      </c>
      <c r="BD70" s="39">
        <f t="shared" si="16"/>
        <v>0</v>
      </c>
      <c r="BE70" s="39">
        <f t="shared" si="17"/>
        <v>0</v>
      </c>
      <c r="BF70" s="39">
        <f t="shared" si="18"/>
        <v>0</v>
      </c>
      <c r="BG70" s="19"/>
      <c r="BH70" s="19"/>
      <c r="BI70" s="19"/>
      <c r="BJ70" s="19"/>
      <c r="BK70" s="19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34"/>
      <c r="CA70" s="18"/>
      <c r="CB70" s="20"/>
      <c r="CC70" s="36" t="str">
        <f>IFERROR(VLOOKUP('A1 (Aktivlər)'!CB70,List!Z:AA,2,0),"")</f>
      </c>
      <c r="CD70" s="34"/>
    </row>
    <row r="71" ht="21.75" customHeight="1" s="112" customFormat="1">
      <c r="A71" s="111">
        <v>57</v>
      </c>
      <c r="B71" s="35" t="str">
        <f t="shared" si="11"/>
      </c>
      <c r="C71" s="32"/>
      <c r="D71" s="33"/>
      <c r="E71" s="1"/>
      <c r="F71" s="36" t="str">
        <f>IFERROR(VLOOKUP('A1 (Aktivlər)'!E71,List!A:B,2,0),"")</f>
      </c>
      <c r="G71" s="1"/>
      <c r="H71" s="36" t="str">
        <f>IFERROR(VLOOKUP('A1 (Aktivlər)'!G71,List!G:H,2,0),"")</f>
      </c>
      <c r="I71" s="1"/>
      <c r="J71" s="36" t="str">
        <f>IFERROR(VLOOKUP('A1 (Aktivlər)'!I71,List!C:D,2,0),"")</f>
      </c>
      <c r="K71" s="1"/>
      <c r="L71" s="36" t="str">
        <f>IFERROR(VLOOKUP('A1 (Aktivlər)'!K71,List!E:F,2,0),"")</f>
      </c>
      <c r="M71" s="1"/>
      <c r="N71" s="36" t="str">
        <f>IFERROR(VLOOKUP('A1 (Aktivlər)'!M71,List!M:N,2,0),"")</f>
      </c>
      <c r="O71" s="1"/>
      <c r="P71" s="36" t="str">
        <f>IFERROR(VLOOKUP('A1 (Aktivlər)'!O71,List!S:T,2,0),"")</f>
      </c>
      <c r="Q71" s="1"/>
      <c r="R71" s="36" t="str">
        <f>IFERROR(VLOOKUP('A1 (Aktivlər)'!Q71,List!K:L,2,0),"")</f>
      </c>
      <c r="S71" s="16"/>
      <c r="T71" s="16"/>
      <c r="U71" s="17"/>
      <c r="V71" s="17"/>
      <c r="W71" s="20"/>
      <c r="X71" s="18"/>
      <c r="Y71" s="1"/>
      <c r="Z71" s="36" t="str">
        <f>IFERROR(VLOOKUP('A1 (Aktivlər)'!Y71,List!O:P,2,0),"")</f>
      </c>
      <c r="AA71" s="19"/>
      <c r="AB71" s="19"/>
      <c r="AC71" s="37">
        <f t="shared" si="12"/>
        <v>0</v>
      </c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21"/>
      <c r="AZ71" s="36" t="str">
        <f>IFERROR(VLOOKUP('A1 (Aktivlər)'!AY71,List!Q:R,2,0),"")</f>
      </c>
      <c r="BA71" s="38">
        <f t="shared" si="13"/>
        <v>0</v>
      </c>
      <c r="BB71" s="38">
        <f t="shared" si="14"/>
        <v>0</v>
      </c>
      <c r="BC71" s="39">
        <f t="shared" si="15"/>
        <v>0</v>
      </c>
      <c r="BD71" s="39">
        <f t="shared" si="16"/>
        <v>0</v>
      </c>
      <c r="BE71" s="39">
        <f t="shared" si="17"/>
        <v>0</v>
      </c>
      <c r="BF71" s="39">
        <f t="shared" si="18"/>
        <v>0</v>
      </c>
      <c r="BG71" s="19"/>
      <c r="BH71" s="19"/>
      <c r="BI71" s="19"/>
      <c r="BJ71" s="19"/>
      <c r="BK71" s="19"/>
      <c r="BL71" s="19"/>
      <c r="BM71" s="19"/>
      <c r="BN71" s="19"/>
      <c r="BO71" s="19"/>
      <c r="BP71" s="19"/>
      <c r="BQ71" s="19"/>
      <c r="BR71" s="19"/>
      <c r="BS71" s="19"/>
      <c r="BT71" s="19"/>
      <c r="BU71" s="19"/>
      <c r="BV71" s="19"/>
      <c r="BW71" s="19"/>
      <c r="BX71" s="19"/>
      <c r="BY71" s="19"/>
      <c r="BZ71" s="34"/>
      <c r="CA71" s="18"/>
      <c r="CB71" s="20"/>
      <c r="CC71" s="36" t="str">
        <f>IFERROR(VLOOKUP('A1 (Aktivlər)'!CB71,List!Z:AA,2,0),"")</f>
      </c>
      <c r="CD71" s="34"/>
    </row>
    <row r="72" ht="21.75" customHeight="1" s="112" customFormat="1">
      <c r="A72" s="111">
        <v>58</v>
      </c>
      <c r="B72" s="35" t="str">
        <f t="shared" si="11"/>
      </c>
      <c r="C72" s="32"/>
      <c r="D72" s="33"/>
      <c r="E72" s="1"/>
      <c r="F72" s="36" t="str">
        <f>IFERROR(VLOOKUP('A1 (Aktivlər)'!E72,List!A:B,2,0),"")</f>
      </c>
      <c r="G72" s="1"/>
      <c r="H72" s="36" t="str">
        <f>IFERROR(VLOOKUP('A1 (Aktivlər)'!G72,List!G:H,2,0),"")</f>
      </c>
      <c r="I72" s="1"/>
      <c r="J72" s="36" t="str">
        <f>IFERROR(VLOOKUP('A1 (Aktivlər)'!I72,List!C:D,2,0),"")</f>
      </c>
      <c r="K72" s="1"/>
      <c r="L72" s="36" t="str">
        <f>IFERROR(VLOOKUP('A1 (Aktivlər)'!K72,List!E:F,2,0),"")</f>
      </c>
      <c r="M72" s="1"/>
      <c r="N72" s="36" t="str">
        <f>IFERROR(VLOOKUP('A1 (Aktivlər)'!M72,List!M:N,2,0),"")</f>
      </c>
      <c r="O72" s="1"/>
      <c r="P72" s="36" t="str">
        <f>IFERROR(VLOOKUP('A1 (Aktivlər)'!O72,List!S:T,2,0),"")</f>
      </c>
      <c r="Q72" s="1"/>
      <c r="R72" s="36" t="str">
        <f>IFERROR(VLOOKUP('A1 (Aktivlər)'!Q72,List!K:L,2,0),"")</f>
      </c>
      <c r="S72" s="16"/>
      <c r="T72" s="16"/>
      <c r="U72" s="17"/>
      <c r="V72" s="17"/>
      <c r="W72" s="20"/>
      <c r="X72" s="18"/>
      <c r="Y72" s="1"/>
      <c r="Z72" s="36" t="str">
        <f>IFERROR(VLOOKUP('A1 (Aktivlər)'!Y72,List!O:P,2,0),"")</f>
      </c>
      <c r="AA72" s="19"/>
      <c r="AB72" s="19"/>
      <c r="AC72" s="37">
        <f t="shared" si="12"/>
        <v>0</v>
      </c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21"/>
      <c r="AZ72" s="36" t="str">
        <f>IFERROR(VLOOKUP('A1 (Aktivlər)'!AY72,List!Q:R,2,0),"")</f>
      </c>
      <c r="BA72" s="38">
        <f t="shared" si="13"/>
        <v>0</v>
      </c>
      <c r="BB72" s="38">
        <f t="shared" si="14"/>
        <v>0</v>
      </c>
      <c r="BC72" s="39">
        <f t="shared" si="15"/>
        <v>0</v>
      </c>
      <c r="BD72" s="39">
        <f t="shared" si="16"/>
        <v>0</v>
      </c>
      <c r="BE72" s="39">
        <f t="shared" si="17"/>
        <v>0</v>
      </c>
      <c r="BF72" s="39">
        <f t="shared" si="18"/>
        <v>0</v>
      </c>
      <c r="BG72" s="19"/>
      <c r="BH72" s="19"/>
      <c r="BI72" s="19"/>
      <c r="BJ72" s="19"/>
      <c r="BK72" s="19"/>
      <c r="BL72" s="19"/>
      <c r="BM72" s="19"/>
      <c r="BN72" s="19"/>
      <c r="BO72" s="19"/>
      <c r="BP72" s="19"/>
      <c r="BQ72" s="19"/>
      <c r="BR72" s="19"/>
      <c r="BS72" s="19"/>
      <c r="BT72" s="19"/>
      <c r="BU72" s="19"/>
      <c r="BV72" s="19"/>
      <c r="BW72" s="19"/>
      <c r="BX72" s="19"/>
      <c r="BY72" s="19"/>
      <c r="BZ72" s="34"/>
      <c r="CA72" s="18"/>
      <c r="CB72" s="20"/>
      <c r="CC72" s="36" t="str">
        <f>IFERROR(VLOOKUP('A1 (Aktivlər)'!CB72,List!Z:AA,2,0),"")</f>
      </c>
      <c r="CD72" s="34"/>
    </row>
    <row r="73" ht="21.75" customHeight="1" s="112" customFormat="1">
      <c r="A73" s="111">
        <v>59</v>
      </c>
      <c r="B73" s="35" t="str">
        <f t="shared" si="11"/>
      </c>
      <c r="C73" s="32"/>
      <c r="D73" s="33"/>
      <c r="E73" s="1"/>
      <c r="F73" s="36" t="str">
        <f>IFERROR(VLOOKUP('A1 (Aktivlər)'!E73,List!A:B,2,0),"")</f>
      </c>
      <c r="G73" s="1"/>
      <c r="H73" s="36" t="str">
        <f>IFERROR(VLOOKUP('A1 (Aktivlər)'!G73,List!G:H,2,0),"")</f>
      </c>
      <c r="I73" s="1"/>
      <c r="J73" s="36" t="str">
        <f>IFERROR(VLOOKUP('A1 (Aktivlər)'!I73,List!C:D,2,0),"")</f>
      </c>
      <c r="K73" s="1"/>
      <c r="L73" s="36" t="str">
        <f>IFERROR(VLOOKUP('A1 (Aktivlər)'!K73,List!E:F,2,0),"")</f>
      </c>
      <c r="M73" s="1"/>
      <c r="N73" s="36" t="str">
        <f>IFERROR(VLOOKUP('A1 (Aktivlər)'!M73,List!M:N,2,0),"")</f>
      </c>
      <c r="O73" s="1"/>
      <c r="P73" s="36" t="str">
        <f>IFERROR(VLOOKUP('A1 (Aktivlər)'!O73,List!S:T,2,0),"")</f>
      </c>
      <c r="Q73" s="1"/>
      <c r="R73" s="36" t="str">
        <f>IFERROR(VLOOKUP('A1 (Aktivlər)'!Q73,List!K:L,2,0),"")</f>
      </c>
      <c r="S73" s="16"/>
      <c r="T73" s="16"/>
      <c r="U73" s="17"/>
      <c r="V73" s="17"/>
      <c r="W73" s="20"/>
      <c r="X73" s="18"/>
      <c r="Y73" s="1"/>
      <c r="Z73" s="36" t="str">
        <f>IFERROR(VLOOKUP('A1 (Aktivlər)'!Y73,List!O:P,2,0),"")</f>
      </c>
      <c r="AA73" s="19"/>
      <c r="AB73" s="19"/>
      <c r="AC73" s="37">
        <f t="shared" si="12"/>
        <v>0</v>
      </c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21"/>
      <c r="AZ73" s="36" t="str">
        <f>IFERROR(VLOOKUP('A1 (Aktivlər)'!AY73,List!Q:R,2,0),"")</f>
      </c>
      <c r="BA73" s="38">
        <f t="shared" si="13"/>
        <v>0</v>
      </c>
      <c r="BB73" s="38">
        <f t="shared" si="14"/>
        <v>0</v>
      </c>
      <c r="BC73" s="39">
        <f t="shared" si="15"/>
        <v>0</v>
      </c>
      <c r="BD73" s="39">
        <f t="shared" si="16"/>
        <v>0</v>
      </c>
      <c r="BE73" s="39">
        <f t="shared" si="17"/>
        <v>0</v>
      </c>
      <c r="BF73" s="39">
        <f t="shared" si="18"/>
        <v>0</v>
      </c>
      <c r="BG73" s="19"/>
      <c r="BH73" s="19"/>
      <c r="BI73" s="19"/>
      <c r="BJ73" s="19"/>
      <c r="BK73" s="19"/>
      <c r="BL73" s="19"/>
      <c r="BM73" s="19"/>
      <c r="BN73" s="19"/>
      <c r="BO73" s="19"/>
      <c r="BP73" s="19"/>
      <c r="BQ73" s="19"/>
      <c r="BR73" s="19"/>
      <c r="BS73" s="19"/>
      <c r="BT73" s="19"/>
      <c r="BU73" s="19"/>
      <c r="BV73" s="19"/>
      <c r="BW73" s="19"/>
      <c r="BX73" s="19"/>
      <c r="BY73" s="19"/>
      <c r="BZ73" s="34"/>
      <c r="CA73" s="18"/>
      <c r="CB73" s="20"/>
      <c r="CC73" s="36" t="str">
        <f>IFERROR(VLOOKUP('A1 (Aktivlər)'!CB73,List!Z:AA,2,0),"")</f>
      </c>
      <c r="CD73" s="34"/>
    </row>
  </sheetData>
  <sheetProtection algorithmName="SHA-512" hashValue="PaDihYtXVCTLMjXTaA0MkW7TvwtHD5DE2TbHnRE691t92Yi4Y11tCXnvMP2VHGTjQnMC7lI+PEgwvO7MffLejQ==" saltValue="hALqDWEr2rALbGP1MrIfCA==" spinCount="100000" sheet="1" formatColumns="0"/>
  <protectedRanges>
    <protectedRange sqref="C15:D73 AA15:AB73 BG15:BY73 AD15:AX73" name="Range1_1_1"/>
    <protectedRange sqref="CD15:CD73" name="Range2_1_1"/>
    <protectedRange sqref="BZ15:BZ73" name="Range2_1_2"/>
  </protectedRanges>
  <mergeCells>
    <mergeCell ref="CA11:CA13"/>
    <mergeCell ref="CD11:CD13"/>
    <mergeCell ref="CB11:CC12"/>
    <mergeCell ref="BZ11:BZ13"/>
    <mergeCell ref="A4:B4"/>
    <mergeCell ref="A5:B5"/>
    <mergeCell ref="A6:B6"/>
    <mergeCell ref="A7:B7"/>
    <mergeCell ref="B11:B13"/>
    <mergeCell ref="A11:A13"/>
    <mergeCell ref="C7:D7"/>
    <mergeCell ref="AX12:AX13"/>
    <mergeCell ref="X11:X13"/>
    <mergeCell ref="AF12:AF13"/>
    <mergeCell ref="G11:H12"/>
    <mergeCell ref="W11:W13"/>
    <mergeCell ref="C11:C13"/>
    <mergeCell ref="BT11:BW11"/>
    <mergeCell ref="AH12:AL12"/>
    <mergeCell ref="BL12:BM12"/>
    <mergeCell ref="BL11:BS11"/>
    <mergeCell ref="BJ11:BK12"/>
    <mergeCell ref="D11:D13"/>
    <mergeCell ref="I11:J12"/>
    <mergeCell ref="K11:L12"/>
    <mergeCell ref="AD12:AD13"/>
    <mergeCell ref="V11:V13"/>
    <mergeCell ref="BE12:BE13"/>
    <mergeCell ref="AE12:AE13"/>
    <mergeCell ref="AC12:AC13"/>
    <mergeCell ref="U11:U13"/>
    <mergeCell ref="S11:T12"/>
    <mergeCell ref="AM12:AQ12"/>
    <mergeCell ref="BA12:BA13"/>
    <mergeCell ref="AA12:AA13"/>
    <mergeCell ref="E11:F12"/>
    <mergeCell ref="O11:P12"/>
    <mergeCell ref="M11:N12"/>
    <mergeCell ref="Q11:R12"/>
    <mergeCell ref="Y11:Z12"/>
    <mergeCell ref="BY10:BZ10"/>
    <mergeCell ref="BN12:BO12"/>
    <mergeCell ref="BX11:BY11"/>
    <mergeCell ref="BX12:BY12"/>
    <mergeCell ref="BF12:BF13"/>
    <mergeCell ref="BT12:BU12"/>
    <mergeCell ref="BV12:BW12"/>
    <mergeCell ref="BA11:BI11"/>
    <mergeCell ref="BC12:BC13"/>
    <mergeCell ref="BG12:BI12"/>
    <mergeCell ref="BD12:BD13"/>
    <mergeCell ref="G1:I1"/>
    <mergeCell ref="G2:I2"/>
    <mergeCell ref="G3:I3"/>
    <mergeCell ref="G4:I4"/>
    <mergeCell ref="G5:I5"/>
    <mergeCell ref="G6:I6"/>
    <mergeCell ref="G7:I7"/>
    <mergeCell ref="BP12:BQ12"/>
    <mergeCell ref="BR12:BS12"/>
    <mergeCell ref="BB12:BB13"/>
    <mergeCell ref="AA11:AG11"/>
    <mergeCell ref="AR11:AS12"/>
    <mergeCell ref="AU12:AU13"/>
    <mergeCell ref="AV12:AV13"/>
    <mergeCell ref="AT11:AX11"/>
    <mergeCell ref="AW12:AW13"/>
    <mergeCell ref="AB12:AB13"/>
    <mergeCell ref="AH11:AQ11"/>
    <mergeCell ref="AT12:AT13"/>
    <mergeCell ref="AY11:AZ12"/>
    <mergeCell ref="AG12:AG13"/>
  </mergeCells>
  <dataValidations count="19">
    <dataValidation type="decimal" allowBlank="1" showInputMessage="1" showErrorMessage="1" errorTitle="Diqqət!" error="Ədədi düzgün daxil edin!" sqref="AT11:AX11 AR15:AX42 AK15:AK73" xr:uid="{6752A2AF-64F6-4734-B46E-071F204D6623}">
      <formula1>-1000000000000</formula1>
      <formula2>1000000000000</formula2>
    </dataValidation>
    <dataValidation allowBlank="1" showInputMessage="1" showErrorMessage="1" errorTitle="Diqqət!" error="Ədədi düzgün daxil edin!" sqref="AV12:AX13" xr:uid="{E107A5C0-514D-4D51-B812-3312411E3919}"/>
    <dataValidation type="decimal" allowBlank="1" showInputMessage="1" showErrorMessage="1" errorTitle="Diqqət!" error="Ədədi düzgün daxil edin!" sqref="AA15:AB73 BG15:BY73 AL15:AM73 AN43:AX73 AN15:AQ42 AD15:AJ73" xr:uid="{F9217BA6-7283-40A8-9AD9-79552956BA8C}">
      <formula1>0</formula1>
      <formula2>1000000000000</formula2>
    </dataValidation>
    <dataValidation type="decimal" operator="greaterThan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W15:W73" xr:uid="{85A0CFB9-EC59-4C13-812F-06235F2D1CA4}">
      <formula1>0</formula1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S15:T73" xr:uid="{893F7172-EF56-4098-ABD3-80743BE6DFBF}">
      <formula1>0</formula1>
      <formula2>1</formula2>
    </dataValidation>
    <dataValidation type="date" allowBlank="1" showInputMessage="1" showErrorMessage="1" errorTitle="Diqqət!" error="Tarixi düzgün daxil edin!" sqref="U15:V73" xr:uid="{761AFABA-5094-4436-B9C3-797FC1910473}">
      <formula1>34318</formula1>
      <formula2>73415</formula2>
    </dataValidation>
    <dataValidation type="decimal" allowBlank="1" showInputMessage="1" showErrorMessage="1" errorTitle="Diqqət!" error="Ədədi düzgün daxil edin!" sqref="D15:D73" xr:uid="{0C174D2E-2CD7-4BB0-9124-21CD3D015219}">
      <formula1>0</formula1>
      <formula2>999999999999999</formula2>
    </dataValidation>
    <dataValidation type="list" allowBlank="1" showInputMessage="1" showErrorMessage="1" sqref="E15:E73" xr:uid="{B6DEE620-4A18-49BB-AC58-1D86F7941DDF}">
      <formula1>investisiya_bolme_adi</formula1>
    </dataValidation>
    <dataValidation type="list" allowBlank="1" showInputMessage="1" showErrorMessage="1" sqref="G15:G73" xr:uid="{3AE2DDF0-F7B3-4EFF-96FD-66659901B959}">
      <formula1>investisiya_madde1</formula1>
    </dataValidation>
    <dataValidation type="list" allowBlank="1" showInputMessage="1" showErrorMessage="1" sqref="I15:I73" xr:uid="{98977609-5AC1-463C-BF18-A8C4E8653B19}">
      <formula1>qeyrirezident_elaqe</formula1>
    </dataValidation>
    <dataValidation type="list" allowBlank="1" showInputMessage="1" showErrorMessage="1" sqref="K15:K73" xr:uid="{A4A01479-5FB3-4291-90B5-4B5A69BC88F8}">
      <formula1>qeyrirezident_sektor</formula1>
    </dataValidation>
    <dataValidation type="list" allowBlank="1" showInputMessage="1" showErrorMessage="1" sqref="M15:M73" xr:uid="{F5D892FD-E551-41BA-B387-B53C6184CF08}">
      <formula1>Country2</formula1>
    </dataValidation>
    <dataValidation type="list" allowBlank="1" showInputMessage="1" showErrorMessage="1" sqref="O15:O73" xr:uid="{01049814-4C41-4008-8A81-8E2BE44F7280}">
      <formula1>valyuta</formula1>
    </dataValidation>
    <dataValidation type="list" allowBlank="1" showInputMessage="1" showErrorMessage="1" sqref="Q15:Q73" xr:uid="{351C734E-B08E-4AB0-9735-F6B0D8F9E65C}">
      <formula1>restrukturizasiya</formula1>
    </dataValidation>
    <dataValidation type="list" allowBlank="1" showInputMessage="1" showErrorMessage="1" sqref="Y15:Y73" xr:uid="{0D608FED-047C-4A8E-B967-0CEEF78F4B79}">
      <formula1>faiz_novu</formula1>
    </dataValidation>
    <dataValidation type="list" allowBlank="1" showInputMessage="1" showErrorMessage="1" sqref="AY15:AY73" xr:uid="{70C5727F-6D56-4E19-963F-F2BBAC240C15}">
      <formula1>diger_deyishiklik</formula1>
    </dataValidation>
    <dataValidation type="list" allowBlank="1" showInputMessage="1" showErrorMessage="1" sqref="CB15:CB73" xr:uid="{B79196B6-3C8F-48FD-BB5C-046E25C7ECE4}">
      <formula1>kupon_muddet</formula1>
    </dataValidation>
    <dataValidation type="list" allowBlank="1" showInputMessage="1" showErrorMessage="1" sqref="BZ15:BZ73" xr:uid="{2C216B07-C421-4DA7-9F2F-2B9BB43BB15B}">
      <formula1>zemanet</formula1>
    </dataValidation>
    <dataValidation type="whole" allowBlank="1" showInputMessage="1" showErrorMessage="1" errorTitle="Diqqət!" error="Ədədi düzgün daxil edin!" sqref="C15:C73" xr:uid="{C40E31B2-C9EC-4224-B10B-BB238F9E2450}">
      <formula1>0</formula1>
      <formula2>1000000000000</formula2>
    </dataValidation>
  </dataValidations>
  <pageMargins left="0.7" right="0.7" top="0.75" bottom="0.75" header="0.3" footer="0.3"/>
  <pageSetup scale="64" orientation="landscape"/>
  <headerFooter/>
  <colBreaks count="3" manualBreakCount="3">
    <brk id="40" max="16383" man="1"/>
    <brk id="52" max="16383" man="1"/>
    <brk id="64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8" r:id="rId4" name="Button 22">
              <controlPr defaultSize="0" print="0" autoFill="0" autoPict="0" macro="[0]!MainSheetActive">
                <anchor moveWithCells="1" sizeWithCells="1">
                  <from>
                    <xdr:col>4</xdr:col>
                    <xdr:colOff>95250</xdr:colOff>
                    <xdr:row>0</xdr:row>
                    <xdr:rowOff>152400</xdr:rowOff>
                  </from>
                  <to>
                    <xdr:col>5</xdr:col>
                    <xdr:colOff>514350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1" r:id="rId5" name="Button 365">
              <controlPr defaultSize="0" print="0" autoFill="0" autoPict="0" macro="[0]!InsertRows_A1">
                <anchor moveWithCells="1">
                  <from>
                    <xdr:col>0</xdr:col>
                    <xdr:colOff>581025</xdr:colOff>
                    <xdr:row>7</xdr:row>
                    <xdr:rowOff>190500</xdr:rowOff>
                  </from>
                  <to>
                    <xdr:col>1</xdr:col>
                    <xdr:colOff>1333500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2" r:id="rId6" name="Button 366">
              <controlPr defaultSize="0" print="0" autoFill="0" autoPict="0" macro="[0]!DeleteRows_A1">
                <anchor moveWithCells="1">
                  <from>
                    <xdr:col>1</xdr:col>
                    <xdr:colOff>1685925</xdr:colOff>
                    <xdr:row>7</xdr:row>
                    <xdr:rowOff>190500</xdr:rowOff>
                  </from>
                  <to>
                    <xdr:col>2</xdr:col>
                    <xdr:colOff>1362075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1" r:id="rId7" name="Button 375">
              <controlPr defaultSize="0" print="0" autoFill="0" autoPict="0" macro="[0]!FillStartPeriod_A1">
                <anchor moveWithCells="1">
                  <from>
                    <xdr:col>4</xdr:col>
                    <xdr:colOff>866775</xdr:colOff>
                    <xdr:row>7</xdr:row>
                    <xdr:rowOff>152400</xdr:rowOff>
                  </from>
                  <to>
                    <xdr:col>5</xdr:col>
                    <xdr:colOff>38100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3"/>
  <dimension ref="A1:CF132"/>
  <sheetViews>
    <sheetView tabSelected="1" zoomScale="85" zoomScaleNormal="85" zoomScaleSheetLayoutView="70" workbookViewId="0">
      <selection activeCell="B15" sqref="B15"/>
    </sheetView>
  </sheetViews>
  <sheetFormatPr defaultColWidth="14.7109375" defaultRowHeight="15" x14ac:dyDescent="0.2"/>
  <cols>
    <col min="1" max="1" width="11" customWidth="1" style="64"/>
    <col min="2" max="2" width="29.140625" customWidth="1" style="64"/>
    <col min="3" max="3" width="21.85546875" customWidth="1" style="64"/>
    <col min="4" max="4" width="18.42578125" customWidth="1" style="64"/>
    <col min="5" max="5" width="21.7109375" customWidth="1" style="65"/>
    <col min="6" max="6" width="13.140625" customWidth="1" style="64"/>
    <col min="7" max="7" width="30.5703125" customWidth="1" style="66"/>
    <col min="8" max="8" width="8.42578125" customWidth="1" style="64"/>
    <col min="9" max="9" width="30.85546875" customWidth="1" style="64"/>
    <col min="10" max="10" width="7.85546875" customWidth="1" style="64"/>
    <col min="11" max="11" width="31.28515625" customWidth="1" style="66"/>
    <col min="12" max="12" width="8.42578125" customWidth="1" style="64"/>
    <col min="13" max="13" width="33.5703125" customWidth="1" style="66"/>
    <col min="14" max="14" width="7.28515625" customWidth="1" style="64"/>
    <col min="15" max="15" width="14.5703125" customWidth="1" style="64"/>
    <col min="16" max="16" width="7.42578125" customWidth="1" style="64"/>
    <col min="17" max="17" width="28.85546875" customWidth="1" style="64"/>
    <col min="18" max="18" width="8.140625" customWidth="1" style="64"/>
    <col min="19" max="19" width="13" customWidth="1" style="64"/>
    <col min="20" max="20" width="12.140625" customWidth="1" style="64"/>
    <col min="21" max="21" width="12.5703125" customWidth="1" style="64"/>
    <col min="22" max="22" width="13.28515625" customWidth="1" style="64"/>
    <col min="23" max="23" width="11" customWidth="1" style="67"/>
    <col min="24" max="24" width="11" customWidth="1" style="64"/>
    <col min="25" max="25" width="15.5703125" customWidth="1" style="64"/>
    <col min="26" max="26" width="14.7109375" customWidth="1" style="64"/>
    <col min="27" max="27" width="12.28515625" customWidth="1" style="64"/>
    <col min="28" max="29" width="18.7109375" customWidth="1" style="68"/>
    <col min="30" max="30" width="23.140625" customWidth="1" style="64"/>
    <col min="31" max="31" width="15.42578125" customWidth="1" style="64"/>
    <col min="32" max="32" width="18.7109375" customWidth="1" style="64"/>
    <col min="33" max="33" width="19.28515625" customWidth="1" style="64"/>
    <col min="34" max="34" width="22.28515625" customWidth="1" style="64"/>
    <col min="35" max="35" width="22.5703125" customWidth="1" style="64"/>
    <col min="36" max="36" width="18" customWidth="1" style="64"/>
    <col min="37" max="37" width="18.7109375" customWidth="1" style="64"/>
    <col min="38" max="38" width="22" customWidth="1" style="64"/>
    <col min="39" max="39" width="19.42578125" customWidth="1" style="64"/>
    <col min="40" max="40" width="24.5703125" customWidth="1" style="64"/>
    <col min="41" max="41" width="19.28515625" customWidth="1" style="64"/>
    <col min="42" max="42" width="19.5703125" customWidth="1" style="64"/>
    <col min="43" max="43" width="19.28515625" customWidth="1" style="64"/>
    <col min="44" max="44" width="21.42578125" customWidth="1" style="64"/>
    <col min="45" max="45" width="24" customWidth="1" style="64"/>
    <col min="46" max="46" width="19.7109375" customWidth="1" style="66"/>
    <col min="47" max="47" width="26.85546875" customWidth="1" style="64"/>
    <col min="48" max="50" width="19.7109375" customWidth="1" style="64"/>
    <col min="51" max="52" width="18.7109375" customWidth="1" style="64"/>
    <col min="53" max="53" width="21.7109375" customWidth="1" style="64"/>
    <col min="54" max="54" width="17.28515625" customWidth="1" style="64"/>
    <col min="55" max="55" width="19.5703125" customWidth="1" style="64"/>
    <col min="56" max="56" width="14.5703125" customWidth="1" style="64"/>
    <col min="57" max="58" width="16.140625" customWidth="1" style="64"/>
    <col min="59" max="59" width="17.5703125" customWidth="1" style="64"/>
    <col min="60" max="60" width="12.140625" customWidth="1" style="64"/>
    <col min="61" max="61" width="13.28515625" customWidth="1" style="64"/>
    <col min="62" max="62" width="12.140625" customWidth="1" style="64"/>
    <col min="63" max="63" width="13" customWidth="1" style="64"/>
    <col min="64" max="64" width="12.140625" customWidth="1" style="64"/>
    <col min="65" max="65" width="12.85546875" customWidth="1" style="64"/>
    <col min="66" max="66" width="12.140625" customWidth="1" style="64"/>
    <col min="67" max="67" width="12.85546875" customWidth="1" style="64"/>
    <col min="68" max="68" width="12.140625" customWidth="1" style="64"/>
    <col min="69" max="69" width="13" customWidth="1" style="64"/>
    <col min="70" max="70" width="14.85546875" customWidth="1" style="64"/>
    <col min="71" max="77" width="14.7109375" customWidth="1" style="64"/>
    <col min="78" max="79" width="14.85546875" customWidth="1" style="64"/>
    <col min="80" max="80" width="18.28515625" customWidth="1" style="64"/>
    <col min="81" max="82" width="14.85546875" customWidth="1" style="64"/>
    <col min="83" max="83" width="14.7109375" customWidth="1" style="64"/>
    <col min="84" max="84" hidden="1" width="0" customWidth="1" style="64"/>
    <col min="85" max="16384" width="14.7109375" customWidth="1" style="64"/>
  </cols>
  <sheetData>
    <row r="1">
      <c r="G1" s="144" t="s">
        <v>0</v>
      </c>
      <c r="H1" s="144"/>
      <c r="I1" s="144"/>
    </row>
    <row r="2">
      <c r="G2" s="144" t="s">
        <v>1</v>
      </c>
      <c r="H2" s="144"/>
      <c r="I2" s="144"/>
    </row>
    <row r="3">
      <c r="G3" s="144" t="s">
        <v>57</v>
      </c>
      <c r="H3" s="144"/>
      <c r="I3" s="144"/>
      <c r="O3" s="69"/>
      <c r="P3" s="69"/>
      <c r="V3" s="69"/>
      <c r="Y3" s="69"/>
      <c r="Z3" s="69"/>
      <c r="AA3" s="69"/>
    </row>
    <row r="4" ht="15.75" customHeight="1">
      <c r="A4" s="185" t="s">
        <v>3</v>
      </c>
      <c r="B4" s="185"/>
      <c r="C4" s="65" t="str">
        <f>IF(XBBIS!D10="","",XBBIS!D10)</f>
        <v>BANK MELLİ İRAN BAKI FİLİALI</v>
      </c>
      <c r="D4" s="65"/>
      <c r="F4" s="65"/>
      <c r="G4" s="144" t="s">
        <v>58</v>
      </c>
      <c r="H4" s="144"/>
      <c r="I4" s="144"/>
      <c r="J4" s="70"/>
      <c r="K4" s="70"/>
      <c r="M4" s="71"/>
      <c r="O4" s="69"/>
      <c r="U4" s="69"/>
      <c r="Y4" s="69"/>
      <c r="Z4" s="69"/>
      <c r="AA4" s="69"/>
      <c r="AB4" s="64"/>
      <c r="AC4" s="64"/>
    </row>
    <row r="5" ht="18" s="67" customFormat="1">
      <c r="A5" s="186" t="s">
        <v>5</v>
      </c>
      <c r="B5" s="186"/>
      <c r="C5" s="66" t="str">
        <f>IF(OR(XBBIS!N10="",XBBIS!R10=""),"",XBBIS!N10 &amp; "-ci rüb " &amp; XBBIS!R10&amp;"-ci il")</f>
        <v>3-ci rüb 2024-ci il</v>
      </c>
      <c r="D5" s="66"/>
      <c r="E5" s="72"/>
      <c r="F5" s="73"/>
      <c r="G5" s="162" t="s">
        <v>6</v>
      </c>
      <c r="H5" s="162"/>
      <c r="I5" s="162"/>
      <c r="J5" s="74"/>
      <c r="K5" s="70"/>
      <c r="M5" s="71"/>
      <c r="O5" s="74"/>
      <c r="T5" s="66"/>
      <c r="U5" s="69"/>
      <c r="Y5" s="74"/>
      <c r="Z5" s="74"/>
      <c r="AA5" s="74"/>
      <c r="AB5" s="75"/>
      <c r="AC5" s="75"/>
      <c r="AT5" s="6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76"/>
      <c r="BQ5" s="76"/>
      <c r="BR5" s="76"/>
      <c r="BS5" s="76"/>
      <c r="BT5" s="76"/>
      <c r="BZ5" s="76"/>
      <c r="CA5" s="76"/>
      <c r="CB5" s="76"/>
      <c r="CC5" s="76"/>
      <c r="CD5" s="76"/>
      <c r="CF5" s="67">
        <v>15</v>
      </c>
    </row>
    <row r="6" ht="20.25" customHeight="1" s="67" customFormat="1">
      <c r="A6" s="186" t="s">
        <v>7</v>
      </c>
      <c r="B6" s="186"/>
      <c r="C6" s="77">
        <f>IF(XBBIS!D16="","",XBBIS!D16)</f>
        <v>0</v>
      </c>
      <c r="D6" s="70"/>
      <c r="E6" s="78"/>
      <c r="F6" s="70"/>
      <c r="G6" s="144" t="s">
        <v>8</v>
      </c>
      <c r="H6" s="144"/>
      <c r="I6" s="144"/>
      <c r="J6" s="74"/>
      <c r="K6" s="70"/>
      <c r="L6" s="74"/>
      <c r="M6" s="66"/>
      <c r="O6" s="74"/>
      <c r="P6" s="74"/>
      <c r="Q6" s="66"/>
      <c r="R6" s="66"/>
      <c r="S6" s="66"/>
      <c r="T6" s="66"/>
      <c r="U6" s="74"/>
      <c r="V6" s="74"/>
      <c r="W6" s="69"/>
      <c r="X6" s="69"/>
      <c r="Y6" s="74"/>
      <c r="Z6" s="74"/>
      <c r="AA6" s="74"/>
      <c r="AB6" s="75"/>
      <c r="AC6" s="75"/>
      <c r="AT6" s="66"/>
      <c r="BC6" s="7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Z6" s="76"/>
      <c r="CA6" s="76"/>
      <c r="CB6" s="76"/>
      <c r="CC6" s="76"/>
      <c r="CD6" s="76"/>
      <c r="CF6" s="67">
        <v>126</v>
      </c>
    </row>
    <row r="7" ht="15.75" s="67" customFormat="1">
      <c r="A7" s="187" t="s">
        <v>9</v>
      </c>
      <c r="B7" s="187"/>
      <c r="C7" s="190" t="str">
        <f>IF(XBBIS!D14="","",XBBIS!D14)</f>
        <v>DİGƏR PUL VASİTƏÇİLİYİ </v>
      </c>
      <c r="D7" s="190"/>
      <c r="E7" s="78"/>
      <c r="F7" s="70"/>
      <c r="G7" s="144" t="s">
        <v>10</v>
      </c>
      <c r="H7" s="144"/>
      <c r="I7" s="144"/>
      <c r="J7" s="74"/>
      <c r="K7" s="70"/>
      <c r="L7" s="74"/>
      <c r="M7" s="66"/>
      <c r="O7" s="74"/>
      <c r="P7" s="74"/>
      <c r="Q7" s="66"/>
      <c r="R7" s="66"/>
      <c r="S7" s="66"/>
      <c r="T7" s="66"/>
      <c r="U7" s="74"/>
      <c r="V7" s="74"/>
      <c r="W7" s="69"/>
      <c r="X7" s="69"/>
      <c r="Y7" s="74"/>
      <c r="Z7" s="74"/>
      <c r="AA7" s="74"/>
      <c r="AB7" s="75"/>
      <c r="AC7" s="75"/>
      <c r="AT7" s="66"/>
      <c r="BC7" s="76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76"/>
      <c r="BQ7" s="76"/>
      <c r="BR7" s="76"/>
      <c r="BS7" s="76"/>
      <c r="BT7" s="76"/>
      <c r="BZ7" s="76"/>
      <c r="CA7" s="76"/>
      <c r="CB7" s="76"/>
      <c r="CC7" s="76"/>
      <c r="CD7" s="76"/>
    </row>
    <row r="8" ht="18" s="67" customFormat="1">
      <c r="A8" s="79"/>
      <c r="B8" s="79"/>
      <c r="C8" s="80"/>
      <c r="D8" s="80"/>
      <c r="E8" s="78"/>
      <c r="F8" s="70"/>
      <c r="G8" s="81"/>
      <c r="H8" s="82"/>
      <c r="I8" s="82"/>
      <c r="J8" s="74"/>
      <c r="K8" s="70"/>
      <c r="L8" s="74"/>
      <c r="M8" s="66"/>
      <c r="O8" s="74"/>
      <c r="P8" s="74"/>
      <c r="Q8" s="66"/>
      <c r="R8" s="66"/>
      <c r="S8" s="66"/>
      <c r="T8" s="66"/>
      <c r="U8" s="74"/>
      <c r="V8" s="74"/>
      <c r="W8" s="69"/>
      <c r="X8" s="69"/>
      <c r="Y8" s="74"/>
      <c r="Z8" s="74"/>
      <c r="AA8" s="74"/>
      <c r="AB8" s="75"/>
      <c r="AC8" s="75"/>
      <c r="AT8" s="66"/>
      <c r="BC8" s="76"/>
      <c r="BD8" s="76"/>
      <c r="BE8" s="76"/>
      <c r="BF8" s="76"/>
      <c r="BG8" s="76"/>
      <c r="BH8" s="76"/>
      <c r="BI8" s="76"/>
      <c r="BJ8" s="76"/>
      <c r="BK8" s="76"/>
      <c r="BL8" s="76"/>
      <c r="BM8" s="76"/>
      <c r="BN8" s="76"/>
      <c r="BO8" s="76"/>
      <c r="BP8" s="76"/>
      <c r="BQ8" s="76"/>
      <c r="BR8" s="76"/>
      <c r="BS8" s="76"/>
      <c r="BT8" s="76"/>
      <c r="BZ8" s="76"/>
      <c r="CA8" s="76"/>
      <c r="CB8" s="76"/>
      <c r="CC8" s="76"/>
      <c r="CD8" s="76"/>
    </row>
    <row r="9" ht="27.75" customHeight="1" s="67" customFormat="1">
      <c r="B9" s="83"/>
      <c r="C9" s="83"/>
      <c r="D9" s="83"/>
      <c r="G9" s="85" t="s">
        <v>59</v>
      </c>
      <c r="H9" s="84"/>
      <c r="I9" s="84"/>
      <c r="J9" s="83"/>
      <c r="K9" s="86"/>
      <c r="L9" s="83"/>
      <c r="M9" s="86"/>
      <c r="N9" s="87"/>
      <c r="O9" s="87"/>
      <c r="P9" s="87"/>
      <c r="Q9" s="87"/>
      <c r="R9" s="87"/>
      <c r="S9" s="87"/>
      <c r="T9" s="87"/>
      <c r="U9" s="87"/>
      <c r="V9" s="87"/>
      <c r="W9" s="88"/>
      <c r="AB9" s="89"/>
      <c r="AC9" s="89"/>
      <c r="AT9" s="66"/>
    </row>
    <row r="10" ht="25.5" customHeight="1" s="90" customFormat="1">
      <c r="A10" s="67"/>
      <c r="B10" s="67"/>
      <c r="C10" s="67"/>
      <c r="F10" s="91"/>
      <c r="G10" s="92" t="s">
        <v>60</v>
      </c>
      <c r="H10" s="91"/>
      <c r="I10" s="92"/>
      <c r="J10" s="93"/>
      <c r="K10" s="94"/>
      <c r="L10" s="95"/>
      <c r="M10" s="92"/>
      <c r="N10" s="95"/>
      <c r="O10" s="92" t="s">
        <v>13</v>
      </c>
      <c r="P10" s="95"/>
      <c r="Q10" s="97"/>
      <c r="R10" s="97"/>
      <c r="S10" s="97"/>
      <c r="T10" s="67"/>
      <c r="U10" s="67"/>
      <c r="V10" s="98"/>
      <c r="W10" s="67"/>
      <c r="X10" s="67"/>
      <c r="Y10" s="67"/>
      <c r="Z10" s="67"/>
      <c r="AA10" s="67"/>
      <c r="AB10" s="89"/>
      <c r="AC10" s="89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99"/>
      <c r="AU10" s="98"/>
      <c r="AV10" s="67"/>
      <c r="AW10" s="98"/>
      <c r="AX10" s="67"/>
      <c r="AY10" s="101"/>
      <c r="AZ10" s="101"/>
      <c r="BA10" s="98"/>
      <c r="BB10" s="98"/>
      <c r="BC10" s="100"/>
      <c r="BD10" s="100"/>
      <c r="BE10" s="100"/>
      <c r="BF10" s="100"/>
      <c r="BG10" s="100"/>
      <c r="BH10" s="100"/>
      <c r="BI10" s="100"/>
      <c r="BJ10" s="100"/>
      <c r="BK10" s="100"/>
      <c r="BL10" s="100"/>
      <c r="BM10" s="100"/>
      <c r="BN10" s="100"/>
      <c r="BO10" s="100"/>
      <c r="BP10" s="100"/>
      <c r="BQ10" s="101"/>
      <c r="BR10" s="101"/>
      <c r="BS10" s="100"/>
      <c r="BT10" s="100"/>
      <c r="BY10" s="101"/>
      <c r="BZ10" s="101"/>
      <c r="CA10" s="101"/>
      <c r="CB10" s="101"/>
      <c r="CC10" s="101" t="s">
        <v>13</v>
      </c>
      <c r="CD10" s="92"/>
    </row>
    <row r="11" ht="38.25" customHeight="1" s="103" customFormat="1">
      <c r="A11" s="188" t="s">
        <v>61</v>
      </c>
      <c r="B11" s="156" t="s">
        <v>62</v>
      </c>
      <c r="C11" s="156" t="s">
        <v>16</v>
      </c>
      <c r="D11" s="156" t="s">
        <v>63</v>
      </c>
      <c r="E11" s="152" t="s">
        <v>64</v>
      </c>
      <c r="F11" s="153"/>
      <c r="G11" s="152" t="s">
        <v>65</v>
      </c>
      <c r="H11" s="153"/>
      <c r="I11" s="152" t="s">
        <v>66</v>
      </c>
      <c r="J11" s="153"/>
      <c r="K11" s="152" t="s">
        <v>67</v>
      </c>
      <c r="L11" s="153"/>
      <c r="M11" s="152" t="s">
        <v>68</v>
      </c>
      <c r="N11" s="153"/>
      <c r="O11" s="152" t="s">
        <v>23</v>
      </c>
      <c r="P11" s="153"/>
      <c r="Q11" s="152" t="s">
        <v>69</v>
      </c>
      <c r="R11" s="153"/>
      <c r="S11" s="152" t="s">
        <v>70</v>
      </c>
      <c r="T11" s="153"/>
      <c r="U11" s="156" t="s">
        <v>25</v>
      </c>
      <c r="V11" s="156" t="s">
        <v>26</v>
      </c>
      <c r="W11" s="156" t="s">
        <v>27</v>
      </c>
      <c r="X11" s="156" t="s">
        <v>71</v>
      </c>
      <c r="Y11" s="152" t="s">
        <v>72</v>
      </c>
      <c r="Z11" s="153"/>
      <c r="AA11" s="149" t="s">
        <v>28</v>
      </c>
      <c r="AB11" s="150"/>
      <c r="AC11" s="150"/>
      <c r="AD11" s="150"/>
      <c r="AE11" s="150"/>
      <c r="AF11" s="150"/>
      <c r="AG11" s="151"/>
      <c r="AH11" s="160" t="s">
        <v>73</v>
      </c>
      <c r="AI11" s="160"/>
      <c r="AJ11" s="160"/>
      <c r="AK11" s="160"/>
      <c r="AL11" s="160"/>
      <c r="AM11" s="160"/>
      <c r="AN11" s="160"/>
      <c r="AO11" s="160"/>
      <c r="AP11" s="160"/>
      <c r="AQ11" s="160"/>
      <c r="AR11" s="152" t="s">
        <v>30</v>
      </c>
      <c r="AS11" s="153"/>
      <c r="AT11" s="160" t="s">
        <v>74</v>
      </c>
      <c r="AU11" s="160"/>
      <c r="AV11" s="160"/>
      <c r="AW11" s="160"/>
      <c r="AX11" s="160"/>
      <c r="AY11" s="152" t="s">
        <v>32</v>
      </c>
      <c r="AZ11" s="153"/>
      <c r="BA11" s="149" t="s">
        <v>33</v>
      </c>
      <c r="BB11" s="150"/>
      <c r="BC11" s="150"/>
      <c r="BD11" s="150"/>
      <c r="BE11" s="150"/>
      <c r="BF11" s="150"/>
      <c r="BG11" s="150"/>
      <c r="BH11" s="150"/>
      <c r="BI11" s="151"/>
      <c r="BJ11" s="176" t="s">
        <v>34</v>
      </c>
      <c r="BK11" s="177"/>
      <c r="BL11" s="165" t="s">
        <v>35</v>
      </c>
      <c r="BM11" s="175"/>
      <c r="BN11" s="175"/>
      <c r="BO11" s="175"/>
      <c r="BP11" s="175"/>
      <c r="BQ11" s="175"/>
      <c r="BR11" s="175"/>
      <c r="BS11" s="166"/>
      <c r="BT11" s="174" t="s">
        <v>36</v>
      </c>
      <c r="BU11" s="174"/>
      <c r="BV11" s="174"/>
      <c r="BW11" s="174"/>
      <c r="BX11" s="165" t="s">
        <v>37</v>
      </c>
      <c r="BY11" s="166"/>
      <c r="BZ11" s="174" t="s">
        <v>75</v>
      </c>
      <c r="CA11" s="182" t="s">
        <v>76</v>
      </c>
      <c r="CB11" s="152" t="s">
        <v>77</v>
      </c>
      <c r="CC11" s="153"/>
      <c r="CD11" s="174" t="s">
        <v>39</v>
      </c>
    </row>
    <row r="12" ht="41.25" customHeight="1" s="67" customFormat="1">
      <c r="A12" s="189"/>
      <c r="B12" s="157"/>
      <c r="C12" s="157"/>
      <c r="D12" s="157"/>
      <c r="E12" s="154"/>
      <c r="F12" s="155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54"/>
      <c r="R12" s="155"/>
      <c r="S12" s="180"/>
      <c r="T12" s="181"/>
      <c r="U12" s="157"/>
      <c r="V12" s="157"/>
      <c r="W12" s="157"/>
      <c r="X12" s="157"/>
      <c r="Y12" s="154"/>
      <c r="Z12" s="155"/>
      <c r="AA12" s="158" t="s">
        <v>78</v>
      </c>
      <c r="AB12" s="148" t="s">
        <v>79</v>
      </c>
      <c r="AC12" s="148" t="s">
        <v>80</v>
      </c>
      <c r="AD12" s="157" t="s">
        <v>81</v>
      </c>
      <c r="AE12" s="159" t="s">
        <v>82</v>
      </c>
      <c r="AF12" s="157" t="s">
        <v>83</v>
      </c>
      <c r="AG12" s="159" t="s">
        <v>84</v>
      </c>
      <c r="AH12" s="170" t="s">
        <v>85</v>
      </c>
      <c r="AI12" s="171"/>
      <c r="AJ12" s="171"/>
      <c r="AK12" s="171"/>
      <c r="AL12" s="172"/>
      <c r="AM12" s="170" t="s">
        <v>41</v>
      </c>
      <c r="AN12" s="171"/>
      <c r="AO12" s="171"/>
      <c r="AP12" s="171"/>
      <c r="AQ12" s="172"/>
      <c r="AR12" s="154"/>
      <c r="AS12" s="155"/>
      <c r="AT12" s="147" t="s">
        <v>86</v>
      </c>
      <c r="AU12" s="156" t="s">
        <v>87</v>
      </c>
      <c r="AV12" s="158" t="s">
        <v>88</v>
      </c>
      <c r="AW12" s="156" t="s">
        <v>89</v>
      </c>
      <c r="AX12" s="158" t="s">
        <v>90</v>
      </c>
      <c r="AY12" s="154"/>
      <c r="AZ12" s="155"/>
      <c r="BA12" s="147" t="s">
        <v>79</v>
      </c>
      <c r="BB12" s="147" t="s">
        <v>91</v>
      </c>
      <c r="BC12" s="156" t="s">
        <v>92</v>
      </c>
      <c r="BD12" s="158" t="s">
        <v>82</v>
      </c>
      <c r="BE12" s="157" t="s">
        <v>83</v>
      </c>
      <c r="BF12" s="158" t="s">
        <v>93</v>
      </c>
      <c r="BG12" s="167" t="s">
        <v>94</v>
      </c>
      <c r="BH12" s="168"/>
      <c r="BI12" s="169"/>
      <c r="BJ12" s="178"/>
      <c r="BK12" s="179"/>
      <c r="BL12" s="164" t="s">
        <v>42</v>
      </c>
      <c r="BM12" s="164"/>
      <c r="BN12" s="164" t="s">
        <v>43</v>
      </c>
      <c r="BO12" s="164"/>
      <c r="BP12" s="145" t="s">
        <v>44</v>
      </c>
      <c r="BQ12" s="146"/>
      <c r="BR12" s="145" t="s">
        <v>45</v>
      </c>
      <c r="BS12" s="146"/>
      <c r="BT12" s="145" t="s">
        <v>46</v>
      </c>
      <c r="BU12" s="146"/>
      <c r="BV12" s="145" t="s">
        <v>95</v>
      </c>
      <c r="BW12" s="146"/>
      <c r="BX12" s="145" t="s">
        <v>96</v>
      </c>
      <c r="BY12" s="146"/>
      <c r="BZ12" s="174"/>
      <c r="CA12" s="183"/>
      <c r="CB12" s="154"/>
      <c r="CC12" s="155"/>
      <c r="CD12" s="174"/>
    </row>
    <row r="13" ht="90.75" customHeight="1" s="89" customFormat="1">
      <c r="A13" s="189"/>
      <c r="B13" s="157"/>
      <c r="C13" s="157"/>
      <c r="D13" s="157"/>
      <c r="E13" s="104" t="s">
        <v>97</v>
      </c>
      <c r="F13" s="104" t="s">
        <v>50</v>
      </c>
      <c r="G13" s="104" t="s">
        <v>98</v>
      </c>
      <c r="H13" s="104" t="s">
        <v>50</v>
      </c>
      <c r="I13" s="104" t="s">
        <v>98</v>
      </c>
      <c r="J13" s="104" t="s">
        <v>50</v>
      </c>
      <c r="K13" s="104" t="s">
        <v>97</v>
      </c>
      <c r="L13" s="104" t="s">
        <v>50</v>
      </c>
      <c r="M13" s="104" t="s">
        <v>97</v>
      </c>
      <c r="N13" s="104" t="s">
        <v>50</v>
      </c>
      <c r="O13" s="104" t="s">
        <v>97</v>
      </c>
      <c r="P13" s="104" t="s">
        <v>50</v>
      </c>
      <c r="Q13" s="104" t="s">
        <v>97</v>
      </c>
      <c r="R13" s="104" t="s">
        <v>50</v>
      </c>
      <c r="S13" s="104" t="s">
        <v>53</v>
      </c>
      <c r="T13" s="104" t="s">
        <v>54</v>
      </c>
      <c r="U13" s="157"/>
      <c r="V13" s="157"/>
      <c r="W13" s="157"/>
      <c r="X13" s="157"/>
      <c r="Y13" s="104" t="s">
        <v>98</v>
      </c>
      <c r="Z13" s="104" t="s">
        <v>50</v>
      </c>
      <c r="AA13" s="173"/>
      <c r="AB13" s="161"/>
      <c r="AC13" s="148"/>
      <c r="AD13" s="157"/>
      <c r="AE13" s="157"/>
      <c r="AF13" s="157"/>
      <c r="AG13" s="157"/>
      <c r="AH13" s="104" t="s">
        <v>99</v>
      </c>
      <c r="AI13" s="104" t="s">
        <v>100</v>
      </c>
      <c r="AJ13" s="105" t="s">
        <v>82</v>
      </c>
      <c r="AK13" s="104" t="s">
        <v>83</v>
      </c>
      <c r="AL13" s="105" t="s">
        <v>101</v>
      </c>
      <c r="AM13" s="104" t="s">
        <v>102</v>
      </c>
      <c r="AN13" s="104" t="s">
        <v>100</v>
      </c>
      <c r="AO13" s="105" t="s">
        <v>82</v>
      </c>
      <c r="AP13" s="104" t="s">
        <v>103</v>
      </c>
      <c r="AQ13" s="105" t="s">
        <v>84</v>
      </c>
      <c r="AR13" s="106" t="s">
        <v>104</v>
      </c>
      <c r="AS13" s="106" t="s">
        <v>105</v>
      </c>
      <c r="AT13" s="161"/>
      <c r="AU13" s="157"/>
      <c r="AV13" s="159"/>
      <c r="AW13" s="157"/>
      <c r="AX13" s="157"/>
      <c r="AY13" s="104" t="s">
        <v>98</v>
      </c>
      <c r="AZ13" s="104" t="s">
        <v>50</v>
      </c>
      <c r="BA13" s="161"/>
      <c r="BB13" s="148"/>
      <c r="BC13" s="157"/>
      <c r="BD13" s="157"/>
      <c r="BE13" s="157"/>
      <c r="BF13" s="157"/>
      <c r="BG13" s="107" t="s">
        <v>106</v>
      </c>
      <c r="BH13" s="108" t="s">
        <v>107</v>
      </c>
      <c r="BI13" s="108" t="s">
        <v>108</v>
      </c>
      <c r="BJ13" s="109" t="s">
        <v>109</v>
      </c>
      <c r="BK13" s="110" t="s">
        <v>110</v>
      </c>
      <c r="BL13" s="109" t="s">
        <v>109</v>
      </c>
      <c r="BM13" s="110" t="s">
        <v>110</v>
      </c>
      <c r="BN13" s="109" t="s">
        <v>109</v>
      </c>
      <c r="BO13" s="110" t="s">
        <v>110</v>
      </c>
      <c r="BP13" s="109" t="s">
        <v>109</v>
      </c>
      <c r="BQ13" s="110" t="s">
        <v>110</v>
      </c>
      <c r="BR13" s="109" t="s">
        <v>109</v>
      </c>
      <c r="BS13" s="110" t="s">
        <v>110</v>
      </c>
      <c r="BT13" s="109" t="s">
        <v>109</v>
      </c>
      <c r="BU13" s="110" t="s">
        <v>110</v>
      </c>
      <c r="BV13" s="109" t="s">
        <v>109</v>
      </c>
      <c r="BW13" s="110" t="s">
        <v>110</v>
      </c>
      <c r="BX13" s="109" t="s">
        <v>109</v>
      </c>
      <c r="BY13" s="110" t="s">
        <v>110</v>
      </c>
      <c r="BZ13" s="182"/>
      <c r="CA13" s="184"/>
      <c r="CB13" s="104" t="s">
        <v>98</v>
      </c>
      <c r="CC13" s="104" t="s">
        <v>50</v>
      </c>
      <c r="CD13" s="182"/>
    </row>
    <row r="14" ht="19.5" customHeight="1" s="67" customFormat="1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 t="s">
        <v>111</v>
      </c>
      <c r="AC14" s="104">
        <v>28</v>
      </c>
      <c r="AD14" s="104">
        <v>29</v>
      </c>
      <c r="AE14" s="104">
        <v>30</v>
      </c>
      <c r="AF14" s="104">
        <v>31</v>
      </c>
      <c r="AG14" s="104">
        <v>32</v>
      </c>
      <c r="AH14" s="104" t="s">
        <v>112</v>
      </c>
      <c r="AI14" s="104">
        <v>33</v>
      </c>
      <c r="AJ14" s="104">
        <v>34</v>
      </c>
      <c r="AK14" s="104">
        <v>35</v>
      </c>
      <c r="AL14" s="104">
        <v>36</v>
      </c>
      <c r="AM14" s="104" t="s">
        <v>113</v>
      </c>
      <c r="AN14" s="104">
        <v>37</v>
      </c>
      <c r="AO14" s="104">
        <v>38</v>
      </c>
      <c r="AP14" s="104">
        <v>39</v>
      </c>
      <c r="AQ14" s="104">
        <v>40</v>
      </c>
      <c r="AR14" s="104" t="s">
        <v>114</v>
      </c>
      <c r="AS14" s="104">
        <v>41</v>
      </c>
      <c r="AT14" s="104" t="s">
        <v>115</v>
      </c>
      <c r="AU14" s="104">
        <v>42</v>
      </c>
      <c r="AV14" s="104">
        <v>43</v>
      </c>
      <c r="AW14" s="104">
        <v>44</v>
      </c>
      <c r="AX14" s="104">
        <v>45</v>
      </c>
      <c r="AY14" s="104">
        <v>46</v>
      </c>
      <c r="AZ14" s="104">
        <v>47</v>
      </c>
      <c r="BA14" s="104" t="s">
        <v>116</v>
      </c>
      <c r="BB14" s="104">
        <v>48</v>
      </c>
      <c r="BC14" s="104">
        <v>49</v>
      </c>
      <c r="BD14" s="104">
        <v>50</v>
      </c>
      <c r="BE14" s="104">
        <v>51</v>
      </c>
      <c r="BF14" s="104">
        <v>52</v>
      </c>
      <c r="BG14" s="104">
        <v>53</v>
      </c>
      <c r="BH14" s="104">
        <v>54</v>
      </c>
      <c r="BI14" s="104">
        <v>55</v>
      </c>
      <c r="BJ14" s="104">
        <v>56</v>
      </c>
      <c r="BK14" s="104">
        <v>57</v>
      </c>
      <c r="BL14" s="104">
        <v>58</v>
      </c>
      <c r="BM14" s="104">
        <v>59</v>
      </c>
      <c r="BN14" s="104">
        <v>60</v>
      </c>
      <c r="BO14" s="104">
        <v>61</v>
      </c>
      <c r="BP14" s="104">
        <v>62</v>
      </c>
      <c r="BQ14" s="104">
        <v>63</v>
      </c>
      <c r="BR14" s="104">
        <v>64</v>
      </c>
      <c r="BS14" s="104">
        <v>65</v>
      </c>
      <c r="BT14" s="104">
        <v>66</v>
      </c>
      <c r="BU14" s="104">
        <v>67</v>
      </c>
      <c r="BV14" s="104">
        <v>68</v>
      </c>
      <c r="BW14" s="104">
        <v>69</v>
      </c>
      <c r="BX14" s="104">
        <v>70</v>
      </c>
      <c r="BY14" s="104">
        <v>71</v>
      </c>
      <c r="BZ14" s="104">
        <v>72</v>
      </c>
      <c r="CA14" s="104">
        <v>73</v>
      </c>
      <c r="CB14" s="104">
        <v>74</v>
      </c>
      <c r="CC14" s="104">
        <v>75</v>
      </c>
      <c r="CD14" s="104">
        <v>76</v>
      </c>
    </row>
    <row r="15" ht="19.5" customHeight="1" s="112" customFormat="1">
      <c r="A15" s="111">
        <v>1</v>
      </c>
      <c r="B15" s="35" t="str">
        <f>IF((C15&amp;"-"&amp;D15&amp;"-"&amp;F15&amp;"-"&amp;H15&amp;"-"&amp;P15&amp;"-"&amp;N15)="-----","",(C15&amp;"-"&amp;D15&amp;"-"&amp;F15&amp;"-"&amp;H15&amp;"-"&amp;P15&amp;"-"&amp;N15))</f>
      </c>
      <c r="C15" s="32">
        <v>10333</v>
      </c>
      <c r="D15" s="15" t="s">
        <v>117</v>
      </c>
      <c r="E15" s="1" t="s">
        <v>118</v>
      </c>
      <c r="F15" s="36" t="str">
        <f>IFERROR(VLOOKUP('A2 (Öhdəliklər)'!E15,List!A:B,2,0),"")</f>
      </c>
      <c r="G15" s="1" t="s">
        <v>119</v>
      </c>
      <c r="H15" s="36" t="str">
        <f>IFERROR(VLOOKUP('A2 (Öhdəliklər)'!G15,List!G:H,2,0),"")</f>
      </c>
      <c r="I15" s="1" t="s">
        <v>120</v>
      </c>
      <c r="J15" s="36" t="str">
        <f>IFERROR(VLOOKUP('A2 (Öhdəliklər)'!I15,List!C:D,2,0),"")</f>
      </c>
      <c r="K15" s="1" t="s">
        <v>121</v>
      </c>
      <c r="L15" s="36" t="str">
        <f>IFERROR(VLOOKUP('A2 (Öhdəliklər)'!K15,List!E:F,2,0),"")</f>
      </c>
      <c r="M15" s="1" t="s">
        <v>122</v>
      </c>
      <c r="N15" s="36" t="str">
        <f>IFERROR(VLOOKUP('A2 (Öhdəliklər)'!M15,List!M:N,2,0),"")</f>
      </c>
      <c r="O15" s="1"/>
      <c r="P15" s="36" t="str">
        <f>IFERROR(VLOOKUP('A2 (Öhdəliklər)'!O15,List!S:T,2,0),"")</f>
      </c>
      <c r="Q15" s="1"/>
      <c r="R15" s="36" t="str">
        <f>IFERROR(VLOOKUP('A2 (Öhdəliklər)'!Q15,List!K:L,2,0),"")</f>
      </c>
      <c r="S15" s="16" t="s">
        <v>123</v>
      </c>
      <c r="T15" s="16" t="s">
        <v>123</v>
      </c>
      <c r="U15" s="17" t="s">
        <v>124</v>
      </c>
      <c r="V15" s="17"/>
      <c r="W15" s="20"/>
      <c r="X15" s="18" t="s">
        <v>125</v>
      </c>
      <c r="Y15" s="1" t="s">
        <v>126</v>
      </c>
      <c r="Z15" s="36" t="str">
        <f>IFERROR(VLOOKUP('A2 (Öhdəliklər)'!Y15,List!O:P,2,0),"")</f>
      </c>
      <c r="AA15" s="19">
        <v>0</v>
      </c>
      <c r="AB15" s="19">
        <v>0</v>
      </c>
      <c r="AC15" s="37">
        <f>AD15+AF15</f>
        <v>0</v>
      </c>
      <c r="AD15" s="19" t="s">
        <v>127</v>
      </c>
      <c r="AE15" s="19">
        <v>0</v>
      </c>
      <c r="AF15" s="19">
        <v>0</v>
      </c>
      <c r="AG15" s="19">
        <v>0</v>
      </c>
      <c r="AH15" s="19">
        <v>0</v>
      </c>
      <c r="AI15" s="19" t="s">
        <v>128</v>
      </c>
      <c r="AJ15" s="19">
        <v>0</v>
      </c>
      <c r="AK15" s="19">
        <v>0</v>
      </c>
      <c r="AL15" s="19">
        <v>0</v>
      </c>
      <c r="AM15" s="19"/>
      <c r="AN15" s="19" t="s">
        <v>128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21" t="s">
        <v>129</v>
      </c>
      <c r="AZ15" s="36" t="str">
        <f>IFERROR(VLOOKUP('A2 (Öhdəliklər)'!AY15,List!Q:R,2,0),"")</f>
      </c>
      <c r="BA15" s="38">
        <f>AB15+AH15-AM15+AR15+AT15</f>
        <v>0</v>
      </c>
      <c r="BB15" s="38">
        <f>BC15+BE15</f>
        <v>0</v>
      </c>
      <c r="BC15" s="39">
        <f>AD15+AI15-AN15+AS15+AU15</f>
        <v>535.125</v>
      </c>
      <c r="BD15" s="39">
        <f>AE15+AJ15-AO15+AV15</f>
        <v>0</v>
      </c>
      <c r="BE15" s="39">
        <f>AF15+AK15-AP15+AW15</f>
        <v>0</v>
      </c>
      <c r="BF15" s="39">
        <f>AG15+AL15-AQ15+AX15</f>
        <v>0</v>
      </c>
      <c r="BG15" s="19">
        <v>0</v>
      </c>
      <c r="BH15" s="19">
        <v>0</v>
      </c>
      <c r="BI15" s="19">
        <v>0</v>
      </c>
      <c r="BJ15" s="19">
        <v>535.125</v>
      </c>
      <c r="BK15" s="19">
        <v>0</v>
      </c>
      <c r="BL15" s="19">
        <v>0</v>
      </c>
      <c r="BM15" s="19">
        <v>0</v>
      </c>
      <c r="BN15" s="19">
        <v>0</v>
      </c>
      <c r="BO15" s="19">
        <v>0</v>
      </c>
      <c r="BP15" s="19">
        <v>0</v>
      </c>
      <c r="BQ15" s="19">
        <v>0</v>
      </c>
      <c r="BR15" s="19">
        <v>0</v>
      </c>
      <c r="BS15" s="19">
        <v>0</v>
      </c>
      <c r="BT15" s="19">
        <v>0</v>
      </c>
      <c r="BU15" s="19">
        <v>0</v>
      </c>
      <c r="BV15" s="19">
        <v>0</v>
      </c>
      <c r="BW15" s="19">
        <v>0</v>
      </c>
      <c r="BX15" s="19">
        <v>0</v>
      </c>
      <c r="BY15" s="19">
        <v>0</v>
      </c>
      <c r="BZ15" s="34">
        <v>0</v>
      </c>
      <c r="CA15" s="18">
        <v>0</v>
      </c>
      <c r="CB15" s="20"/>
      <c r="CC15" s="36">
        <v>0</v>
      </c>
      <c r="CD15" s="34"/>
    </row>
    <row r="16" ht="19.5" customHeight="1" s="112" customFormat="1">
      <c r="A16" s="111">
        <v>2</v>
      </c>
      <c r="B16" s="35" t="str">
        <f ref="B16:B65" t="shared" si="8">IF((C16&amp;"-"&amp;D16&amp;"-"&amp;F16&amp;"-"&amp;H16&amp;"-"&amp;P16&amp;"-"&amp;N16)="-----","",(C16&amp;"-"&amp;D16&amp;"-"&amp;F16&amp;"-"&amp;H16&amp;"-"&amp;P16&amp;"-"&amp;N16))</f>
      </c>
      <c r="C16" s="32">
        <v>16</v>
      </c>
      <c r="D16" s="15" t="s">
        <v>117</v>
      </c>
      <c r="E16" s="1" t="s">
        <v>130</v>
      </c>
      <c r="F16" s="36" t="str">
        <f>IFERROR(VLOOKUP('A2 (Öhdəliklər)'!E16,List!A:B,2,0),"")</f>
      </c>
      <c r="G16" s="1" t="s">
        <v>119</v>
      </c>
      <c r="H16" s="36" t="str">
        <f>IFERROR(VLOOKUP('A2 (Öhdəliklər)'!G16,List!G:H,2,0),"")</f>
      </c>
      <c r="I16" s="1" t="s">
        <v>131</v>
      </c>
      <c r="J16" s="36" t="str">
        <f>IFERROR(VLOOKUP('A2 (Öhdəliklər)'!I16,List!C:D,2,0),"")</f>
      </c>
      <c r="K16" s="1" t="s">
        <v>121</v>
      </c>
      <c r="L16" s="36" t="str">
        <f>IFERROR(VLOOKUP('A2 (Öhdəliklər)'!K16,List!E:F,2,0),"")</f>
      </c>
      <c r="M16" s="1" t="s">
        <v>122</v>
      </c>
      <c r="N16" s="36" t="str">
        <f>IFERROR(VLOOKUP('A2 (Öhdəliklər)'!M16,List!M:N,2,0),"")</f>
      </c>
      <c r="O16" s="1"/>
      <c r="P16" s="36" t="str">
        <f>IFERROR(VLOOKUP('A2 (Öhdəliklər)'!O16,List!S:T,2,0),"")</f>
      </c>
      <c r="Q16" s="1"/>
      <c r="R16" s="36" t="str">
        <f>IFERROR(VLOOKUP('A2 (Öhdəliklər)'!Q16,List!K:L,2,0),"")</f>
      </c>
      <c r="S16" s="16" t="s">
        <v>132</v>
      </c>
      <c r="T16" s="16" t="s">
        <v>132</v>
      </c>
      <c r="U16" s="17" t="s">
        <v>124</v>
      </c>
      <c r="V16" s="17"/>
      <c r="W16" s="20"/>
      <c r="X16" s="18" t="s">
        <v>125</v>
      </c>
      <c r="Y16" s="1" t="s">
        <v>126</v>
      </c>
      <c r="Z16" s="36" t="str">
        <f>IFERROR(VLOOKUP('A2 (Öhdəliklər)'!Y16,List!O:P,2,0),"")</f>
      </c>
      <c r="AA16" s="19">
        <v>0</v>
      </c>
      <c r="AB16" s="19">
        <v>0</v>
      </c>
      <c r="AC16" s="37">
        <f ref="AC16:AC65" t="shared" si="9">AD16+AF16</f>
        <v>0</v>
      </c>
      <c r="AD16" s="19" t="s">
        <v>133</v>
      </c>
      <c r="AE16" s="19">
        <v>0</v>
      </c>
      <c r="AF16" s="19">
        <v>0</v>
      </c>
      <c r="AG16" s="19">
        <v>0</v>
      </c>
      <c r="AH16" s="19">
        <v>0</v>
      </c>
      <c r="AI16" s="19" t="s">
        <v>128</v>
      </c>
      <c r="AJ16" s="19">
        <v>0</v>
      </c>
      <c r="AK16" s="19">
        <v>0</v>
      </c>
      <c r="AL16" s="19">
        <v>0</v>
      </c>
      <c r="AM16" s="19"/>
      <c r="AN16" s="19" t="s">
        <v>134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21" t="s">
        <v>129</v>
      </c>
      <c r="AZ16" s="36" t="str">
        <f>IFERROR(VLOOKUP('A2 (Öhdəliklər)'!AY16,List!Q:R,2,0),"")</f>
      </c>
      <c r="BA16" s="38">
        <f ref="BA16:BA65" t="shared" si="10">AB16+AH16-AM16+AR16+AT16</f>
        <v>0</v>
      </c>
      <c r="BB16" s="38">
        <f ref="BB16:BB65" t="shared" si="11">BC16+BE16</f>
        <v>0</v>
      </c>
      <c r="BC16" s="39">
        <f ref="BC16:BC65" t="shared" si="12">AD16+AI16-AN16+AS16+AU16</f>
        <v>7057.06205</v>
      </c>
      <c r="BD16" s="39">
        <f ref="BD16:BD65" t="shared" si="13">AE16+AJ16-AO16+AV16</f>
        <v>0</v>
      </c>
      <c r="BE16" s="39">
        <f ref="BE16:BE65" t="shared" si="14">AF16+AK16-AP16+AW16</f>
        <v>0</v>
      </c>
      <c r="BF16" s="39">
        <f ref="BF16:BF65" t="shared" si="15">AG16+AL16-AQ16+AX16</f>
        <v>0</v>
      </c>
      <c r="BG16" s="19">
        <v>0</v>
      </c>
      <c r="BH16" s="19">
        <v>0</v>
      </c>
      <c r="BI16" s="19">
        <v>0</v>
      </c>
      <c r="BJ16" s="19">
        <v>7057.06205</v>
      </c>
      <c r="BK16" s="19">
        <v>0</v>
      </c>
      <c r="BL16" s="19">
        <v>0</v>
      </c>
      <c r="BM16" s="19">
        <v>0</v>
      </c>
      <c r="BN16" s="19">
        <v>0</v>
      </c>
      <c r="BO16" s="19">
        <v>0</v>
      </c>
      <c r="BP16" s="19">
        <v>0</v>
      </c>
      <c r="BQ16" s="19">
        <v>0</v>
      </c>
      <c r="BR16" s="19">
        <v>0</v>
      </c>
      <c r="BS16" s="19">
        <v>0</v>
      </c>
      <c r="BT16" s="19">
        <v>0</v>
      </c>
      <c r="BU16" s="19">
        <v>0</v>
      </c>
      <c r="BV16" s="19">
        <v>0</v>
      </c>
      <c r="BW16" s="19">
        <v>0</v>
      </c>
      <c r="BX16" s="19">
        <v>0</v>
      </c>
      <c r="BY16" s="19">
        <v>0</v>
      </c>
      <c r="BZ16" s="34">
        <v>0</v>
      </c>
      <c r="CA16" s="18">
        <v>0</v>
      </c>
      <c r="CB16" s="20"/>
      <c r="CC16" s="36">
        <v>0</v>
      </c>
      <c r="CD16" s="34"/>
    </row>
    <row r="17" ht="19.5" customHeight="1" s="112" customFormat="1">
      <c r="A17" s="111">
        <v>3</v>
      </c>
      <c r="B17" s="35" t="str">
        <f t="shared" si="8"/>
      </c>
      <c r="C17" s="32">
        <v>16</v>
      </c>
      <c r="D17" s="15" t="s">
        <v>117</v>
      </c>
      <c r="E17" s="1" t="s">
        <v>130</v>
      </c>
      <c r="F17" s="36" t="str">
        <f>IFERROR(VLOOKUP('A2 (Öhdəliklər)'!E17,List!A:B,2,0),"")</f>
      </c>
      <c r="G17" s="1" t="s">
        <v>119</v>
      </c>
      <c r="H17" s="36" t="str">
        <f>IFERROR(VLOOKUP('A2 (Öhdəliklər)'!G17,List!G:H,2,0),"")</f>
      </c>
      <c r="I17" s="1" t="s">
        <v>131</v>
      </c>
      <c r="J17" s="36" t="str">
        <f>IFERROR(VLOOKUP('A2 (Öhdəliklər)'!I17,List!C:D,2,0),"")</f>
      </c>
      <c r="K17" s="1" t="s">
        <v>121</v>
      </c>
      <c r="L17" s="36" t="str">
        <f>IFERROR(VLOOKUP('A2 (Öhdəliklər)'!K17,List!E:F,2,0),"")</f>
      </c>
      <c r="M17" s="1" t="s">
        <v>122</v>
      </c>
      <c r="N17" s="36" t="str">
        <f>IFERROR(VLOOKUP('A2 (Öhdəliklər)'!M17,List!M:N,2,0),"")</f>
      </c>
      <c r="O17" s="1"/>
      <c r="P17" s="36" t="str">
        <f>IFERROR(VLOOKUP('A2 (Öhdəliklər)'!O17,List!S:T,2,0),"")</f>
      </c>
      <c r="Q17" s="1"/>
      <c r="R17" s="36" t="str">
        <f>IFERROR(VLOOKUP('A2 (Öhdəliklər)'!Q17,List!K:L,2,0),"")</f>
      </c>
      <c r="S17" s="16" t="s">
        <v>132</v>
      </c>
      <c r="T17" s="16" t="s">
        <v>132</v>
      </c>
      <c r="U17" s="17" t="s">
        <v>124</v>
      </c>
      <c r="V17" s="17"/>
      <c r="W17" s="20"/>
      <c r="X17" s="18" t="s">
        <v>125</v>
      </c>
      <c r="Y17" s="1" t="s">
        <v>126</v>
      </c>
      <c r="Z17" s="36" t="str">
        <f>IFERROR(VLOOKUP('A2 (Öhdəliklər)'!Y17,List!O:P,2,0),"")</f>
      </c>
      <c r="AA17" s="19">
        <v>0</v>
      </c>
      <c r="AB17" s="19">
        <v>0</v>
      </c>
      <c r="AC17" s="37">
        <f t="shared" si="9"/>
        <v>0</v>
      </c>
      <c r="AD17" s="19" t="s">
        <v>135</v>
      </c>
      <c r="AE17" s="19">
        <v>0</v>
      </c>
      <c r="AF17" s="19">
        <v>0</v>
      </c>
      <c r="AG17" s="19">
        <v>0</v>
      </c>
      <c r="AH17" s="19">
        <v>0</v>
      </c>
      <c r="AI17" s="19" t="s">
        <v>128</v>
      </c>
      <c r="AJ17" s="19">
        <v>0</v>
      </c>
      <c r="AK17" s="19">
        <v>0</v>
      </c>
      <c r="AL17" s="19">
        <v>0</v>
      </c>
      <c r="AM17" s="19"/>
      <c r="AN17" s="19" t="s">
        <v>128</v>
      </c>
      <c r="AO17" s="19">
        <v>0</v>
      </c>
      <c r="AP17" s="19">
        <v>0</v>
      </c>
      <c r="AQ17" s="19">
        <v>0</v>
      </c>
      <c r="AR17" s="19">
        <v>0</v>
      </c>
      <c r="AS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21" t="s">
        <v>129</v>
      </c>
      <c r="AZ17" s="36" t="str">
        <f>IFERROR(VLOOKUP('A2 (Öhdəliklər)'!AY17,List!Q:R,2,0),"")</f>
      </c>
      <c r="BA17" s="38">
        <f t="shared" si="10"/>
        <v>0</v>
      </c>
      <c r="BB17" s="38">
        <f t="shared" si="11"/>
        <v>0</v>
      </c>
      <c r="BC17" s="39">
        <f t="shared" si="12"/>
        <v>1762.10365</v>
      </c>
      <c r="BD17" s="39">
        <f t="shared" si="13"/>
        <v>0</v>
      </c>
      <c r="BE17" s="39">
        <f t="shared" si="14"/>
        <v>0</v>
      </c>
      <c r="BF17" s="39">
        <f t="shared" si="15"/>
        <v>0</v>
      </c>
      <c r="BG17" s="19">
        <v>0</v>
      </c>
      <c r="BH17" s="19">
        <v>0</v>
      </c>
      <c r="BI17" s="19">
        <v>0</v>
      </c>
      <c r="BJ17" s="19">
        <v>1762.10365</v>
      </c>
      <c r="BK17" s="19">
        <v>0</v>
      </c>
      <c r="BL17" s="19">
        <v>0</v>
      </c>
      <c r="BM17" s="19">
        <v>0</v>
      </c>
      <c r="BN17" s="19">
        <v>0</v>
      </c>
      <c r="BO17" s="19">
        <v>0</v>
      </c>
      <c r="BP17" s="19">
        <v>0</v>
      </c>
      <c r="BQ17" s="19">
        <v>0</v>
      </c>
      <c r="BR17" s="19">
        <v>0</v>
      </c>
      <c r="BS17" s="19">
        <v>0</v>
      </c>
      <c r="BT17" s="19">
        <v>0</v>
      </c>
      <c r="BU17" s="19">
        <v>0</v>
      </c>
      <c r="BV17" s="19">
        <v>0</v>
      </c>
      <c r="BW17" s="19">
        <v>0</v>
      </c>
      <c r="BX17" s="19">
        <v>0</v>
      </c>
      <c r="BY17" s="19">
        <v>0</v>
      </c>
      <c r="BZ17" s="34">
        <v>0</v>
      </c>
      <c r="CA17" s="18">
        <v>0</v>
      </c>
      <c r="CB17" s="20"/>
      <c r="CC17" s="36">
        <v>0</v>
      </c>
      <c r="CD17" s="34"/>
    </row>
    <row r="18" ht="19.5" customHeight="1" s="112" customFormat="1">
      <c r="A18" s="111">
        <v>4</v>
      </c>
      <c r="B18" s="35" t="str">
        <f t="shared" si="8"/>
      </c>
      <c r="C18" s="32">
        <v>2633</v>
      </c>
      <c r="D18" s="15" t="s">
        <v>117</v>
      </c>
      <c r="E18" s="1" t="s">
        <v>118</v>
      </c>
      <c r="F18" s="36" t="str">
        <f>IFERROR(VLOOKUP('A2 (Öhdəliklər)'!E18,List!A:B,2,0),"")</f>
      </c>
      <c r="G18" s="1" t="s">
        <v>119</v>
      </c>
      <c r="H18" s="36" t="str">
        <f>IFERROR(VLOOKUP('A2 (Öhdəliklər)'!G18,List!G:H,2,0),"")</f>
      </c>
      <c r="I18" s="1" t="s">
        <v>120</v>
      </c>
      <c r="J18" s="36" t="str">
        <f>IFERROR(VLOOKUP('A2 (Öhdəliklər)'!I18,List!C:D,2,0),"")</f>
      </c>
      <c r="K18" s="1" t="s">
        <v>121</v>
      </c>
      <c r="L18" s="36" t="str">
        <f>IFERROR(VLOOKUP('A2 (Öhdəliklər)'!K18,List!E:F,2,0),"")</f>
      </c>
      <c r="M18" s="1" t="s">
        <v>122</v>
      </c>
      <c r="N18" s="36" t="str">
        <f>IFERROR(VLOOKUP('A2 (Öhdəliklər)'!M18,List!M:N,2,0),"")</f>
      </c>
      <c r="O18" s="1"/>
      <c r="P18" s="36" t="str">
        <f>IFERROR(VLOOKUP('A2 (Öhdəliklər)'!O18,List!S:T,2,0),"")</f>
      </c>
      <c r="Q18" s="1"/>
      <c r="R18" s="36" t="str">
        <f>IFERROR(VLOOKUP('A2 (Öhdəliklər)'!Q18,List!K:L,2,0),"")</f>
      </c>
      <c r="S18" s="16" t="s">
        <v>123</v>
      </c>
      <c r="T18" s="16" t="s">
        <v>123</v>
      </c>
      <c r="U18" s="17" t="s">
        <v>136</v>
      </c>
      <c r="V18" s="17"/>
      <c r="W18" s="20"/>
      <c r="X18" s="18" t="s">
        <v>125</v>
      </c>
      <c r="Y18" s="1" t="s">
        <v>126</v>
      </c>
      <c r="Z18" s="36" t="str">
        <f>IFERROR(VLOOKUP('A2 (Öhdəliklər)'!Y18,List!O:P,2,0),"")</f>
      </c>
      <c r="AA18" s="19">
        <v>0</v>
      </c>
      <c r="AB18" s="19">
        <v>0</v>
      </c>
      <c r="AC18" s="37">
        <f t="shared" si="9"/>
        <v>0</v>
      </c>
      <c r="AD18" s="19" t="s">
        <v>137</v>
      </c>
      <c r="AE18" s="19">
        <v>0</v>
      </c>
      <c r="AF18" s="19">
        <v>0</v>
      </c>
      <c r="AG18" s="19">
        <v>0</v>
      </c>
      <c r="AH18" s="19">
        <v>0</v>
      </c>
      <c r="AI18" s="19" t="s">
        <v>128</v>
      </c>
      <c r="AJ18" s="19">
        <v>0</v>
      </c>
      <c r="AK18" s="19">
        <v>0</v>
      </c>
      <c r="AL18" s="19">
        <v>0</v>
      </c>
      <c r="AM18" s="19"/>
      <c r="AN18" s="19" t="s">
        <v>128</v>
      </c>
      <c r="AO18" s="19">
        <v>0</v>
      </c>
      <c r="AP18" s="19">
        <v>0</v>
      </c>
      <c r="AQ18" s="19">
        <v>0</v>
      </c>
      <c r="AR18" s="19">
        <v>0</v>
      </c>
      <c r="AS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21" t="s">
        <v>129</v>
      </c>
      <c r="AZ18" s="36" t="str">
        <f>IFERROR(VLOOKUP('A2 (Öhdəliklər)'!AY18,List!Q:R,2,0),"")</f>
      </c>
      <c r="BA18" s="38">
        <f t="shared" si="10"/>
        <v>0</v>
      </c>
      <c r="BB18" s="38">
        <f t="shared" si="11"/>
        <v>0</v>
      </c>
      <c r="BC18" s="39">
        <f t="shared" si="12"/>
        <v>0.02</v>
      </c>
      <c r="BD18" s="39">
        <f t="shared" si="13"/>
        <v>0</v>
      </c>
      <c r="BE18" s="39">
        <f t="shared" si="14"/>
        <v>0</v>
      </c>
      <c r="BF18" s="39">
        <f t="shared" si="15"/>
        <v>0</v>
      </c>
      <c r="BG18" s="19">
        <v>0</v>
      </c>
      <c r="BH18" s="19">
        <v>0</v>
      </c>
      <c r="BI18" s="19">
        <v>0</v>
      </c>
      <c r="BJ18" s="19">
        <v>0.02</v>
      </c>
      <c r="BK18" s="19">
        <v>0</v>
      </c>
      <c r="BL18" s="19">
        <v>0</v>
      </c>
      <c r="BM18" s="19">
        <v>0</v>
      </c>
      <c r="BN18" s="19">
        <v>0</v>
      </c>
      <c r="BO18" s="19">
        <v>0</v>
      </c>
      <c r="BP18" s="19">
        <v>0</v>
      </c>
      <c r="BQ18" s="19">
        <v>0</v>
      </c>
      <c r="BR18" s="19">
        <v>0</v>
      </c>
      <c r="BS18" s="19">
        <v>0</v>
      </c>
      <c r="BT18" s="19">
        <v>0</v>
      </c>
      <c r="BU18" s="19">
        <v>0</v>
      </c>
      <c r="BV18" s="19">
        <v>0</v>
      </c>
      <c r="BW18" s="19">
        <v>0</v>
      </c>
      <c r="BX18" s="19">
        <v>0</v>
      </c>
      <c r="BY18" s="19">
        <v>0</v>
      </c>
      <c r="BZ18" s="34">
        <v>0</v>
      </c>
      <c r="CA18" s="18">
        <v>0</v>
      </c>
      <c r="CB18" s="20"/>
      <c r="CC18" s="36">
        <v>0</v>
      </c>
      <c r="CD18" s="34"/>
    </row>
    <row r="19" ht="19.5" customHeight="1" s="112" customFormat="1">
      <c r="A19" s="111">
        <v>5</v>
      </c>
      <c r="B19" s="35" t="str">
        <f t="shared" si="8"/>
      </c>
      <c r="C19" s="32">
        <v>16</v>
      </c>
      <c r="D19" s="15" t="s">
        <v>138</v>
      </c>
      <c r="E19" s="1" t="s">
        <v>130</v>
      </c>
      <c r="F19" s="36" t="str">
        <f>IFERROR(VLOOKUP('A2 (Öhdəliklər)'!E19,List!A:B,2,0),"")</f>
      </c>
      <c r="G19" s="1" t="s">
        <v>119</v>
      </c>
      <c r="H19" s="36" t="str">
        <f>IFERROR(VLOOKUP('A2 (Öhdəliklər)'!G19,List!G:H,2,0),"")</f>
      </c>
      <c r="I19" s="1" t="s">
        <v>131</v>
      </c>
      <c r="J19" s="36" t="str">
        <f>IFERROR(VLOOKUP('A2 (Öhdəliklər)'!I19,List!C:D,2,0),"")</f>
      </c>
      <c r="K19" s="1" t="s">
        <v>121</v>
      </c>
      <c r="L19" s="36" t="str">
        <f>IFERROR(VLOOKUP('A2 (Öhdəliklər)'!K19,List!E:F,2,0),"")</f>
      </c>
      <c r="M19" s="1" t="s">
        <v>122</v>
      </c>
      <c r="N19" s="36" t="str">
        <f>IFERROR(VLOOKUP('A2 (Öhdəliklər)'!M19,List!M:N,2,0),"")</f>
      </c>
      <c r="O19" s="1"/>
      <c r="P19" s="36" t="str">
        <f>IFERROR(VLOOKUP('A2 (Öhdəliklər)'!O19,List!S:T,2,0),"")</f>
      </c>
      <c r="Q19" s="1"/>
      <c r="R19" s="36" t="str">
        <f>IFERROR(VLOOKUP('A2 (Öhdəliklər)'!Q19,List!K:L,2,0),"")</f>
      </c>
      <c r="S19" s="16" t="s">
        <v>132</v>
      </c>
      <c r="T19" s="16" t="s">
        <v>132</v>
      </c>
      <c r="U19" s="17" t="s">
        <v>139</v>
      </c>
      <c r="V19" s="17"/>
      <c r="W19" s="20"/>
      <c r="X19" s="18" t="s">
        <v>125</v>
      </c>
      <c r="Y19" s="1" t="s">
        <v>126</v>
      </c>
      <c r="Z19" s="36" t="str">
        <f>IFERROR(VLOOKUP('A2 (Öhdəliklər)'!Y19,List!O:P,2,0),"")</f>
      </c>
      <c r="AA19" s="19">
        <v>0</v>
      </c>
      <c r="AB19" s="19">
        <v>0</v>
      </c>
      <c r="AC19" s="37">
        <f t="shared" si="9"/>
        <v>0</v>
      </c>
      <c r="AD19" s="19" t="s">
        <v>140</v>
      </c>
      <c r="AE19" s="19">
        <v>0</v>
      </c>
      <c r="AF19" s="19">
        <v>0</v>
      </c>
      <c r="AG19" s="19">
        <v>0</v>
      </c>
      <c r="AH19" s="19">
        <v>0</v>
      </c>
      <c r="AI19" s="19" t="s">
        <v>128</v>
      </c>
      <c r="AJ19" s="19">
        <v>0</v>
      </c>
      <c r="AK19" s="19">
        <v>0</v>
      </c>
      <c r="AL19" s="19">
        <v>0</v>
      </c>
      <c r="AM19" s="19"/>
      <c r="AN19" s="19" t="s">
        <v>128</v>
      </c>
      <c r="AO19" s="19">
        <v>0</v>
      </c>
      <c r="AP19" s="19">
        <v>0</v>
      </c>
      <c r="AQ19" s="19">
        <v>0</v>
      </c>
      <c r="AR19" s="19">
        <v>0</v>
      </c>
      <c r="AS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21" t="s">
        <v>129</v>
      </c>
      <c r="AZ19" s="36" t="str">
        <f>IFERROR(VLOOKUP('A2 (Öhdəliklər)'!AY19,List!Q:R,2,0),"")</f>
      </c>
      <c r="BA19" s="38">
        <f t="shared" si="10"/>
        <v>0</v>
      </c>
      <c r="BB19" s="38">
        <f t="shared" si="11"/>
        <v>0</v>
      </c>
      <c r="BC19" s="39">
        <f t="shared" si="12"/>
        <v>27.60367</v>
      </c>
      <c r="BD19" s="39">
        <f t="shared" si="13"/>
        <v>0</v>
      </c>
      <c r="BE19" s="39">
        <f t="shared" si="14"/>
        <v>0</v>
      </c>
      <c r="BF19" s="39">
        <f t="shared" si="15"/>
        <v>0</v>
      </c>
      <c r="BG19" s="19">
        <v>0</v>
      </c>
      <c r="BH19" s="19">
        <v>0</v>
      </c>
      <c r="BI19" s="19">
        <v>0</v>
      </c>
      <c r="BJ19" s="19">
        <v>27.60367</v>
      </c>
      <c r="BK19" s="19">
        <v>0</v>
      </c>
      <c r="BL19" s="19">
        <v>0</v>
      </c>
      <c r="BM19" s="19">
        <v>0</v>
      </c>
      <c r="BN19" s="19">
        <v>0</v>
      </c>
      <c r="BO19" s="19">
        <v>0</v>
      </c>
      <c r="BP19" s="19">
        <v>0</v>
      </c>
      <c r="BQ19" s="19">
        <v>0</v>
      </c>
      <c r="BR19" s="19">
        <v>0</v>
      </c>
      <c r="BS19" s="19">
        <v>0</v>
      </c>
      <c r="BT19" s="19">
        <v>0</v>
      </c>
      <c r="BU19" s="19">
        <v>0</v>
      </c>
      <c r="BV19" s="19">
        <v>0</v>
      </c>
      <c r="BW19" s="19">
        <v>0</v>
      </c>
      <c r="BX19" s="19">
        <v>0</v>
      </c>
      <c r="BY19" s="19">
        <v>0</v>
      </c>
      <c r="BZ19" s="34">
        <v>0</v>
      </c>
      <c r="CA19" s="18">
        <v>0</v>
      </c>
      <c r="CB19" s="20"/>
      <c r="CC19" s="36">
        <v>0</v>
      </c>
      <c r="CD19" s="34"/>
    </row>
    <row r="20" ht="19.5" customHeight="1" s="112" customFormat="1">
      <c r="A20" s="111">
        <v>6</v>
      </c>
      <c r="B20" s="35" t="str">
        <f t="shared" si="8"/>
      </c>
      <c r="C20" s="32" t="s">
        <v>141</v>
      </c>
      <c r="D20" s="15" t="s">
        <v>142</v>
      </c>
      <c r="E20" s="1" t="s">
        <v>118</v>
      </c>
      <c r="F20" s="36" t="str">
        <f>IFERROR(VLOOKUP('A2 (Öhdəliklər)'!E20,List!A:B,2,0),"")</f>
      </c>
      <c r="G20" s="1" t="s">
        <v>119</v>
      </c>
      <c r="H20" s="36" t="str">
        <f>IFERROR(VLOOKUP('A2 (Öhdəliklər)'!G20,List!G:H,2,0),"")</f>
      </c>
      <c r="I20" s="1" t="s">
        <v>120</v>
      </c>
      <c r="J20" s="36" t="str">
        <f>IFERROR(VLOOKUP('A2 (Öhdəliklər)'!I20,List!C:D,2,0),"")</f>
      </c>
      <c r="K20" s="1" t="s">
        <v>143</v>
      </c>
      <c r="L20" s="36" t="str">
        <f>IFERROR(VLOOKUP('A2 (Öhdəliklər)'!K20,List!E:F,2,0),"")</f>
      </c>
      <c r="M20" s="1" t="s">
        <v>122</v>
      </c>
      <c r="N20" s="36" t="str">
        <f>IFERROR(VLOOKUP('A2 (Öhdəliklər)'!M20,List!M:N,2,0),"")</f>
      </c>
      <c r="O20" s="1"/>
      <c r="P20" s="36" t="str">
        <f>IFERROR(VLOOKUP('A2 (Öhdəliklər)'!O20,List!S:T,2,0),"")</f>
      </c>
      <c r="Q20" s="1"/>
      <c r="R20" s="36" t="str">
        <f>IFERROR(VLOOKUP('A2 (Öhdəliklər)'!Q20,List!K:L,2,0),"")</f>
      </c>
      <c r="S20" s="16" t="s">
        <v>123</v>
      </c>
      <c r="T20" s="16" t="s">
        <v>123</v>
      </c>
      <c r="U20" s="17" t="s">
        <v>124</v>
      </c>
      <c r="V20" s="17"/>
      <c r="W20" s="20"/>
      <c r="X20" s="18" t="s">
        <v>125</v>
      </c>
      <c r="Y20" s="1" t="s">
        <v>126</v>
      </c>
      <c r="Z20" s="36" t="str">
        <f>IFERROR(VLOOKUP('A2 (Öhdəliklər)'!Y20,List!O:P,2,0),"")</f>
      </c>
      <c r="AA20" s="19">
        <v>0</v>
      </c>
      <c r="AB20" s="19">
        <v>0</v>
      </c>
      <c r="AC20" s="37">
        <f t="shared" si="9"/>
        <v>0</v>
      </c>
      <c r="AD20" s="19" t="s">
        <v>144</v>
      </c>
      <c r="AE20" s="19">
        <v>0</v>
      </c>
      <c r="AF20" s="19">
        <v>0</v>
      </c>
      <c r="AG20" s="19">
        <v>0</v>
      </c>
      <c r="AH20" s="19">
        <v>0</v>
      </c>
      <c r="AI20" s="19" t="s">
        <v>145</v>
      </c>
      <c r="AJ20" s="19">
        <v>0</v>
      </c>
      <c r="AK20" s="19">
        <v>0</v>
      </c>
      <c r="AL20" s="19">
        <v>0</v>
      </c>
      <c r="AM20" s="19"/>
      <c r="AN20" s="19" t="s">
        <v>146</v>
      </c>
      <c r="AO20" s="19">
        <v>0</v>
      </c>
      <c r="AP20" s="19">
        <v>0</v>
      </c>
      <c r="AQ20" s="19">
        <v>0</v>
      </c>
      <c r="AR20" s="19">
        <v>0</v>
      </c>
      <c r="AS20" s="19">
        <v>0</v>
      </c>
      <c r="AT20" s="19">
        <v>0</v>
      </c>
      <c r="AU20" s="19">
        <v>0</v>
      </c>
      <c r="AV20" s="19">
        <v>0</v>
      </c>
      <c r="AW20" s="19">
        <v>0</v>
      </c>
      <c r="AX20" s="19">
        <v>0</v>
      </c>
      <c r="AY20" s="21" t="s">
        <v>129</v>
      </c>
      <c r="AZ20" s="36" t="str">
        <f>IFERROR(VLOOKUP('A2 (Öhdəliklər)'!AY20,List!Q:R,2,0),"")</f>
      </c>
      <c r="BA20" s="38">
        <f t="shared" si="10"/>
        <v>0</v>
      </c>
      <c r="BB20" s="38">
        <f t="shared" si="11"/>
        <v>0</v>
      </c>
      <c r="BC20" s="39">
        <f t="shared" si="12"/>
        <v>34356.00529</v>
      </c>
      <c r="BD20" s="39">
        <f t="shared" si="13"/>
        <v>0</v>
      </c>
      <c r="BE20" s="39">
        <f t="shared" si="14"/>
        <v>0</v>
      </c>
      <c r="BF20" s="39">
        <f t="shared" si="15"/>
        <v>0</v>
      </c>
      <c r="BG20" s="19">
        <v>0</v>
      </c>
      <c r="BH20" s="19">
        <v>0</v>
      </c>
      <c r="BI20" s="19">
        <v>0</v>
      </c>
      <c r="BJ20" s="19">
        <v>34356.00529</v>
      </c>
      <c r="BK20" s="19">
        <v>0</v>
      </c>
      <c r="BL20" s="19">
        <v>0</v>
      </c>
      <c r="BM20" s="19">
        <v>0</v>
      </c>
      <c r="BN20" s="19">
        <v>0</v>
      </c>
      <c r="BO20" s="19">
        <v>0</v>
      </c>
      <c r="BP20" s="19">
        <v>0</v>
      </c>
      <c r="BQ20" s="19">
        <v>0</v>
      </c>
      <c r="BR20" s="19">
        <v>0</v>
      </c>
      <c r="BS20" s="19">
        <v>0</v>
      </c>
      <c r="BT20" s="19">
        <v>0</v>
      </c>
      <c r="BU20" s="19">
        <v>0</v>
      </c>
      <c r="BV20" s="19">
        <v>0</v>
      </c>
      <c r="BW20" s="19">
        <v>0</v>
      </c>
      <c r="BX20" s="19">
        <v>0</v>
      </c>
      <c r="BY20" s="19">
        <v>0</v>
      </c>
      <c r="BZ20" s="34">
        <v>0</v>
      </c>
      <c r="CA20" s="18">
        <v>0</v>
      </c>
      <c r="CB20" s="20"/>
      <c r="CC20" s="36">
        <v>0</v>
      </c>
      <c r="CD20" s="34"/>
    </row>
    <row r="21" ht="19.5" customHeight="1" s="112" customFormat="1">
      <c r="A21" s="111">
        <v>7</v>
      </c>
      <c r="B21" s="35" t="str">
        <f t="shared" si="8"/>
      </c>
      <c r="C21" s="32" t="s">
        <v>147</v>
      </c>
      <c r="D21" s="15" t="s">
        <v>148</v>
      </c>
      <c r="E21" s="1" t="s">
        <v>118</v>
      </c>
      <c r="F21" s="36" t="str">
        <f>IFERROR(VLOOKUP('A2 (Öhdəliklər)'!E21,List!A:B,2,0),"")</f>
      </c>
      <c r="G21" s="1" t="s">
        <v>119</v>
      </c>
      <c r="H21" s="36" t="str">
        <f>IFERROR(VLOOKUP('A2 (Öhdəliklər)'!G21,List!G:H,2,0),"")</f>
      </c>
      <c r="I21" s="1" t="s">
        <v>120</v>
      </c>
      <c r="J21" s="36" t="str">
        <f>IFERROR(VLOOKUP('A2 (Öhdəliklər)'!I21,List!C:D,2,0),"")</f>
      </c>
      <c r="K21" s="1" t="s">
        <v>143</v>
      </c>
      <c r="L21" s="36" t="str">
        <f>IFERROR(VLOOKUP('A2 (Öhdəliklər)'!K21,List!E:F,2,0),"")</f>
      </c>
      <c r="M21" s="1" t="s">
        <v>122</v>
      </c>
      <c r="N21" s="36" t="str">
        <f>IFERROR(VLOOKUP('A2 (Öhdəliklər)'!M21,List!M:N,2,0),"")</f>
      </c>
      <c r="O21" s="1"/>
      <c r="P21" s="36" t="str">
        <f>IFERROR(VLOOKUP('A2 (Öhdəliklər)'!O21,List!S:T,2,0),"")</f>
      </c>
      <c r="Q21" s="1"/>
      <c r="R21" s="36" t="str">
        <f>IFERROR(VLOOKUP('A2 (Öhdəliklər)'!Q21,List!K:L,2,0),"")</f>
      </c>
      <c r="S21" s="16" t="s">
        <v>123</v>
      </c>
      <c r="T21" s="16" t="s">
        <v>123</v>
      </c>
      <c r="U21" s="17" t="s">
        <v>124</v>
      </c>
      <c r="V21" s="17"/>
      <c r="W21" s="20"/>
      <c r="X21" s="18" t="s">
        <v>125</v>
      </c>
      <c r="Y21" s="1" t="s">
        <v>126</v>
      </c>
      <c r="Z21" s="36" t="str">
        <f>IFERROR(VLOOKUP('A2 (Öhdəliklər)'!Y21,List!O:P,2,0),"")</f>
      </c>
      <c r="AA21" s="19">
        <v>0</v>
      </c>
      <c r="AB21" s="19">
        <v>0</v>
      </c>
      <c r="AC21" s="37">
        <f t="shared" si="9"/>
        <v>0</v>
      </c>
      <c r="AD21" s="19" t="s">
        <v>149</v>
      </c>
      <c r="AE21" s="19">
        <v>0</v>
      </c>
      <c r="AF21" s="19">
        <v>0</v>
      </c>
      <c r="AG21" s="19">
        <v>0</v>
      </c>
      <c r="AH21" s="19">
        <v>0</v>
      </c>
      <c r="AI21" s="19" t="s">
        <v>128</v>
      </c>
      <c r="AJ21" s="19">
        <v>0</v>
      </c>
      <c r="AK21" s="19">
        <v>0</v>
      </c>
      <c r="AL21" s="19">
        <v>0</v>
      </c>
      <c r="AM21" s="19"/>
      <c r="AN21" s="19" t="s">
        <v>128</v>
      </c>
      <c r="AO21" s="19">
        <v>0</v>
      </c>
      <c r="AP21" s="19">
        <v>0</v>
      </c>
      <c r="AQ21" s="19">
        <v>0</v>
      </c>
      <c r="AR21" s="19">
        <v>0</v>
      </c>
      <c r="AS21" s="19">
        <v>0</v>
      </c>
      <c r="AT21" s="19">
        <v>0</v>
      </c>
      <c r="AU21" s="19">
        <v>0</v>
      </c>
      <c r="AV21" s="19">
        <v>0</v>
      </c>
      <c r="AW21" s="19">
        <v>0</v>
      </c>
      <c r="AX21" s="19">
        <v>0</v>
      </c>
      <c r="AY21" s="21" t="s">
        <v>129</v>
      </c>
      <c r="AZ21" s="36" t="str">
        <f>IFERROR(VLOOKUP('A2 (Öhdəliklər)'!AY21,List!Q:R,2,0),"")</f>
      </c>
      <c r="BA21" s="38">
        <f t="shared" si="10"/>
        <v>0</v>
      </c>
      <c r="BB21" s="38">
        <f t="shared" si="11"/>
        <v>0</v>
      </c>
      <c r="BC21" s="39">
        <f t="shared" si="12"/>
        <v>58.9966</v>
      </c>
      <c r="BD21" s="39">
        <f t="shared" si="13"/>
        <v>0</v>
      </c>
      <c r="BE21" s="39">
        <f t="shared" si="14"/>
        <v>0</v>
      </c>
      <c r="BF21" s="39">
        <f t="shared" si="15"/>
        <v>0</v>
      </c>
      <c r="BG21" s="19">
        <v>0</v>
      </c>
      <c r="BH21" s="19">
        <v>0</v>
      </c>
      <c r="BI21" s="19">
        <v>0</v>
      </c>
      <c r="BJ21" s="19">
        <v>58.9966</v>
      </c>
      <c r="BK21" s="19">
        <v>0</v>
      </c>
      <c r="BL21" s="19">
        <v>0</v>
      </c>
      <c r="BM21" s="19">
        <v>0</v>
      </c>
      <c r="BN21" s="19">
        <v>0</v>
      </c>
      <c r="BO21" s="19">
        <v>0</v>
      </c>
      <c r="BP21" s="19">
        <v>0</v>
      </c>
      <c r="BQ21" s="19">
        <v>0</v>
      </c>
      <c r="BR21" s="19">
        <v>0</v>
      </c>
      <c r="BS21" s="19">
        <v>0</v>
      </c>
      <c r="BT21" s="19">
        <v>0</v>
      </c>
      <c r="BU21" s="19">
        <v>0</v>
      </c>
      <c r="BV21" s="19">
        <v>0</v>
      </c>
      <c r="BW21" s="19">
        <v>0</v>
      </c>
      <c r="BX21" s="19">
        <v>0</v>
      </c>
      <c r="BY21" s="19">
        <v>0</v>
      </c>
      <c r="BZ21" s="34">
        <v>0</v>
      </c>
      <c r="CA21" s="18">
        <v>0</v>
      </c>
      <c r="CB21" s="20"/>
      <c r="CC21" s="36">
        <v>0</v>
      </c>
      <c r="CD21" s="34"/>
    </row>
    <row r="22" ht="19.5" customHeight="1" s="112" customFormat="1">
      <c r="A22" s="111">
        <v>8</v>
      </c>
      <c r="B22" s="35" t="str">
        <f t="shared" si="8"/>
      </c>
      <c r="C22" s="32" t="s">
        <v>150</v>
      </c>
      <c r="D22" s="15" t="s">
        <v>148</v>
      </c>
      <c r="E22" s="1" t="s">
        <v>118</v>
      </c>
      <c r="F22" s="36" t="str">
        <f>IFERROR(VLOOKUP('A2 (Öhdəliklər)'!E22,List!A:B,2,0),"")</f>
      </c>
      <c r="G22" s="1" t="s">
        <v>119</v>
      </c>
      <c r="H22" s="36" t="str">
        <f>IFERROR(VLOOKUP('A2 (Öhdəliklər)'!G22,List!G:H,2,0),"")</f>
      </c>
      <c r="I22" s="1" t="s">
        <v>120</v>
      </c>
      <c r="J22" s="36" t="str">
        <f>IFERROR(VLOOKUP('A2 (Öhdəliklər)'!I22,List!C:D,2,0),"")</f>
      </c>
      <c r="K22" s="1" t="s">
        <v>143</v>
      </c>
      <c r="L22" s="36" t="str">
        <f>IFERROR(VLOOKUP('A2 (Öhdəliklər)'!K22,List!E:F,2,0),"")</f>
      </c>
      <c r="M22" s="1" t="s">
        <v>122</v>
      </c>
      <c r="N22" s="36" t="str">
        <f>IFERROR(VLOOKUP('A2 (Öhdəliklər)'!M22,List!M:N,2,0),"")</f>
      </c>
      <c r="O22" s="1"/>
      <c r="P22" s="36" t="str">
        <f>IFERROR(VLOOKUP('A2 (Öhdəliklər)'!O22,List!S:T,2,0),"")</f>
      </c>
      <c r="Q22" s="1"/>
      <c r="R22" s="36" t="str">
        <f>IFERROR(VLOOKUP('A2 (Öhdəliklər)'!Q22,List!K:L,2,0),"")</f>
      </c>
      <c r="S22" s="16" t="s">
        <v>123</v>
      </c>
      <c r="T22" s="16" t="s">
        <v>123</v>
      </c>
      <c r="U22" s="17" t="s">
        <v>124</v>
      </c>
      <c r="V22" s="17"/>
      <c r="W22" s="20"/>
      <c r="X22" s="18" t="s">
        <v>125</v>
      </c>
      <c r="Y22" s="1" t="s">
        <v>126</v>
      </c>
      <c r="Z22" s="36" t="str">
        <f>IFERROR(VLOOKUP('A2 (Öhdəliklər)'!Y22,List!O:P,2,0),"")</f>
      </c>
      <c r="AA22" s="19">
        <v>0</v>
      </c>
      <c r="AB22" s="19">
        <v>0</v>
      </c>
      <c r="AC22" s="37">
        <f t="shared" si="9"/>
        <v>0</v>
      </c>
      <c r="AD22" s="19" t="s">
        <v>151</v>
      </c>
      <c r="AE22" s="19">
        <v>0</v>
      </c>
      <c r="AF22" s="19">
        <v>0</v>
      </c>
      <c r="AG22" s="19">
        <v>0</v>
      </c>
      <c r="AH22" s="19">
        <v>0</v>
      </c>
      <c r="AI22" s="19" t="s">
        <v>152</v>
      </c>
      <c r="AJ22" s="19">
        <v>0</v>
      </c>
      <c r="AK22" s="19">
        <v>0</v>
      </c>
      <c r="AL22" s="19">
        <v>0</v>
      </c>
      <c r="AM22" s="19"/>
      <c r="AN22" s="19" t="s">
        <v>153</v>
      </c>
      <c r="AO22" s="19">
        <v>0</v>
      </c>
      <c r="AP22" s="19">
        <v>0</v>
      </c>
      <c r="AQ22" s="19">
        <v>0</v>
      </c>
      <c r="AR22" s="19">
        <v>0</v>
      </c>
      <c r="AS22" s="19">
        <v>0</v>
      </c>
      <c r="AT22" s="19">
        <v>0</v>
      </c>
      <c r="AU22" s="19">
        <v>0</v>
      </c>
      <c r="AV22" s="19">
        <v>0</v>
      </c>
      <c r="AW22" s="19">
        <v>0</v>
      </c>
      <c r="AX22" s="19">
        <v>0</v>
      </c>
      <c r="AY22" s="21" t="s">
        <v>129</v>
      </c>
      <c r="AZ22" s="36" t="str">
        <f>IFERROR(VLOOKUP('A2 (Öhdəliklər)'!AY22,List!Q:R,2,0),"")</f>
      </c>
      <c r="BA22" s="38">
        <f t="shared" si="10"/>
        <v>0</v>
      </c>
      <c r="BB22" s="38">
        <f t="shared" si="11"/>
        <v>0</v>
      </c>
      <c r="BC22" s="39">
        <f t="shared" si="12"/>
        <v>3.9073499999999939</v>
      </c>
      <c r="BD22" s="39">
        <f t="shared" si="13"/>
        <v>0</v>
      </c>
      <c r="BE22" s="39">
        <f t="shared" si="14"/>
        <v>0</v>
      </c>
      <c r="BF22" s="39">
        <f t="shared" si="15"/>
        <v>0</v>
      </c>
      <c r="BG22" s="19">
        <v>0</v>
      </c>
      <c r="BH22" s="19">
        <v>0</v>
      </c>
      <c r="BI22" s="19">
        <v>0</v>
      </c>
      <c r="BJ22" s="19">
        <v>3.9073499999999939</v>
      </c>
      <c r="BK22" s="19">
        <v>0</v>
      </c>
      <c r="BL22" s="19">
        <v>0</v>
      </c>
      <c r="BM22" s="19">
        <v>0</v>
      </c>
      <c r="BN22" s="19">
        <v>0</v>
      </c>
      <c r="BO22" s="19">
        <v>0</v>
      </c>
      <c r="BP22" s="19">
        <v>0</v>
      </c>
      <c r="BQ22" s="19">
        <v>0</v>
      </c>
      <c r="BR22" s="19">
        <v>0</v>
      </c>
      <c r="BS22" s="19">
        <v>0</v>
      </c>
      <c r="BT22" s="19">
        <v>0</v>
      </c>
      <c r="BU22" s="19">
        <v>0</v>
      </c>
      <c r="BV22" s="19">
        <v>0</v>
      </c>
      <c r="BW22" s="19">
        <v>0</v>
      </c>
      <c r="BX22" s="19">
        <v>0</v>
      </c>
      <c r="BY22" s="19">
        <v>0</v>
      </c>
      <c r="BZ22" s="34">
        <v>0</v>
      </c>
      <c r="CA22" s="18">
        <v>0</v>
      </c>
      <c r="CB22" s="20"/>
      <c r="CC22" s="36">
        <v>0</v>
      </c>
      <c r="CD22" s="34"/>
    </row>
    <row r="23" ht="19.5" customHeight="1" s="112" customFormat="1">
      <c r="A23" s="111">
        <v>9</v>
      </c>
      <c r="B23" s="35" t="str">
        <f t="shared" si="8"/>
      </c>
      <c r="C23" s="32" t="s">
        <v>154</v>
      </c>
      <c r="D23" s="15" t="s">
        <v>148</v>
      </c>
      <c r="E23" s="1" t="s">
        <v>118</v>
      </c>
      <c r="F23" s="36" t="str">
        <f>IFERROR(VLOOKUP('A2 (Öhdəliklər)'!E23,List!A:B,2,0),"")</f>
      </c>
      <c r="G23" s="1" t="s">
        <v>119</v>
      </c>
      <c r="H23" s="36" t="str">
        <f>IFERROR(VLOOKUP('A2 (Öhdəliklər)'!G23,List!G:H,2,0),"")</f>
      </c>
      <c r="I23" s="1" t="s">
        <v>120</v>
      </c>
      <c r="J23" s="36" t="str">
        <f>IFERROR(VLOOKUP('A2 (Öhdəliklər)'!I23,List!C:D,2,0),"")</f>
      </c>
      <c r="K23" s="1" t="s">
        <v>143</v>
      </c>
      <c r="L23" s="36" t="str">
        <f>IFERROR(VLOOKUP('A2 (Öhdəliklər)'!K23,List!E:F,2,0),"")</f>
      </c>
      <c r="M23" s="1" t="s">
        <v>122</v>
      </c>
      <c r="N23" s="36" t="str">
        <f>IFERROR(VLOOKUP('A2 (Öhdəliklər)'!M23,List!M:N,2,0),"")</f>
      </c>
      <c r="O23" s="1"/>
      <c r="P23" s="36" t="str">
        <f>IFERROR(VLOOKUP('A2 (Öhdəliklər)'!O23,List!S:T,2,0),"")</f>
      </c>
      <c r="Q23" s="1"/>
      <c r="R23" s="36" t="str">
        <f>IFERROR(VLOOKUP('A2 (Öhdəliklər)'!Q23,List!K:L,2,0),"")</f>
      </c>
      <c r="S23" s="16" t="s">
        <v>123</v>
      </c>
      <c r="T23" s="16" t="s">
        <v>123</v>
      </c>
      <c r="U23" s="17" t="s">
        <v>124</v>
      </c>
      <c r="V23" s="17"/>
      <c r="W23" s="20"/>
      <c r="X23" s="18" t="s">
        <v>125</v>
      </c>
      <c r="Y23" s="1" t="s">
        <v>126</v>
      </c>
      <c r="Z23" s="36" t="str">
        <f>IFERROR(VLOOKUP('A2 (Öhdəliklər)'!Y23,List!O:P,2,0),"")</f>
      </c>
      <c r="AA23" s="19">
        <v>0</v>
      </c>
      <c r="AB23" s="19">
        <v>0</v>
      </c>
      <c r="AC23" s="37">
        <f t="shared" si="9"/>
        <v>0</v>
      </c>
      <c r="AD23" s="19" t="s">
        <v>155</v>
      </c>
      <c r="AE23" s="19">
        <v>0</v>
      </c>
      <c r="AF23" s="19">
        <v>0</v>
      </c>
      <c r="AG23" s="19">
        <v>0</v>
      </c>
      <c r="AH23" s="19">
        <v>0</v>
      </c>
      <c r="AI23" s="19" t="s">
        <v>156</v>
      </c>
      <c r="AJ23" s="19">
        <v>0</v>
      </c>
      <c r="AK23" s="19">
        <v>0</v>
      </c>
      <c r="AL23" s="19">
        <v>0</v>
      </c>
      <c r="AM23" s="19"/>
      <c r="AN23" s="19" t="s">
        <v>157</v>
      </c>
      <c r="AO23" s="19">
        <v>0</v>
      </c>
      <c r="AP23" s="19">
        <v>0</v>
      </c>
      <c r="AQ23" s="19">
        <v>0</v>
      </c>
      <c r="AR23" s="19">
        <v>0</v>
      </c>
      <c r="AS23" s="19">
        <v>0</v>
      </c>
      <c r="AT23" s="19">
        <v>0</v>
      </c>
      <c r="AU23" s="19">
        <v>0</v>
      </c>
      <c r="AV23" s="19">
        <v>0</v>
      </c>
      <c r="AW23" s="19">
        <v>0</v>
      </c>
      <c r="AX23" s="19">
        <v>0</v>
      </c>
      <c r="AY23" s="21" t="s">
        <v>129</v>
      </c>
      <c r="AZ23" s="36" t="str">
        <f>IFERROR(VLOOKUP('A2 (Öhdəliklər)'!AY23,List!Q:R,2,0),"")</f>
      </c>
      <c r="BA23" s="38">
        <f t="shared" si="10"/>
        <v>0</v>
      </c>
      <c r="BB23" s="38">
        <f t="shared" si="11"/>
        <v>0</v>
      </c>
      <c r="BC23" s="39">
        <f t="shared" si="12"/>
        <v>1.5715900000000147</v>
      </c>
      <c r="BD23" s="39">
        <f t="shared" si="13"/>
        <v>0</v>
      </c>
      <c r="BE23" s="39">
        <f t="shared" si="14"/>
        <v>0</v>
      </c>
      <c r="BF23" s="39">
        <f t="shared" si="15"/>
        <v>0</v>
      </c>
      <c r="BG23" s="19">
        <v>0</v>
      </c>
      <c r="BH23" s="19">
        <v>0</v>
      </c>
      <c r="BI23" s="19">
        <v>0</v>
      </c>
      <c r="BJ23" s="19">
        <v>1.5715900000000147</v>
      </c>
      <c r="BK23" s="19">
        <v>0</v>
      </c>
      <c r="BL23" s="19">
        <v>0</v>
      </c>
      <c r="BM23" s="19">
        <v>0</v>
      </c>
      <c r="BN23" s="19">
        <v>0</v>
      </c>
      <c r="BO23" s="19">
        <v>0</v>
      </c>
      <c r="BP23" s="19">
        <v>0</v>
      </c>
      <c r="BQ23" s="19">
        <v>0</v>
      </c>
      <c r="BR23" s="19">
        <v>0</v>
      </c>
      <c r="BS23" s="19">
        <v>0</v>
      </c>
      <c r="BT23" s="19">
        <v>0</v>
      </c>
      <c r="BU23" s="19">
        <v>0</v>
      </c>
      <c r="BV23" s="19">
        <v>0</v>
      </c>
      <c r="BW23" s="19">
        <v>0</v>
      </c>
      <c r="BX23" s="19">
        <v>0</v>
      </c>
      <c r="BY23" s="19">
        <v>0</v>
      </c>
      <c r="BZ23" s="34">
        <v>0</v>
      </c>
      <c r="CA23" s="18">
        <v>0</v>
      </c>
      <c r="CB23" s="20"/>
      <c r="CC23" s="36">
        <v>0</v>
      </c>
      <c r="CD23" s="34"/>
    </row>
    <row r="24" ht="19.5" customHeight="1" s="112" customFormat="1">
      <c r="A24" s="111">
        <v>10</v>
      </c>
      <c r="B24" s="35" t="str">
        <f t="shared" si="8"/>
      </c>
      <c r="C24" s="32" t="s">
        <v>158</v>
      </c>
      <c r="D24" s="15" t="s">
        <v>159</v>
      </c>
      <c r="E24" s="1" t="s">
        <v>118</v>
      </c>
      <c r="F24" s="36" t="str">
        <f>IFERROR(VLOOKUP('A2 (Öhdəliklər)'!E24,List!A:B,2,0),"")</f>
      </c>
      <c r="G24" s="1" t="s">
        <v>119</v>
      </c>
      <c r="H24" s="36" t="str">
        <f>IFERROR(VLOOKUP('A2 (Öhdəliklər)'!G24,List!G:H,2,0),"")</f>
      </c>
      <c r="I24" s="1" t="s">
        <v>120</v>
      </c>
      <c r="J24" s="36" t="str">
        <f>IFERROR(VLOOKUP('A2 (Öhdəliklər)'!I24,List!C:D,2,0),"")</f>
      </c>
      <c r="K24" s="1" t="s">
        <v>143</v>
      </c>
      <c r="L24" s="36" t="str">
        <f>IFERROR(VLOOKUP('A2 (Öhdəliklər)'!K24,List!E:F,2,0),"")</f>
      </c>
      <c r="M24" s="1" t="s">
        <v>122</v>
      </c>
      <c r="N24" s="36" t="str">
        <f>IFERROR(VLOOKUP('A2 (Öhdəliklər)'!M24,List!M:N,2,0),"")</f>
      </c>
      <c r="O24" s="1"/>
      <c r="P24" s="36" t="str">
        <f>IFERROR(VLOOKUP('A2 (Öhdəliklər)'!O24,List!S:T,2,0),"")</f>
      </c>
      <c r="Q24" s="1"/>
      <c r="R24" s="36" t="str">
        <f>IFERROR(VLOOKUP('A2 (Öhdəliklər)'!Q24,List!K:L,2,0),"")</f>
      </c>
      <c r="S24" s="16" t="s">
        <v>123</v>
      </c>
      <c r="T24" s="16" t="s">
        <v>123</v>
      </c>
      <c r="U24" s="17" t="s">
        <v>160</v>
      </c>
      <c r="V24" s="17"/>
      <c r="W24" s="20"/>
      <c r="X24" s="18" t="s">
        <v>125</v>
      </c>
      <c r="Y24" s="1" t="s">
        <v>126</v>
      </c>
      <c r="Z24" s="36" t="str">
        <f>IFERROR(VLOOKUP('A2 (Öhdəliklər)'!Y24,List!O:P,2,0),"")</f>
      </c>
      <c r="AA24" s="19">
        <v>0</v>
      </c>
      <c r="AB24" s="19">
        <v>0</v>
      </c>
      <c r="AC24" s="37">
        <f t="shared" si="9"/>
        <v>0</v>
      </c>
      <c r="AD24" s="19" t="s">
        <v>161</v>
      </c>
      <c r="AE24" s="19">
        <v>0</v>
      </c>
      <c r="AF24" s="19">
        <v>0</v>
      </c>
      <c r="AG24" s="19">
        <v>0</v>
      </c>
      <c r="AH24" s="19">
        <v>0</v>
      </c>
      <c r="AI24" s="19" t="s">
        <v>128</v>
      </c>
      <c r="AJ24" s="19">
        <v>0</v>
      </c>
      <c r="AK24" s="19">
        <v>0</v>
      </c>
      <c r="AL24" s="19">
        <v>0</v>
      </c>
      <c r="AM24" s="19"/>
      <c r="AN24" s="19" t="s">
        <v>128</v>
      </c>
      <c r="AO24" s="19">
        <v>0</v>
      </c>
      <c r="AP24" s="19">
        <v>0</v>
      </c>
      <c r="AQ24" s="19">
        <v>0</v>
      </c>
      <c r="AR24" s="19">
        <v>0</v>
      </c>
      <c r="AS24" s="19">
        <v>0</v>
      </c>
      <c r="AT24" s="19">
        <v>0</v>
      </c>
      <c r="AU24" s="19">
        <v>0</v>
      </c>
      <c r="AV24" s="19">
        <v>0</v>
      </c>
      <c r="AW24" s="19">
        <v>0</v>
      </c>
      <c r="AX24" s="19">
        <v>0</v>
      </c>
      <c r="AY24" s="21" t="s">
        <v>129</v>
      </c>
      <c r="AZ24" s="36" t="str">
        <f>IFERROR(VLOOKUP('A2 (Öhdəliklər)'!AY24,List!Q:R,2,0),"")</f>
      </c>
      <c r="BA24" s="38">
        <f t="shared" si="10"/>
        <v>0</v>
      </c>
      <c r="BB24" s="38">
        <f t="shared" si="11"/>
        <v>0</v>
      </c>
      <c r="BC24" s="39">
        <f t="shared" si="12"/>
        <v>0.68251</v>
      </c>
      <c r="BD24" s="39">
        <f t="shared" si="13"/>
        <v>0</v>
      </c>
      <c r="BE24" s="39">
        <f t="shared" si="14"/>
        <v>0</v>
      </c>
      <c r="BF24" s="39">
        <f t="shared" si="15"/>
        <v>0</v>
      </c>
      <c r="BG24" s="19">
        <v>0</v>
      </c>
      <c r="BH24" s="19">
        <v>0</v>
      </c>
      <c r="BI24" s="19">
        <v>0</v>
      </c>
      <c r="BJ24" s="19">
        <v>0.68251</v>
      </c>
      <c r="BK24" s="19">
        <v>0</v>
      </c>
      <c r="BL24" s="19">
        <v>0</v>
      </c>
      <c r="BM24" s="19">
        <v>0</v>
      </c>
      <c r="BN24" s="19">
        <v>0</v>
      </c>
      <c r="BO24" s="19">
        <v>0</v>
      </c>
      <c r="BP24" s="19">
        <v>0</v>
      </c>
      <c r="BQ24" s="19">
        <v>0</v>
      </c>
      <c r="BR24" s="19">
        <v>0</v>
      </c>
      <c r="BS24" s="19">
        <v>0</v>
      </c>
      <c r="BT24" s="19">
        <v>0</v>
      </c>
      <c r="BU24" s="19">
        <v>0</v>
      </c>
      <c r="BV24" s="19">
        <v>0</v>
      </c>
      <c r="BW24" s="19">
        <v>0</v>
      </c>
      <c r="BX24" s="19">
        <v>0</v>
      </c>
      <c r="BY24" s="19">
        <v>0</v>
      </c>
      <c r="BZ24" s="34">
        <v>0</v>
      </c>
      <c r="CA24" s="18">
        <v>0</v>
      </c>
      <c r="CB24" s="20"/>
      <c r="CC24" s="36">
        <v>0</v>
      </c>
      <c r="CD24" s="34"/>
    </row>
    <row r="25" ht="19.5" customHeight="1" s="112" customFormat="1">
      <c r="A25" s="111">
        <v>11</v>
      </c>
      <c r="B25" s="35" t="str">
        <f t="shared" si="8"/>
      </c>
      <c r="C25" s="32" t="s">
        <v>162</v>
      </c>
      <c r="D25" s="15" t="s">
        <v>163</v>
      </c>
      <c r="E25" s="1" t="s">
        <v>118</v>
      </c>
      <c r="F25" s="36" t="str">
        <f>IFERROR(VLOOKUP('A2 (Öhdəliklər)'!E25,List!A:B,2,0),"")</f>
      </c>
      <c r="G25" s="1" t="s">
        <v>119</v>
      </c>
      <c r="H25" s="36" t="str">
        <f>IFERROR(VLOOKUP('A2 (Öhdəliklər)'!G25,List!G:H,2,0),"")</f>
      </c>
      <c r="I25" s="1" t="s">
        <v>120</v>
      </c>
      <c r="J25" s="36" t="str">
        <f>IFERROR(VLOOKUP('A2 (Öhdəliklər)'!I25,List!C:D,2,0),"")</f>
      </c>
      <c r="K25" s="1" t="s">
        <v>143</v>
      </c>
      <c r="L25" s="36" t="str">
        <f>IFERROR(VLOOKUP('A2 (Öhdəliklər)'!K25,List!E:F,2,0),"")</f>
      </c>
      <c r="M25" s="1" t="s">
        <v>122</v>
      </c>
      <c r="N25" s="36" t="str">
        <f>IFERROR(VLOOKUP('A2 (Öhdəliklər)'!M25,List!M:N,2,0),"")</f>
      </c>
      <c r="O25" s="1"/>
      <c r="P25" s="36" t="str">
        <f>IFERROR(VLOOKUP('A2 (Öhdəliklər)'!O25,List!S:T,2,0),"")</f>
      </c>
      <c r="Q25" s="1"/>
      <c r="R25" s="36" t="str">
        <f>IFERROR(VLOOKUP('A2 (Öhdəliklər)'!Q25,List!K:L,2,0),"")</f>
      </c>
      <c r="S25" s="16" t="s">
        <v>123</v>
      </c>
      <c r="T25" s="16" t="s">
        <v>123</v>
      </c>
      <c r="U25" s="17" t="s">
        <v>164</v>
      </c>
      <c r="V25" s="17"/>
      <c r="W25" s="20"/>
      <c r="X25" s="18" t="s">
        <v>125</v>
      </c>
      <c r="Y25" s="1" t="s">
        <v>126</v>
      </c>
      <c r="Z25" s="36" t="str">
        <f>IFERROR(VLOOKUP('A2 (Öhdəliklər)'!Y25,List!O:P,2,0),"")</f>
      </c>
      <c r="AA25" s="19">
        <v>0</v>
      </c>
      <c r="AB25" s="19">
        <v>0</v>
      </c>
      <c r="AC25" s="37">
        <f t="shared" si="9"/>
        <v>0</v>
      </c>
      <c r="AD25" s="19" t="s">
        <v>165</v>
      </c>
      <c r="AE25" s="19">
        <v>0</v>
      </c>
      <c r="AF25" s="19">
        <v>0</v>
      </c>
      <c r="AG25" s="19">
        <v>0</v>
      </c>
      <c r="AH25" s="19">
        <v>0</v>
      </c>
      <c r="AI25" s="19" t="s">
        <v>128</v>
      </c>
      <c r="AJ25" s="19">
        <v>0</v>
      </c>
      <c r="AK25" s="19">
        <v>0</v>
      </c>
      <c r="AL25" s="19">
        <v>0</v>
      </c>
      <c r="AM25" s="19"/>
      <c r="AN25" s="19" t="s">
        <v>128</v>
      </c>
      <c r="AO25" s="19">
        <v>0</v>
      </c>
      <c r="AP25" s="19">
        <v>0</v>
      </c>
      <c r="AQ25" s="19">
        <v>0</v>
      </c>
      <c r="AR25" s="19">
        <v>0</v>
      </c>
      <c r="AS25" s="19">
        <v>0</v>
      </c>
      <c r="AT25" s="19">
        <v>0</v>
      </c>
      <c r="AU25" s="19">
        <v>0</v>
      </c>
      <c r="AV25" s="19">
        <v>0</v>
      </c>
      <c r="AW25" s="19">
        <v>0</v>
      </c>
      <c r="AX25" s="19">
        <v>0</v>
      </c>
      <c r="AY25" s="21" t="s">
        <v>129</v>
      </c>
      <c r="AZ25" s="36" t="str">
        <f>IFERROR(VLOOKUP('A2 (Öhdəliklər)'!AY25,List!Q:R,2,0),"")</f>
      </c>
      <c r="BA25" s="38">
        <f t="shared" si="10"/>
        <v>0</v>
      </c>
      <c r="BB25" s="38">
        <f t="shared" si="11"/>
        <v>0</v>
      </c>
      <c r="BC25" s="39">
        <f t="shared" si="12"/>
        <v>0.3748</v>
      </c>
      <c r="BD25" s="39">
        <f t="shared" si="13"/>
        <v>0</v>
      </c>
      <c r="BE25" s="39">
        <f t="shared" si="14"/>
        <v>0</v>
      </c>
      <c r="BF25" s="39">
        <f t="shared" si="15"/>
        <v>0</v>
      </c>
      <c r="BG25" s="19">
        <v>0</v>
      </c>
      <c r="BH25" s="19">
        <v>0</v>
      </c>
      <c r="BI25" s="19">
        <v>0</v>
      </c>
      <c r="BJ25" s="19">
        <v>0.3748</v>
      </c>
      <c r="BK25" s="19">
        <v>0</v>
      </c>
      <c r="BL25" s="19">
        <v>0</v>
      </c>
      <c r="BM25" s="19">
        <v>0</v>
      </c>
      <c r="BN25" s="19">
        <v>0</v>
      </c>
      <c r="BO25" s="19">
        <v>0</v>
      </c>
      <c r="BP25" s="19">
        <v>0</v>
      </c>
      <c r="BQ25" s="19">
        <v>0</v>
      </c>
      <c r="BR25" s="19">
        <v>0</v>
      </c>
      <c r="BS25" s="19">
        <v>0</v>
      </c>
      <c r="BT25" s="19">
        <v>0</v>
      </c>
      <c r="BU25" s="19">
        <v>0</v>
      </c>
      <c r="BV25" s="19">
        <v>0</v>
      </c>
      <c r="BW25" s="19">
        <v>0</v>
      </c>
      <c r="BX25" s="19">
        <v>0</v>
      </c>
      <c r="BY25" s="19">
        <v>0</v>
      </c>
      <c r="BZ25" s="34">
        <v>0</v>
      </c>
      <c r="CA25" s="18">
        <v>0</v>
      </c>
      <c r="CB25" s="20"/>
      <c r="CC25" s="36">
        <v>0</v>
      </c>
      <c r="CD25" s="34"/>
    </row>
    <row r="26" ht="19.5" customHeight="1" s="112" customFormat="1">
      <c r="A26" s="111">
        <v>12</v>
      </c>
      <c r="B26" s="35" t="str">
        <f t="shared" si="8"/>
      </c>
      <c r="C26" s="32" t="s">
        <v>166</v>
      </c>
      <c r="D26" s="15" t="s">
        <v>163</v>
      </c>
      <c r="E26" s="1" t="s">
        <v>118</v>
      </c>
      <c r="F26" s="36" t="str">
        <f>IFERROR(VLOOKUP('A2 (Öhdəliklər)'!E26,List!A:B,2,0),"")</f>
      </c>
      <c r="G26" s="1" t="s">
        <v>119</v>
      </c>
      <c r="H26" s="36" t="str">
        <f>IFERROR(VLOOKUP('A2 (Öhdəliklər)'!G26,List!G:H,2,0),"")</f>
      </c>
      <c r="I26" s="1" t="s">
        <v>120</v>
      </c>
      <c r="J26" s="36" t="str">
        <f>IFERROR(VLOOKUP('A2 (Öhdəliklər)'!I26,List!C:D,2,0),"")</f>
      </c>
      <c r="K26" s="1" t="s">
        <v>143</v>
      </c>
      <c r="L26" s="36" t="str">
        <f>IFERROR(VLOOKUP('A2 (Öhdəliklər)'!K26,List!E:F,2,0),"")</f>
      </c>
      <c r="M26" s="1" t="s">
        <v>122</v>
      </c>
      <c r="N26" s="36" t="str">
        <f>IFERROR(VLOOKUP('A2 (Öhdəliklər)'!M26,List!M:N,2,0),"")</f>
      </c>
      <c r="O26" s="1"/>
      <c r="P26" s="36" t="str">
        <f>IFERROR(VLOOKUP('A2 (Öhdəliklər)'!O26,List!S:T,2,0),"")</f>
      </c>
      <c r="Q26" s="1"/>
      <c r="R26" s="36" t="str">
        <f>IFERROR(VLOOKUP('A2 (Öhdəliklər)'!Q26,List!K:L,2,0),"")</f>
      </c>
      <c r="S26" s="16" t="s">
        <v>123</v>
      </c>
      <c r="T26" s="16" t="s">
        <v>123</v>
      </c>
      <c r="U26" s="17" t="s">
        <v>164</v>
      </c>
      <c r="V26" s="17"/>
      <c r="W26" s="20"/>
      <c r="X26" s="18" t="s">
        <v>125</v>
      </c>
      <c r="Y26" s="1" t="s">
        <v>126</v>
      </c>
      <c r="Z26" s="36" t="str">
        <f>IFERROR(VLOOKUP('A2 (Öhdəliklər)'!Y26,List!O:P,2,0),"")</f>
      </c>
      <c r="AA26" s="19">
        <v>0</v>
      </c>
      <c r="AB26" s="19">
        <v>0</v>
      </c>
      <c r="AC26" s="37">
        <f t="shared" si="9"/>
        <v>0</v>
      </c>
      <c r="AD26" s="19" t="s">
        <v>167</v>
      </c>
      <c r="AE26" s="19">
        <v>0</v>
      </c>
      <c r="AF26" s="19">
        <v>0</v>
      </c>
      <c r="AG26" s="19">
        <v>0</v>
      </c>
      <c r="AH26" s="19">
        <v>0</v>
      </c>
      <c r="AI26" s="19" t="s">
        <v>128</v>
      </c>
      <c r="AJ26" s="19">
        <v>0</v>
      </c>
      <c r="AK26" s="19">
        <v>0</v>
      </c>
      <c r="AL26" s="19">
        <v>0</v>
      </c>
      <c r="AM26" s="19"/>
      <c r="AN26" s="19" t="s">
        <v>128</v>
      </c>
      <c r="AO26" s="19">
        <v>0</v>
      </c>
      <c r="AP26" s="19">
        <v>0</v>
      </c>
      <c r="AQ26" s="19">
        <v>0</v>
      </c>
      <c r="AR26" s="19">
        <v>0</v>
      </c>
      <c r="AS26" s="19">
        <v>0</v>
      </c>
      <c r="AT26" s="19">
        <v>0</v>
      </c>
      <c r="AU26" s="19">
        <v>0</v>
      </c>
      <c r="AV26" s="19">
        <v>0</v>
      </c>
      <c r="AW26" s="19">
        <v>0</v>
      </c>
      <c r="AX26" s="19">
        <v>0</v>
      </c>
      <c r="AY26" s="21" t="s">
        <v>129</v>
      </c>
      <c r="AZ26" s="36" t="str">
        <f>IFERROR(VLOOKUP('A2 (Öhdəliklər)'!AY26,List!Q:R,2,0),"")</f>
      </c>
      <c r="BA26" s="38">
        <f t="shared" si="10"/>
        <v>0</v>
      </c>
      <c r="BB26" s="38">
        <f t="shared" si="11"/>
        <v>0</v>
      </c>
      <c r="BC26" s="39">
        <f t="shared" si="12"/>
        <v>0.03568</v>
      </c>
      <c r="BD26" s="39">
        <f t="shared" si="13"/>
        <v>0</v>
      </c>
      <c r="BE26" s="39">
        <f t="shared" si="14"/>
        <v>0</v>
      </c>
      <c r="BF26" s="39">
        <f t="shared" si="15"/>
        <v>0</v>
      </c>
      <c r="BG26" s="19">
        <v>0</v>
      </c>
      <c r="BH26" s="19">
        <v>0</v>
      </c>
      <c r="BI26" s="19">
        <v>0</v>
      </c>
      <c r="BJ26" s="19">
        <v>0.03568</v>
      </c>
      <c r="BK26" s="19">
        <v>0</v>
      </c>
      <c r="BL26" s="19">
        <v>0</v>
      </c>
      <c r="BM26" s="19">
        <v>0</v>
      </c>
      <c r="BN26" s="19">
        <v>0</v>
      </c>
      <c r="BO26" s="19">
        <v>0</v>
      </c>
      <c r="BP26" s="19">
        <v>0</v>
      </c>
      <c r="BQ26" s="19">
        <v>0</v>
      </c>
      <c r="BR26" s="19">
        <v>0</v>
      </c>
      <c r="BS26" s="19">
        <v>0</v>
      </c>
      <c r="BT26" s="19">
        <v>0</v>
      </c>
      <c r="BU26" s="19">
        <v>0</v>
      </c>
      <c r="BV26" s="19">
        <v>0</v>
      </c>
      <c r="BW26" s="19">
        <v>0</v>
      </c>
      <c r="BX26" s="19">
        <v>0</v>
      </c>
      <c r="BY26" s="19">
        <v>0</v>
      </c>
      <c r="BZ26" s="34">
        <v>0</v>
      </c>
      <c r="CA26" s="18">
        <v>0</v>
      </c>
      <c r="CB26" s="20"/>
      <c r="CC26" s="36">
        <v>0</v>
      </c>
      <c r="CD26" s="34"/>
    </row>
    <row r="27" ht="19.5" customHeight="1" s="112" customFormat="1">
      <c r="A27" s="111">
        <v>13</v>
      </c>
      <c r="B27" s="35" t="str">
        <f t="shared" si="8"/>
      </c>
      <c r="C27" s="32" t="s">
        <v>168</v>
      </c>
      <c r="D27" s="15" t="s">
        <v>169</v>
      </c>
      <c r="E27" s="1" t="s">
        <v>118</v>
      </c>
      <c r="F27" s="36" t="str">
        <f>IFERROR(VLOOKUP('A2 (Öhdəliklər)'!E27,List!A:B,2,0),"")</f>
      </c>
      <c r="G27" s="1" t="s">
        <v>119</v>
      </c>
      <c r="H27" s="36" t="str">
        <f>IFERROR(VLOOKUP('A2 (Öhdəliklər)'!G27,List!G:H,2,0),"")</f>
      </c>
      <c r="I27" s="1" t="s">
        <v>120</v>
      </c>
      <c r="J27" s="36" t="str">
        <f>IFERROR(VLOOKUP('A2 (Öhdəliklər)'!I27,List!C:D,2,0),"")</f>
      </c>
      <c r="K27" s="1" t="s">
        <v>143</v>
      </c>
      <c r="L27" s="36" t="str">
        <f>IFERROR(VLOOKUP('A2 (Öhdəliklər)'!K27,List!E:F,2,0),"")</f>
      </c>
      <c r="M27" s="1" t="s">
        <v>122</v>
      </c>
      <c r="N27" s="36" t="str">
        <f>IFERROR(VLOOKUP('A2 (Öhdəliklər)'!M27,List!M:N,2,0),"")</f>
      </c>
      <c r="O27" s="1"/>
      <c r="P27" s="36" t="str">
        <f>IFERROR(VLOOKUP('A2 (Öhdəliklər)'!O27,List!S:T,2,0),"")</f>
      </c>
      <c r="Q27" s="1"/>
      <c r="R27" s="36" t="str">
        <f>IFERROR(VLOOKUP('A2 (Öhdəliklər)'!Q27,List!K:L,2,0),"")</f>
      </c>
      <c r="S27" s="16" t="s">
        <v>123</v>
      </c>
      <c r="T27" s="16" t="s">
        <v>123</v>
      </c>
      <c r="U27" s="17" t="s">
        <v>160</v>
      </c>
      <c r="V27" s="17"/>
      <c r="W27" s="20"/>
      <c r="X27" s="18" t="s">
        <v>125</v>
      </c>
      <c r="Y27" s="1" t="s">
        <v>126</v>
      </c>
      <c r="Z27" s="36" t="str">
        <f>IFERROR(VLOOKUP('A2 (Öhdəliklər)'!Y27,List!O:P,2,0),"")</f>
      </c>
      <c r="AA27" s="19">
        <v>0</v>
      </c>
      <c r="AB27" s="19">
        <v>0</v>
      </c>
      <c r="AC27" s="37">
        <f t="shared" si="9"/>
        <v>0</v>
      </c>
      <c r="AD27" s="19" t="s">
        <v>170</v>
      </c>
      <c r="AE27" s="19">
        <v>0</v>
      </c>
      <c r="AF27" s="19">
        <v>0</v>
      </c>
      <c r="AG27" s="19">
        <v>0</v>
      </c>
      <c r="AH27" s="19">
        <v>0</v>
      </c>
      <c r="AI27" s="19" t="s">
        <v>128</v>
      </c>
      <c r="AJ27" s="19">
        <v>0</v>
      </c>
      <c r="AK27" s="19">
        <v>0</v>
      </c>
      <c r="AL27" s="19">
        <v>0</v>
      </c>
      <c r="AM27" s="19"/>
      <c r="AN27" s="19" t="s">
        <v>128</v>
      </c>
      <c r="AO27" s="19">
        <v>0</v>
      </c>
      <c r="AP27" s="19">
        <v>0</v>
      </c>
      <c r="AQ27" s="19">
        <v>0</v>
      </c>
      <c r="AR27" s="19">
        <v>0</v>
      </c>
      <c r="AS27" s="19">
        <v>0</v>
      </c>
      <c r="AT27" s="19">
        <v>0</v>
      </c>
      <c r="AU27" s="19">
        <v>0</v>
      </c>
      <c r="AV27" s="19">
        <v>0</v>
      </c>
      <c r="AW27" s="19">
        <v>0</v>
      </c>
      <c r="AX27" s="19">
        <v>0</v>
      </c>
      <c r="AY27" s="21" t="s">
        <v>129</v>
      </c>
      <c r="AZ27" s="36" t="str">
        <f>IFERROR(VLOOKUP('A2 (Öhdəliklər)'!AY27,List!Q:R,2,0),"")</f>
      </c>
      <c r="BA27" s="38">
        <f t="shared" si="10"/>
        <v>0</v>
      </c>
      <c r="BB27" s="38">
        <f t="shared" si="11"/>
        <v>0</v>
      </c>
      <c r="BC27" s="39">
        <f t="shared" si="12"/>
        <v>0.5072</v>
      </c>
      <c r="BD27" s="39">
        <f t="shared" si="13"/>
        <v>0</v>
      </c>
      <c r="BE27" s="39">
        <f t="shared" si="14"/>
        <v>0</v>
      </c>
      <c r="BF27" s="39">
        <f t="shared" si="15"/>
        <v>0</v>
      </c>
      <c r="BG27" s="19">
        <v>0</v>
      </c>
      <c r="BH27" s="19">
        <v>0</v>
      </c>
      <c r="BI27" s="19">
        <v>0</v>
      </c>
      <c r="BJ27" s="19">
        <v>0.5072</v>
      </c>
      <c r="BK27" s="19">
        <v>0</v>
      </c>
      <c r="BL27" s="19">
        <v>0</v>
      </c>
      <c r="BM27" s="19">
        <v>0</v>
      </c>
      <c r="BN27" s="19">
        <v>0</v>
      </c>
      <c r="BO27" s="19">
        <v>0</v>
      </c>
      <c r="BP27" s="19">
        <v>0</v>
      </c>
      <c r="BQ27" s="19">
        <v>0</v>
      </c>
      <c r="BR27" s="19">
        <v>0</v>
      </c>
      <c r="BS27" s="19">
        <v>0</v>
      </c>
      <c r="BT27" s="19">
        <v>0</v>
      </c>
      <c r="BU27" s="19">
        <v>0</v>
      </c>
      <c r="BV27" s="19">
        <v>0</v>
      </c>
      <c r="BW27" s="19">
        <v>0</v>
      </c>
      <c r="BX27" s="19">
        <v>0</v>
      </c>
      <c r="BY27" s="19">
        <v>0</v>
      </c>
      <c r="BZ27" s="34">
        <v>0</v>
      </c>
      <c r="CA27" s="18">
        <v>0</v>
      </c>
      <c r="CB27" s="20"/>
      <c r="CC27" s="36">
        <v>0</v>
      </c>
      <c r="CD27" s="34"/>
    </row>
    <row r="28" ht="19.5" customHeight="1" s="112" customFormat="1">
      <c r="A28" s="111">
        <v>14</v>
      </c>
      <c r="B28" s="35" t="str">
        <f t="shared" si="8"/>
      </c>
      <c r="C28" s="32">
        <v>15746</v>
      </c>
      <c r="D28" s="15" t="s">
        <v>171</v>
      </c>
      <c r="E28" s="1" t="s">
        <v>118</v>
      </c>
      <c r="F28" s="36" t="str">
        <f>IFERROR(VLOOKUP('A2 (Öhdəliklər)'!E28,List!A:B,2,0),"")</f>
      </c>
      <c r="G28" s="1" t="s">
        <v>119</v>
      </c>
      <c r="H28" s="36" t="str">
        <f>IFERROR(VLOOKUP('A2 (Öhdəliklər)'!G28,List!G:H,2,0),"")</f>
      </c>
      <c r="I28" s="1" t="s">
        <v>120</v>
      </c>
      <c r="J28" s="36" t="str">
        <f>IFERROR(VLOOKUP('A2 (Öhdəliklər)'!I28,List!C:D,2,0),"")</f>
      </c>
      <c r="K28" s="1" t="s">
        <v>143</v>
      </c>
      <c r="L28" s="36" t="str">
        <f>IFERROR(VLOOKUP('A2 (Öhdəliklər)'!K28,List!E:F,2,0),"")</f>
      </c>
      <c r="M28" s="1" t="s">
        <v>122</v>
      </c>
      <c r="N28" s="36" t="str">
        <f>IFERROR(VLOOKUP('A2 (Öhdəliklər)'!M28,List!M:N,2,0),"")</f>
      </c>
      <c r="O28" s="1"/>
      <c r="P28" s="36" t="str">
        <f>IFERROR(VLOOKUP('A2 (Öhdəliklər)'!O28,List!S:T,2,0),"")</f>
      </c>
      <c r="Q28" s="1"/>
      <c r="R28" s="36" t="str">
        <f>IFERROR(VLOOKUP('A2 (Öhdəliklər)'!Q28,List!K:L,2,0),"")</f>
      </c>
      <c r="S28" s="16" t="s">
        <v>123</v>
      </c>
      <c r="T28" s="16" t="s">
        <v>123</v>
      </c>
      <c r="U28" s="17" t="s">
        <v>172</v>
      </c>
      <c r="V28" s="17"/>
      <c r="W28" s="20"/>
      <c r="X28" s="18" t="s">
        <v>125</v>
      </c>
      <c r="Y28" s="1" t="s">
        <v>126</v>
      </c>
      <c r="Z28" s="36" t="str">
        <f>IFERROR(VLOOKUP('A2 (Öhdəliklər)'!Y28,List!O:P,2,0),"")</f>
      </c>
      <c r="AA28" s="19">
        <v>0</v>
      </c>
      <c r="AB28" s="19">
        <v>0</v>
      </c>
      <c r="AC28" s="37">
        <f t="shared" si="9"/>
        <v>0</v>
      </c>
      <c r="AD28" s="19" t="s">
        <v>173</v>
      </c>
      <c r="AE28" s="19">
        <v>0</v>
      </c>
      <c r="AF28" s="19">
        <v>0</v>
      </c>
      <c r="AG28" s="19">
        <v>0</v>
      </c>
      <c r="AH28" s="19">
        <v>0</v>
      </c>
      <c r="AI28" s="19" t="s">
        <v>128</v>
      </c>
      <c r="AJ28" s="19">
        <v>0</v>
      </c>
      <c r="AK28" s="19">
        <v>0</v>
      </c>
      <c r="AL28" s="19">
        <v>0</v>
      </c>
      <c r="AM28" s="19"/>
      <c r="AN28" s="19" t="s">
        <v>128</v>
      </c>
      <c r="AO28" s="19">
        <v>0</v>
      </c>
      <c r="AP28" s="19">
        <v>0</v>
      </c>
      <c r="AQ28" s="19">
        <v>0</v>
      </c>
      <c r="AR28" s="19">
        <v>0</v>
      </c>
      <c r="AS28" s="19">
        <v>0</v>
      </c>
      <c r="AT28" s="19">
        <v>0</v>
      </c>
      <c r="AU28" s="19">
        <v>0</v>
      </c>
      <c r="AV28" s="19">
        <v>0</v>
      </c>
      <c r="AW28" s="19">
        <v>0</v>
      </c>
      <c r="AX28" s="19">
        <v>0</v>
      </c>
      <c r="AY28" s="21" t="s">
        <v>129</v>
      </c>
      <c r="AZ28" s="36" t="str">
        <f>IFERROR(VLOOKUP('A2 (Öhdəliklər)'!AY28,List!Q:R,2,0),"")</f>
      </c>
      <c r="BA28" s="38">
        <f t="shared" si="10"/>
        <v>0</v>
      </c>
      <c r="BB28" s="38">
        <f t="shared" si="11"/>
        <v>0</v>
      </c>
      <c r="BC28" s="39">
        <f t="shared" si="12"/>
        <v>0.11681</v>
      </c>
      <c r="BD28" s="39">
        <f t="shared" si="13"/>
        <v>0</v>
      </c>
      <c r="BE28" s="39">
        <f t="shared" si="14"/>
        <v>0</v>
      </c>
      <c r="BF28" s="39">
        <f t="shared" si="15"/>
        <v>0</v>
      </c>
      <c r="BG28" s="19">
        <v>0</v>
      </c>
      <c r="BH28" s="19">
        <v>0</v>
      </c>
      <c r="BI28" s="19">
        <v>0</v>
      </c>
      <c r="BJ28" s="19">
        <v>0.11681</v>
      </c>
      <c r="BK28" s="19">
        <v>0</v>
      </c>
      <c r="BL28" s="19">
        <v>0</v>
      </c>
      <c r="BM28" s="19">
        <v>0</v>
      </c>
      <c r="BN28" s="19">
        <v>0</v>
      </c>
      <c r="BO28" s="19">
        <v>0</v>
      </c>
      <c r="BP28" s="19">
        <v>0</v>
      </c>
      <c r="BQ28" s="19">
        <v>0</v>
      </c>
      <c r="BR28" s="19">
        <v>0</v>
      </c>
      <c r="BS28" s="19">
        <v>0</v>
      </c>
      <c r="BT28" s="19">
        <v>0</v>
      </c>
      <c r="BU28" s="19">
        <v>0</v>
      </c>
      <c r="BV28" s="19">
        <v>0</v>
      </c>
      <c r="BW28" s="19">
        <v>0</v>
      </c>
      <c r="BX28" s="19">
        <v>0</v>
      </c>
      <c r="BY28" s="19">
        <v>0</v>
      </c>
      <c r="BZ28" s="34">
        <v>0</v>
      </c>
      <c r="CA28" s="18">
        <v>0</v>
      </c>
      <c r="CB28" s="20"/>
      <c r="CC28" s="36">
        <v>0</v>
      </c>
      <c r="CD28" s="34"/>
    </row>
    <row r="29" ht="19.5" customHeight="1" s="112" customFormat="1">
      <c r="A29" s="111">
        <v>15</v>
      </c>
      <c r="B29" s="35" t="str">
        <f t="shared" si="8"/>
      </c>
      <c r="C29" s="32">
        <v>968</v>
      </c>
      <c r="D29" s="15" t="s">
        <v>174</v>
      </c>
      <c r="E29" s="1" t="s">
        <v>118</v>
      </c>
      <c r="F29" s="36" t="str">
        <f>IFERROR(VLOOKUP('A2 (Öhdəliklər)'!E29,List!A:B,2,0),"")</f>
      </c>
      <c r="G29" s="1" t="s">
        <v>119</v>
      </c>
      <c r="H29" s="36" t="str">
        <f>IFERROR(VLOOKUP('A2 (Öhdəliklər)'!G29,List!G:H,2,0),"")</f>
      </c>
      <c r="I29" s="1" t="s">
        <v>120</v>
      </c>
      <c r="J29" s="36" t="str">
        <f>IFERROR(VLOOKUP('A2 (Öhdəliklər)'!I29,List!C:D,2,0),"")</f>
      </c>
      <c r="K29" s="1" t="s">
        <v>175</v>
      </c>
      <c r="L29" s="36" t="str">
        <f>IFERROR(VLOOKUP('A2 (Öhdəliklər)'!K29,List!E:F,2,0),"")</f>
      </c>
      <c r="M29" s="1" t="s">
        <v>122</v>
      </c>
      <c r="N29" s="36" t="str">
        <f>IFERROR(VLOOKUP('A2 (Öhdəliklər)'!M29,List!M:N,2,0),"")</f>
      </c>
      <c r="O29" s="1"/>
      <c r="P29" s="36" t="str">
        <f>IFERROR(VLOOKUP('A2 (Öhdəliklər)'!O29,List!S:T,2,0),"")</f>
      </c>
      <c r="Q29" s="1"/>
      <c r="R29" s="36" t="str">
        <f>IFERROR(VLOOKUP('A2 (Öhdəliklər)'!Q29,List!K:L,2,0),"")</f>
      </c>
      <c r="S29" s="16" t="s">
        <v>123</v>
      </c>
      <c r="T29" s="16" t="s">
        <v>123</v>
      </c>
      <c r="U29" s="17" t="s">
        <v>176</v>
      </c>
      <c r="V29" s="17"/>
      <c r="W29" s="20"/>
      <c r="X29" s="18" t="s">
        <v>125</v>
      </c>
      <c r="Y29" s="1" t="s">
        <v>126</v>
      </c>
      <c r="Z29" s="36" t="str">
        <f>IFERROR(VLOOKUP('A2 (Öhdəliklər)'!Y29,List!O:P,2,0),"")</f>
      </c>
      <c r="AA29" s="19">
        <v>0</v>
      </c>
      <c r="AB29" s="19">
        <v>0</v>
      </c>
      <c r="AC29" s="37">
        <f t="shared" si="9"/>
        <v>0</v>
      </c>
      <c r="AD29" s="19" t="s">
        <v>177</v>
      </c>
      <c r="AE29" s="19">
        <v>0</v>
      </c>
      <c r="AF29" s="19">
        <v>0</v>
      </c>
      <c r="AG29" s="19">
        <v>0</v>
      </c>
      <c r="AH29" s="19">
        <v>0</v>
      </c>
      <c r="AI29" s="19" t="s">
        <v>128</v>
      </c>
      <c r="AJ29" s="19">
        <v>0</v>
      </c>
      <c r="AK29" s="19">
        <v>0</v>
      </c>
      <c r="AL29" s="19">
        <v>0</v>
      </c>
      <c r="AM29" s="19"/>
      <c r="AN29" s="19" t="s">
        <v>128</v>
      </c>
      <c r="AO29" s="19">
        <v>0</v>
      </c>
      <c r="AP29" s="19">
        <v>0</v>
      </c>
      <c r="AQ29" s="19">
        <v>0</v>
      </c>
      <c r="AR29" s="19">
        <v>0</v>
      </c>
      <c r="AS29" s="19">
        <v>0</v>
      </c>
      <c r="AT29" s="19">
        <v>0</v>
      </c>
      <c r="AU29" s="19">
        <v>0</v>
      </c>
      <c r="AV29" s="19">
        <v>0</v>
      </c>
      <c r="AW29" s="19">
        <v>0</v>
      </c>
      <c r="AX29" s="19">
        <v>0</v>
      </c>
      <c r="AY29" s="21" t="s">
        <v>129</v>
      </c>
      <c r="AZ29" s="36" t="str">
        <f>IFERROR(VLOOKUP('A2 (Öhdəliklər)'!AY29,List!Q:R,2,0),"")</f>
      </c>
      <c r="BA29" s="38">
        <f t="shared" si="10"/>
        <v>0</v>
      </c>
      <c r="BB29" s="38">
        <f t="shared" si="11"/>
        <v>0</v>
      </c>
      <c r="BC29" s="39">
        <f t="shared" si="12"/>
        <v>0.01772</v>
      </c>
      <c r="BD29" s="39">
        <f t="shared" si="13"/>
        <v>0</v>
      </c>
      <c r="BE29" s="39">
        <f t="shared" si="14"/>
        <v>0</v>
      </c>
      <c r="BF29" s="39">
        <f t="shared" si="15"/>
        <v>0</v>
      </c>
      <c r="BG29" s="19">
        <v>0</v>
      </c>
      <c r="BH29" s="19">
        <v>0</v>
      </c>
      <c r="BI29" s="19">
        <v>0</v>
      </c>
      <c r="BJ29" s="19">
        <v>0.01772</v>
      </c>
      <c r="BK29" s="19">
        <v>0</v>
      </c>
      <c r="BL29" s="19">
        <v>0</v>
      </c>
      <c r="BM29" s="19">
        <v>0</v>
      </c>
      <c r="BN29" s="19">
        <v>0</v>
      </c>
      <c r="BO29" s="19">
        <v>0</v>
      </c>
      <c r="BP29" s="19">
        <v>0</v>
      </c>
      <c r="BQ29" s="19">
        <v>0</v>
      </c>
      <c r="BR29" s="19">
        <v>0</v>
      </c>
      <c r="BS29" s="19">
        <v>0</v>
      </c>
      <c r="BT29" s="19">
        <v>0</v>
      </c>
      <c r="BU29" s="19">
        <v>0</v>
      </c>
      <c r="BV29" s="19">
        <v>0</v>
      </c>
      <c r="BW29" s="19">
        <v>0</v>
      </c>
      <c r="BX29" s="19">
        <v>0</v>
      </c>
      <c r="BY29" s="19">
        <v>0</v>
      </c>
      <c r="BZ29" s="34">
        <v>0</v>
      </c>
      <c r="CA29" s="18">
        <v>0</v>
      </c>
      <c r="CB29" s="20"/>
      <c r="CC29" s="36">
        <v>0</v>
      </c>
      <c r="CD29" s="34"/>
    </row>
    <row r="30" ht="19.5" customHeight="1" s="112" customFormat="1">
      <c r="A30" s="111">
        <v>16</v>
      </c>
      <c r="B30" s="35" t="str">
        <f t="shared" si="8"/>
      </c>
      <c r="C30" s="32">
        <v>19479</v>
      </c>
      <c r="D30" s="15" t="s">
        <v>174</v>
      </c>
      <c r="E30" s="1" t="s">
        <v>118</v>
      </c>
      <c r="F30" s="36" t="str">
        <f>IFERROR(VLOOKUP('A2 (Öhdəliklər)'!E30,List!A:B,2,0),"")</f>
      </c>
      <c r="G30" s="1" t="s">
        <v>119</v>
      </c>
      <c r="H30" s="36" t="str">
        <f>IFERROR(VLOOKUP('A2 (Öhdəliklər)'!G30,List!G:H,2,0),"")</f>
      </c>
      <c r="I30" s="1" t="s">
        <v>120</v>
      </c>
      <c r="J30" s="36" t="str">
        <f>IFERROR(VLOOKUP('A2 (Öhdəliklər)'!I30,List!C:D,2,0),"")</f>
      </c>
      <c r="K30" s="1" t="s">
        <v>175</v>
      </c>
      <c r="L30" s="36" t="str">
        <f>IFERROR(VLOOKUP('A2 (Öhdəliklər)'!K30,List!E:F,2,0),"")</f>
      </c>
      <c r="M30" s="1" t="s">
        <v>122</v>
      </c>
      <c r="N30" s="36" t="str">
        <f>IFERROR(VLOOKUP('A2 (Öhdəliklər)'!M30,List!M:N,2,0),"")</f>
      </c>
      <c r="O30" s="1"/>
      <c r="P30" s="36" t="str">
        <f>IFERROR(VLOOKUP('A2 (Öhdəliklər)'!O30,List!S:T,2,0),"")</f>
      </c>
      <c r="Q30" s="1"/>
      <c r="R30" s="36" t="str">
        <f>IFERROR(VLOOKUP('A2 (Öhdəliklər)'!Q30,List!K:L,2,0),"")</f>
      </c>
      <c r="S30" s="16" t="s">
        <v>123</v>
      </c>
      <c r="T30" s="16" t="s">
        <v>123</v>
      </c>
      <c r="U30" s="17" t="s">
        <v>178</v>
      </c>
      <c r="V30" s="17"/>
      <c r="W30" s="20"/>
      <c r="X30" s="18" t="s">
        <v>125</v>
      </c>
      <c r="Y30" s="1" t="s">
        <v>126</v>
      </c>
      <c r="Z30" s="36" t="str">
        <f>IFERROR(VLOOKUP('A2 (Öhdəliklər)'!Y30,List!O:P,2,0),"")</f>
      </c>
      <c r="AA30" s="19">
        <v>0</v>
      </c>
      <c r="AB30" s="19">
        <v>0</v>
      </c>
      <c r="AC30" s="37">
        <f t="shared" si="9"/>
        <v>0</v>
      </c>
      <c r="AD30" s="19" t="s">
        <v>179</v>
      </c>
      <c r="AE30" s="19">
        <v>0</v>
      </c>
      <c r="AF30" s="19">
        <v>0</v>
      </c>
      <c r="AG30" s="19">
        <v>0</v>
      </c>
      <c r="AH30" s="19">
        <v>0</v>
      </c>
      <c r="AI30" s="19" t="s">
        <v>128</v>
      </c>
      <c r="AJ30" s="19">
        <v>0</v>
      </c>
      <c r="AK30" s="19">
        <v>0</v>
      </c>
      <c r="AL30" s="19">
        <v>0</v>
      </c>
      <c r="AM30" s="19"/>
      <c r="AN30" s="19" t="s">
        <v>128</v>
      </c>
      <c r="AO30" s="19">
        <v>0</v>
      </c>
      <c r="AP30" s="19">
        <v>0</v>
      </c>
      <c r="AQ30" s="19">
        <v>0</v>
      </c>
      <c r="AR30" s="19">
        <v>0</v>
      </c>
      <c r="AS30" s="19">
        <v>0</v>
      </c>
      <c r="AT30" s="19">
        <v>0</v>
      </c>
      <c r="AU30" s="19">
        <v>0</v>
      </c>
      <c r="AV30" s="19">
        <v>0</v>
      </c>
      <c r="AW30" s="19">
        <v>0</v>
      </c>
      <c r="AX30" s="19">
        <v>0</v>
      </c>
      <c r="AY30" s="21" t="s">
        <v>129</v>
      </c>
      <c r="AZ30" s="36" t="str">
        <f>IFERROR(VLOOKUP('A2 (Öhdəliklər)'!AY30,List!Q:R,2,0),"")</f>
      </c>
      <c r="BA30" s="38">
        <f t="shared" si="10"/>
        <v>0</v>
      </c>
      <c r="BB30" s="38">
        <f t="shared" si="11"/>
        <v>0</v>
      </c>
      <c r="BC30" s="39">
        <f t="shared" si="12"/>
        <v>0.0025</v>
      </c>
      <c r="BD30" s="39">
        <f t="shared" si="13"/>
        <v>0</v>
      </c>
      <c r="BE30" s="39">
        <f t="shared" si="14"/>
        <v>0</v>
      </c>
      <c r="BF30" s="39">
        <f t="shared" si="15"/>
        <v>0</v>
      </c>
      <c r="BG30" s="19">
        <v>0</v>
      </c>
      <c r="BH30" s="19">
        <v>0</v>
      </c>
      <c r="BI30" s="19">
        <v>0</v>
      </c>
      <c r="BJ30" s="19">
        <v>0.0025</v>
      </c>
      <c r="BK30" s="19">
        <v>0</v>
      </c>
      <c r="BL30" s="19">
        <v>0</v>
      </c>
      <c r="BM30" s="19">
        <v>0</v>
      </c>
      <c r="BN30" s="19">
        <v>0</v>
      </c>
      <c r="BO30" s="19">
        <v>0</v>
      </c>
      <c r="BP30" s="19">
        <v>0</v>
      </c>
      <c r="BQ30" s="19">
        <v>0</v>
      </c>
      <c r="BR30" s="19">
        <v>0</v>
      </c>
      <c r="BS30" s="19">
        <v>0</v>
      </c>
      <c r="BT30" s="19">
        <v>0</v>
      </c>
      <c r="BU30" s="19">
        <v>0</v>
      </c>
      <c r="BV30" s="19">
        <v>0</v>
      </c>
      <c r="BW30" s="19">
        <v>0</v>
      </c>
      <c r="BX30" s="19">
        <v>0</v>
      </c>
      <c r="BY30" s="19">
        <v>0</v>
      </c>
      <c r="BZ30" s="34">
        <v>0</v>
      </c>
      <c r="CA30" s="18">
        <v>0</v>
      </c>
      <c r="CB30" s="20"/>
      <c r="CC30" s="36">
        <v>0</v>
      </c>
      <c r="CD30" s="34"/>
    </row>
    <row r="31" ht="19.5" customHeight="1" s="112" customFormat="1">
      <c r="A31" s="111">
        <v>17</v>
      </c>
      <c r="B31" s="35" t="str">
        <f t="shared" si="8"/>
      </c>
      <c r="C31" s="32">
        <v>3016</v>
      </c>
      <c r="D31" s="15" t="s">
        <v>174</v>
      </c>
      <c r="E31" s="1" t="s">
        <v>118</v>
      </c>
      <c r="F31" s="36" t="str">
        <f>IFERROR(VLOOKUP('A2 (Öhdəliklər)'!E31,List!A:B,2,0),"")</f>
      </c>
      <c r="G31" s="1" t="s">
        <v>119</v>
      </c>
      <c r="H31" s="36" t="str">
        <f>IFERROR(VLOOKUP('A2 (Öhdəliklər)'!G31,List!G:H,2,0),"")</f>
      </c>
      <c r="I31" s="1" t="s">
        <v>120</v>
      </c>
      <c r="J31" s="36" t="str">
        <f>IFERROR(VLOOKUP('A2 (Öhdəliklər)'!I31,List!C:D,2,0),"")</f>
      </c>
      <c r="K31" s="1" t="s">
        <v>175</v>
      </c>
      <c r="L31" s="36" t="str">
        <f>IFERROR(VLOOKUP('A2 (Öhdəliklər)'!K31,List!E:F,2,0),"")</f>
      </c>
      <c r="M31" s="1" t="s">
        <v>122</v>
      </c>
      <c r="N31" s="36" t="str">
        <f>IFERROR(VLOOKUP('A2 (Öhdəliklər)'!M31,List!M:N,2,0),"")</f>
      </c>
      <c r="O31" s="1"/>
      <c r="P31" s="36" t="str">
        <f>IFERROR(VLOOKUP('A2 (Öhdəliklər)'!O31,List!S:T,2,0),"")</f>
      </c>
      <c r="Q31" s="1"/>
      <c r="R31" s="36" t="str">
        <f>IFERROR(VLOOKUP('A2 (Öhdəliklər)'!Q31,List!K:L,2,0),"")</f>
      </c>
      <c r="S31" s="16" t="s">
        <v>123</v>
      </c>
      <c r="T31" s="16" t="s">
        <v>123</v>
      </c>
      <c r="U31" s="17" t="s">
        <v>180</v>
      </c>
      <c r="V31" s="17"/>
      <c r="W31" s="20"/>
      <c r="X31" s="18" t="s">
        <v>125</v>
      </c>
      <c r="Y31" s="1" t="s">
        <v>126</v>
      </c>
      <c r="Z31" s="36" t="str">
        <f>IFERROR(VLOOKUP('A2 (Öhdəliklər)'!Y31,List!O:P,2,0),"")</f>
      </c>
      <c r="AA31" s="19">
        <v>0</v>
      </c>
      <c r="AB31" s="19">
        <v>0</v>
      </c>
      <c r="AC31" s="37">
        <f t="shared" si="9"/>
        <v>0</v>
      </c>
      <c r="AD31" s="19" t="s">
        <v>181</v>
      </c>
      <c r="AE31" s="19">
        <v>0</v>
      </c>
      <c r="AF31" s="19">
        <v>0</v>
      </c>
      <c r="AG31" s="19">
        <v>0</v>
      </c>
      <c r="AH31" s="19">
        <v>0</v>
      </c>
      <c r="AI31" s="19" t="s">
        <v>128</v>
      </c>
      <c r="AJ31" s="19">
        <v>0</v>
      </c>
      <c r="AK31" s="19">
        <v>0</v>
      </c>
      <c r="AL31" s="19">
        <v>0</v>
      </c>
      <c r="AM31" s="19"/>
      <c r="AN31" s="19" t="s">
        <v>128</v>
      </c>
      <c r="AO31" s="19">
        <v>0</v>
      </c>
      <c r="AP31" s="19">
        <v>0</v>
      </c>
      <c r="AQ31" s="19">
        <v>0</v>
      </c>
      <c r="AR31" s="19">
        <v>0</v>
      </c>
      <c r="AS31" s="19">
        <v>0</v>
      </c>
      <c r="AT31" s="19">
        <v>0</v>
      </c>
      <c r="AU31" s="19">
        <v>0</v>
      </c>
      <c r="AV31" s="19">
        <v>0</v>
      </c>
      <c r="AW31" s="19">
        <v>0</v>
      </c>
      <c r="AX31" s="19">
        <v>0</v>
      </c>
      <c r="AY31" s="21" t="s">
        <v>129</v>
      </c>
      <c r="AZ31" s="36" t="str">
        <f>IFERROR(VLOOKUP('A2 (Öhdəliklər)'!AY31,List!Q:R,2,0),"")</f>
      </c>
      <c r="BA31" s="38">
        <f t="shared" si="10"/>
        <v>0</v>
      </c>
      <c r="BB31" s="38">
        <f t="shared" si="11"/>
        <v>0</v>
      </c>
      <c r="BC31" s="39">
        <f t="shared" si="12"/>
        <v>0.336</v>
      </c>
      <c r="BD31" s="39">
        <f t="shared" si="13"/>
        <v>0</v>
      </c>
      <c r="BE31" s="39">
        <f t="shared" si="14"/>
        <v>0</v>
      </c>
      <c r="BF31" s="39">
        <f t="shared" si="15"/>
        <v>0</v>
      </c>
      <c r="BG31" s="19">
        <v>0</v>
      </c>
      <c r="BH31" s="19">
        <v>0</v>
      </c>
      <c r="BI31" s="19">
        <v>0</v>
      </c>
      <c r="BJ31" s="19">
        <v>0.336</v>
      </c>
      <c r="BK31" s="19">
        <v>0</v>
      </c>
      <c r="BL31" s="19">
        <v>0</v>
      </c>
      <c r="BM31" s="19">
        <v>0</v>
      </c>
      <c r="BN31" s="19">
        <v>0</v>
      </c>
      <c r="BO31" s="19">
        <v>0</v>
      </c>
      <c r="BP31" s="19">
        <v>0</v>
      </c>
      <c r="BQ31" s="19">
        <v>0</v>
      </c>
      <c r="BR31" s="19">
        <v>0</v>
      </c>
      <c r="BS31" s="19">
        <v>0</v>
      </c>
      <c r="BT31" s="19">
        <v>0</v>
      </c>
      <c r="BU31" s="19">
        <v>0</v>
      </c>
      <c r="BV31" s="19">
        <v>0</v>
      </c>
      <c r="BW31" s="19">
        <v>0</v>
      </c>
      <c r="BX31" s="19">
        <v>0</v>
      </c>
      <c r="BY31" s="19">
        <v>0</v>
      </c>
      <c r="BZ31" s="34">
        <v>0</v>
      </c>
      <c r="CA31" s="18">
        <v>0</v>
      </c>
      <c r="CB31" s="20"/>
      <c r="CC31" s="36">
        <v>0</v>
      </c>
      <c r="CD31" s="34"/>
    </row>
    <row r="32" ht="19.5" customHeight="1" s="112" customFormat="1">
      <c r="A32" s="111">
        <v>18</v>
      </c>
      <c r="B32" s="35" t="str">
        <f t="shared" si="8"/>
      </c>
      <c r="C32" s="32">
        <v>3508</v>
      </c>
      <c r="D32" s="15" t="s">
        <v>182</v>
      </c>
      <c r="E32" s="1" t="s">
        <v>118</v>
      </c>
      <c r="F32" s="36" t="str">
        <f>IFERROR(VLOOKUP('A2 (Öhdəliklər)'!E32,List!A:B,2,0),"")</f>
      </c>
      <c r="G32" s="1" t="s">
        <v>119</v>
      </c>
      <c r="H32" s="36" t="str">
        <f>IFERROR(VLOOKUP('A2 (Öhdəliklər)'!G32,List!G:H,2,0),"")</f>
      </c>
      <c r="I32" s="1" t="s">
        <v>120</v>
      </c>
      <c r="J32" s="36" t="str">
        <f>IFERROR(VLOOKUP('A2 (Öhdəliklər)'!I32,List!C:D,2,0),"")</f>
      </c>
      <c r="K32" s="1" t="s">
        <v>175</v>
      </c>
      <c r="L32" s="36" t="str">
        <f>IFERROR(VLOOKUP('A2 (Öhdəliklər)'!K32,List!E:F,2,0),"")</f>
      </c>
      <c r="M32" s="1" t="s">
        <v>122</v>
      </c>
      <c r="N32" s="36" t="str">
        <f>IFERROR(VLOOKUP('A2 (Öhdəliklər)'!M32,List!M:N,2,0),"")</f>
      </c>
      <c r="O32" s="1"/>
      <c r="P32" s="36" t="str">
        <f>IFERROR(VLOOKUP('A2 (Öhdəliklər)'!O32,List!S:T,2,0),"")</f>
      </c>
      <c r="Q32" s="1"/>
      <c r="R32" s="36" t="str">
        <f>IFERROR(VLOOKUP('A2 (Öhdəliklər)'!Q32,List!K:L,2,0),"")</f>
      </c>
      <c r="S32" s="16" t="s">
        <v>123</v>
      </c>
      <c r="T32" s="16" t="s">
        <v>123</v>
      </c>
      <c r="U32" s="17" t="s">
        <v>124</v>
      </c>
      <c r="V32" s="17"/>
      <c r="W32" s="20"/>
      <c r="X32" s="18" t="s">
        <v>125</v>
      </c>
      <c r="Y32" s="1" t="s">
        <v>126</v>
      </c>
      <c r="Z32" s="36" t="str">
        <f>IFERROR(VLOOKUP('A2 (Öhdəliklər)'!Y32,List!O:P,2,0),"")</f>
      </c>
      <c r="AA32" s="19">
        <v>0</v>
      </c>
      <c r="AB32" s="19">
        <v>0</v>
      </c>
      <c r="AC32" s="37">
        <f t="shared" si="9"/>
        <v>0</v>
      </c>
      <c r="AD32" s="19" t="s">
        <v>128</v>
      </c>
      <c r="AE32" s="19">
        <v>0</v>
      </c>
      <c r="AF32" s="19">
        <v>0</v>
      </c>
      <c r="AG32" s="19">
        <v>0</v>
      </c>
      <c r="AH32" s="19">
        <v>0</v>
      </c>
      <c r="AI32" s="19" t="s">
        <v>183</v>
      </c>
      <c r="AJ32" s="19">
        <v>0</v>
      </c>
      <c r="AK32" s="19">
        <v>0</v>
      </c>
      <c r="AL32" s="19">
        <v>0</v>
      </c>
      <c r="AM32" s="19"/>
      <c r="AN32" s="19" t="s">
        <v>183</v>
      </c>
      <c r="AO32" s="19">
        <v>0</v>
      </c>
      <c r="AP32" s="19">
        <v>0</v>
      </c>
      <c r="AQ32" s="19">
        <v>0</v>
      </c>
      <c r="AR32" s="19">
        <v>0</v>
      </c>
      <c r="AS32" s="19">
        <v>0</v>
      </c>
      <c r="AT32" s="19">
        <v>0</v>
      </c>
      <c r="AU32" s="19">
        <v>0</v>
      </c>
      <c r="AV32" s="19">
        <v>0</v>
      </c>
      <c r="AW32" s="19">
        <v>0</v>
      </c>
      <c r="AX32" s="19">
        <v>0</v>
      </c>
      <c r="AY32" s="21" t="s">
        <v>129</v>
      </c>
      <c r="AZ32" s="36" t="str">
        <f>IFERROR(VLOOKUP('A2 (Öhdəliklər)'!AY32,List!Q:R,2,0),"")</f>
      </c>
      <c r="BA32" s="38">
        <f t="shared" si="10"/>
        <v>0</v>
      </c>
      <c r="BB32" s="38">
        <f t="shared" si="11"/>
        <v>0</v>
      </c>
      <c r="BC32" s="39">
        <f t="shared" si="12"/>
        <v>0</v>
      </c>
      <c r="BD32" s="39">
        <f t="shared" si="13"/>
        <v>0</v>
      </c>
      <c r="BE32" s="39">
        <f t="shared" si="14"/>
        <v>0</v>
      </c>
      <c r="BF32" s="39">
        <f t="shared" si="15"/>
        <v>0</v>
      </c>
      <c r="BG32" s="19">
        <v>0</v>
      </c>
      <c r="BH32" s="19">
        <v>0</v>
      </c>
      <c r="BI32" s="19">
        <v>0</v>
      </c>
      <c r="BJ32" s="19">
        <v>0</v>
      </c>
      <c r="BK32" s="19">
        <v>0</v>
      </c>
      <c r="BL32" s="19">
        <v>0</v>
      </c>
      <c r="BM32" s="19">
        <v>0</v>
      </c>
      <c r="BN32" s="19">
        <v>0</v>
      </c>
      <c r="BO32" s="19">
        <v>0</v>
      </c>
      <c r="BP32" s="19">
        <v>0</v>
      </c>
      <c r="BQ32" s="19">
        <v>0</v>
      </c>
      <c r="BR32" s="19">
        <v>0</v>
      </c>
      <c r="BS32" s="19">
        <v>0</v>
      </c>
      <c r="BT32" s="19">
        <v>0</v>
      </c>
      <c r="BU32" s="19">
        <v>0</v>
      </c>
      <c r="BV32" s="19">
        <v>0</v>
      </c>
      <c r="BW32" s="19">
        <v>0</v>
      </c>
      <c r="BX32" s="19">
        <v>0</v>
      </c>
      <c r="BY32" s="19">
        <v>0</v>
      </c>
      <c r="BZ32" s="34">
        <v>0</v>
      </c>
      <c r="CA32" s="18">
        <v>0</v>
      </c>
      <c r="CB32" s="20"/>
      <c r="CC32" s="36">
        <v>0</v>
      </c>
      <c r="CD32" s="34"/>
    </row>
    <row r="33" ht="19.5" customHeight="1" s="112" customFormat="1">
      <c r="A33" s="111">
        <v>19</v>
      </c>
      <c r="B33" s="35" t="str">
        <f t="shared" si="8"/>
      </c>
      <c r="C33" s="32">
        <v>3596</v>
      </c>
      <c r="D33" s="15" t="s">
        <v>182</v>
      </c>
      <c r="E33" s="1" t="s">
        <v>118</v>
      </c>
      <c r="F33" s="36" t="str">
        <f>IFERROR(VLOOKUP('A2 (Öhdəliklər)'!E33,List!A:B,2,0),"")</f>
      </c>
      <c r="G33" s="1" t="s">
        <v>119</v>
      </c>
      <c r="H33" s="36" t="str">
        <f>IFERROR(VLOOKUP('A2 (Öhdəliklər)'!G33,List!G:H,2,0),"")</f>
      </c>
      <c r="I33" s="1" t="s">
        <v>120</v>
      </c>
      <c r="J33" s="36" t="str">
        <f>IFERROR(VLOOKUP('A2 (Öhdəliklər)'!I33,List!C:D,2,0),"")</f>
      </c>
      <c r="K33" s="1" t="s">
        <v>175</v>
      </c>
      <c r="L33" s="36" t="str">
        <f>IFERROR(VLOOKUP('A2 (Öhdəliklər)'!K33,List!E:F,2,0),"")</f>
      </c>
      <c r="M33" s="1" t="s">
        <v>122</v>
      </c>
      <c r="N33" s="36" t="str">
        <f>IFERROR(VLOOKUP('A2 (Öhdəliklər)'!M33,List!M:N,2,0),"")</f>
      </c>
      <c r="O33" s="1"/>
      <c r="P33" s="36" t="str">
        <f>IFERROR(VLOOKUP('A2 (Öhdəliklər)'!O33,List!S:T,2,0),"")</f>
      </c>
      <c r="Q33" s="1"/>
      <c r="R33" s="36" t="str">
        <f>IFERROR(VLOOKUP('A2 (Öhdəliklər)'!Q33,List!K:L,2,0),"")</f>
      </c>
      <c r="S33" s="16" t="s">
        <v>123</v>
      </c>
      <c r="T33" s="16" t="s">
        <v>123</v>
      </c>
      <c r="U33" s="17" t="s">
        <v>184</v>
      </c>
      <c r="V33" s="17"/>
      <c r="W33" s="20"/>
      <c r="X33" s="18" t="s">
        <v>125</v>
      </c>
      <c r="Y33" s="1" t="s">
        <v>126</v>
      </c>
      <c r="Z33" s="36" t="str">
        <f>IFERROR(VLOOKUP('A2 (Öhdəliklər)'!Y33,List!O:P,2,0),"")</f>
      </c>
      <c r="AA33" s="19">
        <v>0</v>
      </c>
      <c r="AB33" s="19">
        <v>0</v>
      </c>
      <c r="AC33" s="37">
        <f t="shared" si="9"/>
        <v>0</v>
      </c>
      <c r="AD33" s="19" t="s">
        <v>128</v>
      </c>
      <c r="AE33" s="19">
        <v>0</v>
      </c>
      <c r="AF33" s="19">
        <v>0</v>
      </c>
      <c r="AG33" s="19">
        <v>0</v>
      </c>
      <c r="AH33" s="19">
        <v>0</v>
      </c>
      <c r="AI33" s="19" t="s">
        <v>185</v>
      </c>
      <c r="AJ33" s="19">
        <v>0</v>
      </c>
      <c r="AK33" s="19">
        <v>0</v>
      </c>
      <c r="AL33" s="19">
        <v>0</v>
      </c>
      <c r="AM33" s="19"/>
      <c r="AN33" s="19" t="s">
        <v>185</v>
      </c>
      <c r="AO33" s="19">
        <v>0</v>
      </c>
      <c r="AP33" s="19">
        <v>0</v>
      </c>
      <c r="AQ33" s="19">
        <v>0</v>
      </c>
      <c r="AR33" s="19">
        <v>0</v>
      </c>
      <c r="AS33" s="19">
        <v>0</v>
      </c>
      <c r="AT33" s="19">
        <v>0</v>
      </c>
      <c r="AU33" s="19">
        <v>0</v>
      </c>
      <c r="AV33" s="19">
        <v>0</v>
      </c>
      <c r="AW33" s="19">
        <v>0</v>
      </c>
      <c r="AX33" s="19">
        <v>0</v>
      </c>
      <c r="AY33" s="21" t="s">
        <v>129</v>
      </c>
      <c r="AZ33" s="36" t="str">
        <f>IFERROR(VLOOKUP('A2 (Öhdəliklər)'!AY33,List!Q:R,2,0),"")</f>
      </c>
      <c r="BA33" s="38">
        <f t="shared" si="10"/>
        <v>0</v>
      </c>
      <c r="BB33" s="38">
        <f t="shared" si="11"/>
        <v>0</v>
      </c>
      <c r="BC33" s="39">
        <f t="shared" si="12"/>
        <v>0</v>
      </c>
      <c r="BD33" s="39">
        <f t="shared" si="13"/>
        <v>0</v>
      </c>
      <c r="BE33" s="39">
        <f t="shared" si="14"/>
        <v>0</v>
      </c>
      <c r="BF33" s="39">
        <f t="shared" si="15"/>
        <v>0</v>
      </c>
      <c r="BG33" s="19">
        <v>0</v>
      </c>
      <c r="BH33" s="19">
        <v>0</v>
      </c>
      <c r="BI33" s="19">
        <v>0</v>
      </c>
      <c r="BJ33" s="19">
        <v>0</v>
      </c>
      <c r="BK33" s="19">
        <v>0</v>
      </c>
      <c r="BL33" s="19">
        <v>0</v>
      </c>
      <c r="BM33" s="19">
        <v>0</v>
      </c>
      <c r="BN33" s="19">
        <v>0</v>
      </c>
      <c r="BO33" s="19">
        <v>0</v>
      </c>
      <c r="BP33" s="19">
        <v>0</v>
      </c>
      <c r="BQ33" s="19">
        <v>0</v>
      </c>
      <c r="BR33" s="19">
        <v>0</v>
      </c>
      <c r="BS33" s="19">
        <v>0</v>
      </c>
      <c r="BT33" s="19">
        <v>0</v>
      </c>
      <c r="BU33" s="19">
        <v>0</v>
      </c>
      <c r="BV33" s="19">
        <v>0</v>
      </c>
      <c r="BW33" s="19">
        <v>0</v>
      </c>
      <c r="BX33" s="19">
        <v>0</v>
      </c>
      <c r="BY33" s="19">
        <v>0</v>
      </c>
      <c r="BZ33" s="34">
        <v>0</v>
      </c>
      <c r="CA33" s="18">
        <v>0</v>
      </c>
      <c r="CB33" s="20"/>
      <c r="CC33" s="36">
        <v>0</v>
      </c>
      <c r="CD33" s="34"/>
    </row>
    <row r="34" ht="19.5" customHeight="1" s="112" customFormat="1">
      <c r="A34" s="111">
        <v>20</v>
      </c>
      <c r="B34" s="35" t="str">
        <f t="shared" si="8"/>
      </c>
      <c r="C34" s="32">
        <v>18602</v>
      </c>
      <c r="D34" s="15" t="s">
        <v>174</v>
      </c>
      <c r="E34" s="1" t="s">
        <v>118</v>
      </c>
      <c r="F34" s="36" t="str">
        <f>IFERROR(VLOOKUP('A2 (Öhdəliklər)'!E34,List!A:B,2,0),"")</f>
      </c>
      <c r="G34" s="1" t="s">
        <v>119</v>
      </c>
      <c r="H34" s="36" t="str">
        <f>IFERROR(VLOOKUP('A2 (Öhdəliklər)'!G34,List!G:H,2,0),"")</f>
      </c>
      <c r="I34" s="1" t="s">
        <v>120</v>
      </c>
      <c r="J34" s="36" t="str">
        <f>IFERROR(VLOOKUP('A2 (Öhdəliklər)'!I34,List!C:D,2,0),"")</f>
      </c>
      <c r="K34" s="1" t="s">
        <v>175</v>
      </c>
      <c r="L34" s="36" t="str">
        <f>IFERROR(VLOOKUP('A2 (Öhdəliklər)'!K34,List!E:F,2,0),"")</f>
      </c>
      <c r="M34" s="1" t="s">
        <v>122</v>
      </c>
      <c r="N34" s="36" t="str">
        <f>IFERROR(VLOOKUP('A2 (Öhdəliklər)'!M34,List!M:N,2,0),"")</f>
      </c>
      <c r="O34" s="1"/>
      <c r="P34" s="36" t="str">
        <f>IFERROR(VLOOKUP('A2 (Öhdəliklər)'!O34,List!S:T,2,0),"")</f>
      </c>
      <c r="Q34" s="1"/>
      <c r="R34" s="36" t="str">
        <f>IFERROR(VLOOKUP('A2 (Öhdəliklər)'!Q34,List!K:L,2,0),"")</f>
      </c>
      <c r="S34" s="16" t="s">
        <v>123</v>
      </c>
      <c r="T34" s="16" t="s">
        <v>123</v>
      </c>
      <c r="U34" s="17" t="s">
        <v>186</v>
      </c>
      <c r="V34" s="17"/>
      <c r="W34" s="20"/>
      <c r="X34" s="18" t="s">
        <v>125</v>
      </c>
      <c r="Y34" s="1" t="s">
        <v>126</v>
      </c>
      <c r="Z34" s="36" t="str">
        <f>IFERROR(VLOOKUP('A2 (Öhdəliklər)'!Y34,List!O:P,2,0),"")</f>
      </c>
      <c r="AA34" s="19">
        <v>0</v>
      </c>
      <c r="AB34" s="19">
        <v>0</v>
      </c>
      <c r="AC34" s="37">
        <f t="shared" si="9"/>
        <v>0</v>
      </c>
      <c r="AD34" s="19" t="s">
        <v>187</v>
      </c>
      <c r="AE34" s="19">
        <v>0</v>
      </c>
      <c r="AF34" s="19">
        <v>0</v>
      </c>
      <c r="AG34" s="19">
        <v>0</v>
      </c>
      <c r="AH34" s="19">
        <v>0</v>
      </c>
      <c r="AI34" s="19" t="s">
        <v>128</v>
      </c>
      <c r="AJ34" s="19">
        <v>0</v>
      </c>
      <c r="AK34" s="19">
        <v>0</v>
      </c>
      <c r="AL34" s="19">
        <v>0</v>
      </c>
      <c r="AM34" s="19"/>
      <c r="AN34" s="19" t="s">
        <v>128</v>
      </c>
      <c r="AO34" s="19">
        <v>0</v>
      </c>
      <c r="AP34" s="19">
        <v>0</v>
      </c>
      <c r="AQ34" s="19">
        <v>0</v>
      </c>
      <c r="AR34" s="19">
        <v>0</v>
      </c>
      <c r="AS34" s="19">
        <v>0</v>
      </c>
      <c r="AT34" s="19">
        <v>0</v>
      </c>
      <c r="AU34" s="19">
        <v>0</v>
      </c>
      <c r="AV34" s="19">
        <v>0</v>
      </c>
      <c r="AW34" s="19">
        <v>0</v>
      </c>
      <c r="AX34" s="19">
        <v>0</v>
      </c>
      <c r="AY34" s="21" t="s">
        <v>129</v>
      </c>
      <c r="AZ34" s="36" t="str">
        <f>IFERROR(VLOOKUP('A2 (Öhdəliklər)'!AY34,List!Q:R,2,0),"")</f>
      </c>
      <c r="BA34" s="38">
        <f t="shared" si="10"/>
        <v>0</v>
      </c>
      <c r="BB34" s="38">
        <f t="shared" si="11"/>
        <v>0</v>
      </c>
      <c r="BC34" s="39">
        <f t="shared" si="12"/>
        <v>0.05108</v>
      </c>
      <c r="BD34" s="39">
        <f t="shared" si="13"/>
        <v>0</v>
      </c>
      <c r="BE34" s="39">
        <f t="shared" si="14"/>
        <v>0</v>
      </c>
      <c r="BF34" s="39">
        <f t="shared" si="15"/>
        <v>0</v>
      </c>
      <c r="BG34" s="19">
        <v>0</v>
      </c>
      <c r="BH34" s="19">
        <v>0</v>
      </c>
      <c r="BI34" s="19">
        <v>0</v>
      </c>
      <c r="BJ34" s="19">
        <v>0.05108</v>
      </c>
      <c r="BK34" s="19">
        <v>0</v>
      </c>
      <c r="BL34" s="19">
        <v>0</v>
      </c>
      <c r="BM34" s="19">
        <v>0</v>
      </c>
      <c r="BN34" s="19">
        <v>0</v>
      </c>
      <c r="BO34" s="19">
        <v>0</v>
      </c>
      <c r="BP34" s="19">
        <v>0</v>
      </c>
      <c r="BQ34" s="19">
        <v>0</v>
      </c>
      <c r="BR34" s="19">
        <v>0</v>
      </c>
      <c r="BS34" s="19">
        <v>0</v>
      </c>
      <c r="BT34" s="19">
        <v>0</v>
      </c>
      <c r="BU34" s="19">
        <v>0</v>
      </c>
      <c r="BV34" s="19">
        <v>0</v>
      </c>
      <c r="BW34" s="19">
        <v>0</v>
      </c>
      <c r="BX34" s="19">
        <v>0</v>
      </c>
      <c r="BY34" s="19">
        <v>0</v>
      </c>
      <c r="BZ34" s="34">
        <v>0</v>
      </c>
      <c r="CA34" s="18">
        <v>0</v>
      </c>
      <c r="CB34" s="20"/>
      <c r="CC34" s="36">
        <v>0</v>
      </c>
      <c r="CD34" s="34"/>
    </row>
    <row r="35" ht="19.5" customHeight="1" s="112" customFormat="1">
      <c r="A35" s="111">
        <v>21</v>
      </c>
      <c r="B35" s="35" t="str">
        <f t="shared" si="8"/>
      </c>
      <c r="C35" s="32">
        <v>18778</v>
      </c>
      <c r="D35" s="15" t="s">
        <v>174</v>
      </c>
      <c r="E35" s="1" t="s">
        <v>118</v>
      </c>
      <c r="F35" s="36" t="str">
        <f>IFERROR(VLOOKUP('A2 (Öhdəliklər)'!E35,List!A:B,2,0),"")</f>
      </c>
      <c r="G35" s="1" t="s">
        <v>119</v>
      </c>
      <c r="H35" s="36" t="str">
        <f>IFERROR(VLOOKUP('A2 (Öhdəliklər)'!G35,List!G:H,2,0),"")</f>
      </c>
      <c r="I35" s="1" t="s">
        <v>120</v>
      </c>
      <c r="J35" s="36" t="str">
        <f>IFERROR(VLOOKUP('A2 (Öhdəliklər)'!I35,List!C:D,2,0),"")</f>
      </c>
      <c r="K35" s="1" t="s">
        <v>175</v>
      </c>
      <c r="L35" s="36" t="str">
        <f>IFERROR(VLOOKUP('A2 (Öhdəliklər)'!K35,List!E:F,2,0),"")</f>
      </c>
      <c r="M35" s="1" t="s">
        <v>122</v>
      </c>
      <c r="N35" s="36" t="str">
        <f>IFERROR(VLOOKUP('A2 (Öhdəliklər)'!M35,List!M:N,2,0),"")</f>
      </c>
      <c r="O35" s="1"/>
      <c r="P35" s="36" t="str">
        <f>IFERROR(VLOOKUP('A2 (Öhdəliklər)'!O35,List!S:T,2,0),"")</f>
      </c>
      <c r="Q35" s="1"/>
      <c r="R35" s="36" t="str">
        <f>IFERROR(VLOOKUP('A2 (Öhdəliklər)'!Q35,List!K:L,2,0),"")</f>
      </c>
      <c r="S35" s="16" t="s">
        <v>123</v>
      </c>
      <c r="T35" s="16" t="s">
        <v>123</v>
      </c>
      <c r="U35" s="17" t="s">
        <v>188</v>
      </c>
      <c r="V35" s="17"/>
      <c r="W35" s="20"/>
      <c r="X35" s="18" t="s">
        <v>125</v>
      </c>
      <c r="Y35" s="1" t="s">
        <v>126</v>
      </c>
      <c r="Z35" s="36" t="str">
        <f>IFERROR(VLOOKUP('A2 (Öhdəliklər)'!Y35,List!O:P,2,0),"")</f>
      </c>
      <c r="AA35" s="19">
        <v>0</v>
      </c>
      <c r="AB35" s="19">
        <v>0</v>
      </c>
      <c r="AC35" s="37">
        <f t="shared" si="9"/>
        <v>0</v>
      </c>
      <c r="AD35" s="19" t="s">
        <v>189</v>
      </c>
      <c r="AE35" s="19">
        <v>0</v>
      </c>
      <c r="AF35" s="19">
        <v>0</v>
      </c>
      <c r="AG35" s="19">
        <v>0</v>
      </c>
      <c r="AH35" s="19">
        <v>0</v>
      </c>
      <c r="AI35" s="19" t="s">
        <v>128</v>
      </c>
      <c r="AJ35" s="19">
        <v>0</v>
      </c>
      <c r="AK35" s="19">
        <v>0</v>
      </c>
      <c r="AL35" s="19">
        <v>0</v>
      </c>
      <c r="AM35" s="19"/>
      <c r="AN35" s="19" t="s">
        <v>128</v>
      </c>
      <c r="AO35" s="19">
        <v>0</v>
      </c>
      <c r="AP35" s="19">
        <v>0</v>
      </c>
      <c r="AQ35" s="19">
        <v>0</v>
      </c>
      <c r="AR35" s="19">
        <v>0</v>
      </c>
      <c r="AS35" s="19">
        <v>0</v>
      </c>
      <c r="AT35" s="19">
        <v>0</v>
      </c>
      <c r="AU35" s="19">
        <v>0</v>
      </c>
      <c r="AV35" s="19">
        <v>0</v>
      </c>
      <c r="AW35" s="19">
        <v>0</v>
      </c>
      <c r="AX35" s="19">
        <v>0</v>
      </c>
      <c r="AY35" s="21" t="s">
        <v>129</v>
      </c>
      <c r="AZ35" s="36" t="str">
        <f>IFERROR(VLOOKUP('A2 (Öhdəliklər)'!AY35,List!Q:R,2,0),"")</f>
      </c>
      <c r="BA35" s="38">
        <f t="shared" si="10"/>
        <v>0</v>
      </c>
      <c r="BB35" s="38">
        <f t="shared" si="11"/>
        <v>0</v>
      </c>
      <c r="BC35" s="39">
        <f t="shared" si="12"/>
        <v>0.00206</v>
      </c>
      <c r="BD35" s="39">
        <f t="shared" si="13"/>
        <v>0</v>
      </c>
      <c r="BE35" s="39">
        <f t="shared" si="14"/>
        <v>0</v>
      </c>
      <c r="BF35" s="39">
        <f t="shared" si="15"/>
        <v>0</v>
      </c>
      <c r="BG35" s="19">
        <v>0</v>
      </c>
      <c r="BH35" s="19">
        <v>0</v>
      </c>
      <c r="BI35" s="19">
        <v>0</v>
      </c>
      <c r="BJ35" s="19">
        <v>0.00206</v>
      </c>
      <c r="BK35" s="19">
        <v>0</v>
      </c>
      <c r="BL35" s="19">
        <v>0</v>
      </c>
      <c r="BM35" s="19">
        <v>0</v>
      </c>
      <c r="BN35" s="19">
        <v>0</v>
      </c>
      <c r="BO35" s="19">
        <v>0</v>
      </c>
      <c r="BP35" s="19">
        <v>0</v>
      </c>
      <c r="BQ35" s="19">
        <v>0</v>
      </c>
      <c r="BR35" s="19">
        <v>0</v>
      </c>
      <c r="BS35" s="19">
        <v>0</v>
      </c>
      <c r="BT35" s="19">
        <v>0</v>
      </c>
      <c r="BU35" s="19">
        <v>0</v>
      </c>
      <c r="BV35" s="19">
        <v>0</v>
      </c>
      <c r="BW35" s="19">
        <v>0</v>
      </c>
      <c r="BX35" s="19">
        <v>0</v>
      </c>
      <c r="BY35" s="19">
        <v>0</v>
      </c>
      <c r="BZ35" s="34">
        <v>0</v>
      </c>
      <c r="CA35" s="18">
        <v>0</v>
      </c>
      <c r="CB35" s="20"/>
      <c r="CC35" s="36">
        <v>0</v>
      </c>
      <c r="CD35" s="34"/>
    </row>
    <row r="36" ht="19.5" customHeight="1" s="112" customFormat="1">
      <c r="A36" s="111">
        <v>22</v>
      </c>
      <c r="B36" s="35" t="str">
        <f t="shared" si="8"/>
      </c>
      <c r="C36" s="32">
        <v>18804</v>
      </c>
      <c r="D36" s="15" t="s">
        <v>174</v>
      </c>
      <c r="E36" s="1" t="s">
        <v>118</v>
      </c>
      <c r="F36" s="36" t="str">
        <f>IFERROR(VLOOKUP('A2 (Öhdəliklər)'!E36,List!A:B,2,0),"")</f>
      </c>
      <c r="G36" s="1" t="s">
        <v>119</v>
      </c>
      <c r="H36" s="36" t="str">
        <f>IFERROR(VLOOKUP('A2 (Öhdəliklər)'!G36,List!G:H,2,0),"")</f>
      </c>
      <c r="I36" s="1" t="s">
        <v>120</v>
      </c>
      <c r="J36" s="36" t="str">
        <f>IFERROR(VLOOKUP('A2 (Öhdəliklər)'!I36,List!C:D,2,0),"")</f>
      </c>
      <c r="K36" s="1" t="s">
        <v>175</v>
      </c>
      <c r="L36" s="36" t="str">
        <f>IFERROR(VLOOKUP('A2 (Öhdəliklər)'!K36,List!E:F,2,0),"")</f>
      </c>
      <c r="M36" s="1" t="s">
        <v>122</v>
      </c>
      <c r="N36" s="36" t="str">
        <f>IFERROR(VLOOKUP('A2 (Öhdəliklər)'!M36,List!M:N,2,0),"")</f>
      </c>
      <c r="O36" s="1"/>
      <c r="P36" s="36" t="str">
        <f>IFERROR(VLOOKUP('A2 (Öhdəliklər)'!O36,List!S:T,2,0),"")</f>
      </c>
      <c r="Q36" s="1"/>
      <c r="R36" s="36" t="str">
        <f>IFERROR(VLOOKUP('A2 (Öhdəliklər)'!Q36,List!K:L,2,0),"")</f>
      </c>
      <c r="S36" s="16" t="s">
        <v>123</v>
      </c>
      <c r="T36" s="16" t="s">
        <v>123</v>
      </c>
      <c r="U36" s="17" t="s">
        <v>190</v>
      </c>
      <c r="V36" s="17"/>
      <c r="W36" s="20"/>
      <c r="X36" s="18" t="s">
        <v>125</v>
      </c>
      <c r="Y36" s="1" t="s">
        <v>126</v>
      </c>
      <c r="Z36" s="36" t="str">
        <f>IFERROR(VLOOKUP('A2 (Öhdəliklər)'!Y36,List!O:P,2,0),"")</f>
      </c>
      <c r="AA36" s="19">
        <v>0</v>
      </c>
      <c r="AB36" s="19">
        <v>0</v>
      </c>
      <c r="AC36" s="37">
        <f t="shared" si="9"/>
        <v>0</v>
      </c>
      <c r="AD36" s="19" t="s">
        <v>191</v>
      </c>
      <c r="AE36" s="19">
        <v>0</v>
      </c>
      <c r="AF36" s="19">
        <v>0</v>
      </c>
      <c r="AG36" s="19">
        <v>0</v>
      </c>
      <c r="AH36" s="19">
        <v>0</v>
      </c>
      <c r="AI36" s="19" t="s">
        <v>128</v>
      </c>
      <c r="AJ36" s="19">
        <v>0</v>
      </c>
      <c r="AK36" s="19">
        <v>0</v>
      </c>
      <c r="AL36" s="19">
        <v>0</v>
      </c>
      <c r="AM36" s="19"/>
      <c r="AN36" s="19" t="s">
        <v>128</v>
      </c>
      <c r="AO36" s="19">
        <v>0</v>
      </c>
      <c r="AP36" s="19">
        <v>0</v>
      </c>
      <c r="AQ36" s="19">
        <v>0</v>
      </c>
      <c r="AR36" s="19">
        <v>0</v>
      </c>
      <c r="AS36" s="19">
        <v>0</v>
      </c>
      <c r="AT36" s="19">
        <v>0</v>
      </c>
      <c r="AU36" s="19">
        <v>0</v>
      </c>
      <c r="AV36" s="19">
        <v>0</v>
      </c>
      <c r="AW36" s="19">
        <v>0</v>
      </c>
      <c r="AX36" s="19">
        <v>0</v>
      </c>
      <c r="AY36" s="21" t="s">
        <v>129</v>
      </c>
      <c r="AZ36" s="36" t="str">
        <f>IFERROR(VLOOKUP('A2 (Öhdəliklər)'!AY36,List!Q:R,2,0),"")</f>
      </c>
      <c r="BA36" s="38">
        <f t="shared" si="10"/>
        <v>0</v>
      </c>
      <c r="BB36" s="38">
        <f t="shared" si="11"/>
        <v>0</v>
      </c>
      <c r="BC36" s="39">
        <f t="shared" si="12"/>
        <v>0.048</v>
      </c>
      <c r="BD36" s="39">
        <f t="shared" si="13"/>
        <v>0</v>
      </c>
      <c r="BE36" s="39">
        <f t="shared" si="14"/>
        <v>0</v>
      </c>
      <c r="BF36" s="39">
        <f t="shared" si="15"/>
        <v>0</v>
      </c>
      <c r="BG36" s="19">
        <v>0</v>
      </c>
      <c r="BH36" s="19">
        <v>0</v>
      </c>
      <c r="BI36" s="19">
        <v>0</v>
      </c>
      <c r="BJ36" s="19">
        <v>0.048</v>
      </c>
      <c r="BK36" s="19">
        <v>0</v>
      </c>
      <c r="BL36" s="19">
        <v>0</v>
      </c>
      <c r="BM36" s="19">
        <v>0</v>
      </c>
      <c r="BN36" s="19">
        <v>0</v>
      </c>
      <c r="BO36" s="19">
        <v>0</v>
      </c>
      <c r="BP36" s="19">
        <v>0</v>
      </c>
      <c r="BQ36" s="19">
        <v>0</v>
      </c>
      <c r="BR36" s="19">
        <v>0</v>
      </c>
      <c r="BS36" s="19">
        <v>0</v>
      </c>
      <c r="BT36" s="19">
        <v>0</v>
      </c>
      <c r="BU36" s="19">
        <v>0</v>
      </c>
      <c r="BV36" s="19">
        <v>0</v>
      </c>
      <c r="BW36" s="19">
        <v>0</v>
      </c>
      <c r="BX36" s="19">
        <v>0</v>
      </c>
      <c r="BY36" s="19">
        <v>0</v>
      </c>
      <c r="BZ36" s="34">
        <v>0</v>
      </c>
      <c r="CA36" s="18">
        <v>0</v>
      </c>
      <c r="CB36" s="20"/>
      <c r="CC36" s="36">
        <v>0</v>
      </c>
      <c r="CD36" s="34"/>
    </row>
    <row r="37" ht="19.5" customHeight="1" s="112" customFormat="1">
      <c r="A37" s="111">
        <v>23</v>
      </c>
      <c r="B37" s="35" t="str">
        <f t="shared" si="8"/>
      </c>
      <c r="C37" s="32">
        <v>18820</v>
      </c>
      <c r="D37" s="15" t="s">
        <v>174</v>
      </c>
      <c r="E37" s="1" t="s">
        <v>118</v>
      </c>
      <c r="F37" s="36" t="str">
        <f>IFERROR(VLOOKUP('A2 (Öhdəliklər)'!E37,List!A:B,2,0),"")</f>
      </c>
      <c r="G37" s="1" t="s">
        <v>119</v>
      </c>
      <c r="H37" s="36" t="str">
        <f>IFERROR(VLOOKUP('A2 (Öhdəliklər)'!G37,List!G:H,2,0),"")</f>
      </c>
      <c r="I37" s="1" t="s">
        <v>120</v>
      </c>
      <c r="J37" s="36" t="str">
        <f>IFERROR(VLOOKUP('A2 (Öhdəliklər)'!I37,List!C:D,2,0),"")</f>
      </c>
      <c r="K37" s="1" t="s">
        <v>175</v>
      </c>
      <c r="L37" s="36" t="str">
        <f>IFERROR(VLOOKUP('A2 (Öhdəliklər)'!K37,List!E:F,2,0),"")</f>
      </c>
      <c r="M37" s="1" t="s">
        <v>122</v>
      </c>
      <c r="N37" s="36" t="str">
        <f>IFERROR(VLOOKUP('A2 (Öhdəliklər)'!M37,List!M:N,2,0),"")</f>
      </c>
      <c r="O37" s="1"/>
      <c r="P37" s="36" t="str">
        <f>IFERROR(VLOOKUP('A2 (Öhdəliklər)'!O37,List!S:T,2,0),"")</f>
      </c>
      <c r="Q37" s="1"/>
      <c r="R37" s="36" t="str">
        <f>IFERROR(VLOOKUP('A2 (Öhdəliklər)'!Q37,List!K:L,2,0),"")</f>
      </c>
      <c r="S37" s="16" t="s">
        <v>123</v>
      </c>
      <c r="T37" s="16" t="s">
        <v>123</v>
      </c>
      <c r="U37" s="17" t="s">
        <v>192</v>
      </c>
      <c r="V37" s="17"/>
      <c r="W37" s="20"/>
      <c r="X37" s="18" t="s">
        <v>125</v>
      </c>
      <c r="Y37" s="1" t="s">
        <v>126</v>
      </c>
      <c r="Z37" s="36" t="str">
        <f>IFERROR(VLOOKUP('A2 (Öhdəliklər)'!Y37,List!O:P,2,0),"")</f>
      </c>
      <c r="AA37" s="19">
        <v>0</v>
      </c>
      <c r="AB37" s="19">
        <v>0</v>
      </c>
      <c r="AC37" s="37">
        <f t="shared" si="9"/>
        <v>0</v>
      </c>
      <c r="AD37" s="19" t="s">
        <v>193</v>
      </c>
      <c r="AE37" s="19">
        <v>0</v>
      </c>
      <c r="AF37" s="19">
        <v>0</v>
      </c>
      <c r="AG37" s="19">
        <v>0</v>
      </c>
      <c r="AH37" s="19">
        <v>0</v>
      </c>
      <c r="AI37" s="19" t="s">
        <v>128</v>
      </c>
      <c r="AJ37" s="19">
        <v>0</v>
      </c>
      <c r="AK37" s="19">
        <v>0</v>
      </c>
      <c r="AL37" s="19">
        <v>0</v>
      </c>
      <c r="AM37" s="19"/>
      <c r="AN37" s="19" t="s">
        <v>128</v>
      </c>
      <c r="AO37" s="19">
        <v>0</v>
      </c>
      <c r="AP37" s="19">
        <v>0</v>
      </c>
      <c r="AQ37" s="19">
        <v>0</v>
      </c>
      <c r="AR37" s="19">
        <v>0</v>
      </c>
      <c r="AS37" s="19">
        <v>0</v>
      </c>
      <c r="AT37" s="19">
        <v>0</v>
      </c>
      <c r="AU37" s="19">
        <v>0</v>
      </c>
      <c r="AV37" s="19">
        <v>0</v>
      </c>
      <c r="AW37" s="19">
        <v>0</v>
      </c>
      <c r="AX37" s="19">
        <v>0</v>
      </c>
      <c r="AY37" s="21" t="s">
        <v>129</v>
      </c>
      <c r="AZ37" s="36" t="str">
        <f>IFERROR(VLOOKUP('A2 (Öhdəliklər)'!AY37,List!Q:R,2,0),"")</f>
      </c>
      <c r="BA37" s="38">
        <f t="shared" si="10"/>
        <v>0</v>
      </c>
      <c r="BB37" s="38">
        <f t="shared" si="11"/>
        <v>0</v>
      </c>
      <c r="BC37" s="39">
        <f t="shared" si="12"/>
        <v>0.00411</v>
      </c>
      <c r="BD37" s="39">
        <f t="shared" si="13"/>
        <v>0</v>
      </c>
      <c r="BE37" s="39">
        <f t="shared" si="14"/>
        <v>0</v>
      </c>
      <c r="BF37" s="39">
        <f t="shared" si="15"/>
        <v>0</v>
      </c>
      <c r="BG37" s="19">
        <v>0</v>
      </c>
      <c r="BH37" s="19">
        <v>0</v>
      </c>
      <c r="BI37" s="19">
        <v>0</v>
      </c>
      <c r="BJ37" s="19">
        <v>0.00411</v>
      </c>
      <c r="BK37" s="19">
        <v>0</v>
      </c>
      <c r="BL37" s="19">
        <v>0</v>
      </c>
      <c r="BM37" s="19">
        <v>0</v>
      </c>
      <c r="BN37" s="19">
        <v>0</v>
      </c>
      <c r="BO37" s="19">
        <v>0</v>
      </c>
      <c r="BP37" s="19">
        <v>0</v>
      </c>
      <c r="BQ37" s="19">
        <v>0</v>
      </c>
      <c r="BR37" s="19">
        <v>0</v>
      </c>
      <c r="BS37" s="19">
        <v>0</v>
      </c>
      <c r="BT37" s="19">
        <v>0</v>
      </c>
      <c r="BU37" s="19">
        <v>0</v>
      </c>
      <c r="BV37" s="19">
        <v>0</v>
      </c>
      <c r="BW37" s="19">
        <v>0</v>
      </c>
      <c r="BX37" s="19">
        <v>0</v>
      </c>
      <c r="BY37" s="19">
        <v>0</v>
      </c>
      <c r="BZ37" s="34">
        <v>0</v>
      </c>
      <c r="CA37" s="18">
        <v>0</v>
      </c>
      <c r="CB37" s="20"/>
      <c r="CC37" s="36">
        <v>0</v>
      </c>
      <c r="CD37" s="34"/>
    </row>
    <row r="38" ht="19.5" customHeight="1" s="112" customFormat="1">
      <c r="A38" s="111">
        <v>24</v>
      </c>
      <c r="B38" s="35" t="str">
        <f t="shared" si="8"/>
      </c>
      <c r="C38" s="32">
        <v>19029</v>
      </c>
      <c r="D38" s="15" t="s">
        <v>182</v>
      </c>
      <c r="E38" s="1" t="s">
        <v>118</v>
      </c>
      <c r="F38" s="36" t="str">
        <f>IFERROR(VLOOKUP('A2 (Öhdəliklər)'!E38,List!A:B,2,0),"")</f>
      </c>
      <c r="G38" s="1" t="s">
        <v>119</v>
      </c>
      <c r="H38" s="36" t="str">
        <f>IFERROR(VLOOKUP('A2 (Öhdəliklər)'!G38,List!G:H,2,0),"")</f>
      </c>
      <c r="I38" s="1" t="s">
        <v>120</v>
      </c>
      <c r="J38" s="36" t="str">
        <f>IFERROR(VLOOKUP('A2 (Öhdəliklər)'!I38,List!C:D,2,0),"")</f>
      </c>
      <c r="K38" s="1" t="s">
        <v>175</v>
      </c>
      <c r="L38" s="36" t="str">
        <f>IFERROR(VLOOKUP('A2 (Öhdəliklər)'!K38,List!E:F,2,0),"")</f>
      </c>
      <c r="M38" s="1" t="s">
        <v>122</v>
      </c>
      <c r="N38" s="36" t="str">
        <f>IFERROR(VLOOKUP('A2 (Öhdəliklər)'!M38,List!M:N,2,0),"")</f>
      </c>
      <c r="O38" s="1"/>
      <c r="P38" s="36" t="str">
        <f>IFERROR(VLOOKUP('A2 (Öhdəliklər)'!O38,List!S:T,2,0),"")</f>
      </c>
      <c r="Q38" s="1"/>
      <c r="R38" s="36" t="str">
        <f>IFERROR(VLOOKUP('A2 (Öhdəliklər)'!Q38,List!K:L,2,0),"")</f>
      </c>
      <c r="S38" s="16" t="s">
        <v>123</v>
      </c>
      <c r="T38" s="16" t="s">
        <v>123</v>
      </c>
      <c r="U38" s="17" t="s">
        <v>194</v>
      </c>
      <c r="V38" s="17"/>
      <c r="W38" s="20"/>
      <c r="X38" s="18" t="s">
        <v>125</v>
      </c>
      <c r="Y38" s="1" t="s">
        <v>126</v>
      </c>
      <c r="Z38" s="36" t="str">
        <f>IFERROR(VLOOKUP('A2 (Öhdəliklər)'!Y38,List!O:P,2,0),"")</f>
      </c>
      <c r="AA38" s="19">
        <v>0</v>
      </c>
      <c r="AB38" s="19">
        <v>0</v>
      </c>
      <c r="AC38" s="37">
        <f t="shared" si="9"/>
        <v>0</v>
      </c>
      <c r="AD38" s="19" t="s">
        <v>195</v>
      </c>
      <c r="AE38" s="19">
        <v>0</v>
      </c>
      <c r="AF38" s="19">
        <v>0</v>
      </c>
      <c r="AG38" s="19">
        <v>0</v>
      </c>
      <c r="AH38" s="19">
        <v>0</v>
      </c>
      <c r="AI38" s="19" t="s">
        <v>128</v>
      </c>
      <c r="AJ38" s="19">
        <v>0</v>
      </c>
      <c r="AK38" s="19">
        <v>0</v>
      </c>
      <c r="AL38" s="19">
        <v>0</v>
      </c>
      <c r="AM38" s="19"/>
      <c r="AN38" s="19" t="s">
        <v>128</v>
      </c>
      <c r="AO38" s="19">
        <v>0</v>
      </c>
      <c r="AP38" s="19">
        <v>0</v>
      </c>
      <c r="AQ38" s="19">
        <v>0</v>
      </c>
      <c r="AR38" s="19">
        <v>0</v>
      </c>
      <c r="AS38" s="19">
        <v>0</v>
      </c>
      <c r="AT38" s="19">
        <v>0</v>
      </c>
      <c r="AU38" s="19">
        <v>0</v>
      </c>
      <c r="AV38" s="19">
        <v>0</v>
      </c>
      <c r="AW38" s="19">
        <v>0</v>
      </c>
      <c r="AX38" s="19">
        <v>0</v>
      </c>
      <c r="AY38" s="21" t="s">
        <v>129</v>
      </c>
      <c r="AZ38" s="36" t="str">
        <f>IFERROR(VLOOKUP('A2 (Öhdəliklər)'!AY38,List!Q:R,2,0),"")</f>
      </c>
      <c r="BA38" s="38">
        <f t="shared" si="10"/>
        <v>0</v>
      </c>
      <c r="BB38" s="38">
        <f t="shared" si="11"/>
        <v>0</v>
      </c>
      <c r="BC38" s="39">
        <f t="shared" si="12"/>
        <v>0.0014</v>
      </c>
      <c r="BD38" s="39">
        <f t="shared" si="13"/>
        <v>0</v>
      </c>
      <c r="BE38" s="39">
        <f t="shared" si="14"/>
        <v>0</v>
      </c>
      <c r="BF38" s="39">
        <f t="shared" si="15"/>
        <v>0</v>
      </c>
      <c r="BG38" s="19">
        <v>0</v>
      </c>
      <c r="BH38" s="19">
        <v>0</v>
      </c>
      <c r="BI38" s="19">
        <v>0</v>
      </c>
      <c r="BJ38" s="19">
        <v>0.0014</v>
      </c>
      <c r="BK38" s="19">
        <v>0</v>
      </c>
      <c r="BL38" s="19">
        <v>0</v>
      </c>
      <c r="BM38" s="19">
        <v>0</v>
      </c>
      <c r="BN38" s="19">
        <v>0</v>
      </c>
      <c r="BO38" s="19">
        <v>0</v>
      </c>
      <c r="BP38" s="19">
        <v>0</v>
      </c>
      <c r="BQ38" s="19">
        <v>0</v>
      </c>
      <c r="BR38" s="19">
        <v>0</v>
      </c>
      <c r="BS38" s="19">
        <v>0</v>
      </c>
      <c r="BT38" s="19">
        <v>0</v>
      </c>
      <c r="BU38" s="19">
        <v>0</v>
      </c>
      <c r="BV38" s="19">
        <v>0</v>
      </c>
      <c r="BW38" s="19">
        <v>0</v>
      </c>
      <c r="BX38" s="19">
        <v>0</v>
      </c>
      <c r="BY38" s="19">
        <v>0</v>
      </c>
      <c r="BZ38" s="34">
        <v>0</v>
      </c>
      <c r="CA38" s="18">
        <v>0</v>
      </c>
      <c r="CB38" s="20"/>
      <c r="CC38" s="36">
        <v>0</v>
      </c>
      <c r="CD38" s="34"/>
    </row>
    <row r="39" ht="19.5" customHeight="1" s="112" customFormat="1">
      <c r="A39" s="111">
        <v>25</v>
      </c>
      <c r="B39" s="35" t="str">
        <f t="shared" si="8"/>
      </c>
      <c r="C39" s="32">
        <v>19048</v>
      </c>
      <c r="D39" s="15" t="s">
        <v>174</v>
      </c>
      <c r="E39" s="1" t="s">
        <v>118</v>
      </c>
      <c r="F39" s="36" t="str">
        <f>IFERROR(VLOOKUP('A2 (Öhdəliklər)'!E39,List!A:B,2,0),"")</f>
      </c>
      <c r="G39" s="1" t="s">
        <v>119</v>
      </c>
      <c r="H39" s="36" t="str">
        <f>IFERROR(VLOOKUP('A2 (Öhdəliklər)'!G39,List!G:H,2,0),"")</f>
      </c>
      <c r="I39" s="1" t="s">
        <v>120</v>
      </c>
      <c r="J39" s="36" t="str">
        <f>IFERROR(VLOOKUP('A2 (Öhdəliklər)'!I39,List!C:D,2,0),"")</f>
      </c>
      <c r="K39" s="1" t="s">
        <v>175</v>
      </c>
      <c r="L39" s="36" t="str">
        <f>IFERROR(VLOOKUP('A2 (Öhdəliklər)'!K39,List!E:F,2,0),"")</f>
      </c>
      <c r="M39" s="1" t="s">
        <v>122</v>
      </c>
      <c r="N39" s="36" t="str">
        <f>IFERROR(VLOOKUP('A2 (Öhdəliklər)'!M39,List!M:N,2,0),"")</f>
      </c>
      <c r="O39" s="1"/>
      <c r="P39" s="36" t="str">
        <f>IFERROR(VLOOKUP('A2 (Öhdəliklər)'!O39,List!S:T,2,0),"")</f>
      </c>
      <c r="Q39" s="1"/>
      <c r="R39" s="36" t="str">
        <f>IFERROR(VLOOKUP('A2 (Öhdəliklər)'!Q39,List!K:L,2,0),"")</f>
      </c>
      <c r="S39" s="16" t="s">
        <v>123</v>
      </c>
      <c r="T39" s="16" t="s">
        <v>123</v>
      </c>
      <c r="U39" s="17" t="s">
        <v>196</v>
      </c>
      <c r="V39" s="17"/>
      <c r="W39" s="20"/>
      <c r="X39" s="18" t="s">
        <v>125</v>
      </c>
      <c r="Y39" s="1" t="s">
        <v>126</v>
      </c>
      <c r="Z39" s="36" t="str">
        <f>IFERROR(VLOOKUP('A2 (Öhdəliklər)'!Y39,List!O:P,2,0),"")</f>
      </c>
      <c r="AA39" s="19">
        <v>0</v>
      </c>
      <c r="AB39" s="19">
        <v>0</v>
      </c>
      <c r="AC39" s="37">
        <f t="shared" si="9"/>
        <v>0</v>
      </c>
      <c r="AD39" s="19" t="s">
        <v>197</v>
      </c>
      <c r="AE39" s="19">
        <v>0</v>
      </c>
      <c r="AF39" s="19">
        <v>0</v>
      </c>
      <c r="AG39" s="19">
        <v>0</v>
      </c>
      <c r="AH39" s="19">
        <v>0</v>
      </c>
      <c r="AI39" s="19" t="s">
        <v>128</v>
      </c>
      <c r="AJ39" s="19">
        <v>0</v>
      </c>
      <c r="AK39" s="19">
        <v>0</v>
      </c>
      <c r="AL39" s="19">
        <v>0</v>
      </c>
      <c r="AM39" s="19"/>
      <c r="AN39" s="19" t="s">
        <v>128</v>
      </c>
      <c r="AO39" s="19">
        <v>0</v>
      </c>
      <c r="AP39" s="19">
        <v>0</v>
      </c>
      <c r="AQ39" s="19">
        <v>0</v>
      </c>
      <c r="AR39" s="19">
        <v>0</v>
      </c>
      <c r="AS39" s="19">
        <v>0</v>
      </c>
      <c r="AT39" s="19">
        <v>0</v>
      </c>
      <c r="AU39" s="19">
        <v>0</v>
      </c>
      <c r="AV39" s="19">
        <v>0</v>
      </c>
      <c r="AW39" s="19">
        <v>0</v>
      </c>
      <c r="AX39" s="19">
        <v>0</v>
      </c>
      <c r="AY39" s="21" t="s">
        <v>129</v>
      </c>
      <c r="AZ39" s="36" t="str">
        <f>IFERROR(VLOOKUP('A2 (Öhdəliklər)'!AY39,List!Q:R,2,0),"")</f>
      </c>
      <c r="BA39" s="38">
        <f t="shared" si="10"/>
        <v>0</v>
      </c>
      <c r="BB39" s="38">
        <f t="shared" si="11"/>
        <v>0</v>
      </c>
      <c r="BC39" s="39">
        <f t="shared" si="12"/>
        <v>0.6</v>
      </c>
      <c r="BD39" s="39">
        <f t="shared" si="13"/>
        <v>0</v>
      </c>
      <c r="BE39" s="39">
        <f t="shared" si="14"/>
        <v>0</v>
      </c>
      <c r="BF39" s="39">
        <f t="shared" si="15"/>
        <v>0</v>
      </c>
      <c r="BG39" s="19">
        <v>0</v>
      </c>
      <c r="BH39" s="19">
        <v>0</v>
      </c>
      <c r="BI39" s="19">
        <v>0</v>
      </c>
      <c r="BJ39" s="19">
        <v>0.6</v>
      </c>
      <c r="BK39" s="19">
        <v>0</v>
      </c>
      <c r="BL39" s="19">
        <v>0</v>
      </c>
      <c r="BM39" s="19">
        <v>0</v>
      </c>
      <c r="BN39" s="19">
        <v>0</v>
      </c>
      <c r="BO39" s="19">
        <v>0</v>
      </c>
      <c r="BP39" s="19">
        <v>0</v>
      </c>
      <c r="BQ39" s="19">
        <v>0</v>
      </c>
      <c r="BR39" s="19">
        <v>0</v>
      </c>
      <c r="BS39" s="19">
        <v>0</v>
      </c>
      <c r="BT39" s="19">
        <v>0</v>
      </c>
      <c r="BU39" s="19">
        <v>0</v>
      </c>
      <c r="BV39" s="19">
        <v>0</v>
      </c>
      <c r="BW39" s="19">
        <v>0</v>
      </c>
      <c r="BX39" s="19">
        <v>0</v>
      </c>
      <c r="BY39" s="19">
        <v>0</v>
      </c>
      <c r="BZ39" s="34">
        <v>0</v>
      </c>
      <c r="CA39" s="18">
        <v>0</v>
      </c>
      <c r="CB39" s="20"/>
      <c r="CC39" s="36">
        <v>0</v>
      </c>
      <c r="CD39" s="34"/>
    </row>
    <row r="40" ht="19.5" customHeight="1" s="112" customFormat="1">
      <c r="A40" s="111">
        <v>26</v>
      </c>
      <c r="B40" s="35" t="str">
        <f t="shared" si="8"/>
      </c>
      <c r="C40" s="32">
        <v>19103</v>
      </c>
      <c r="D40" s="15" t="s">
        <v>182</v>
      </c>
      <c r="E40" s="1" t="s">
        <v>118</v>
      </c>
      <c r="F40" s="36" t="str">
        <f>IFERROR(VLOOKUP('A2 (Öhdəliklər)'!E40,List!A:B,2,0),"")</f>
      </c>
      <c r="G40" s="1" t="s">
        <v>119</v>
      </c>
      <c r="H40" s="36" t="str">
        <f>IFERROR(VLOOKUP('A2 (Öhdəliklər)'!G40,List!G:H,2,0),"")</f>
      </c>
      <c r="I40" s="1" t="s">
        <v>120</v>
      </c>
      <c r="J40" s="36" t="str">
        <f>IFERROR(VLOOKUP('A2 (Öhdəliklər)'!I40,List!C:D,2,0),"")</f>
      </c>
      <c r="K40" s="1" t="s">
        <v>175</v>
      </c>
      <c r="L40" s="36" t="str">
        <f>IFERROR(VLOOKUP('A2 (Öhdəliklər)'!K40,List!E:F,2,0),"")</f>
      </c>
      <c r="M40" s="1" t="s">
        <v>122</v>
      </c>
      <c r="N40" s="36" t="str">
        <f>IFERROR(VLOOKUP('A2 (Öhdəliklər)'!M40,List!M:N,2,0),"")</f>
      </c>
      <c r="O40" s="1"/>
      <c r="P40" s="36" t="str">
        <f>IFERROR(VLOOKUP('A2 (Öhdəliklər)'!O40,List!S:T,2,0),"")</f>
      </c>
      <c r="Q40" s="1"/>
      <c r="R40" s="36" t="str">
        <f>IFERROR(VLOOKUP('A2 (Öhdəliklər)'!Q40,List!K:L,2,0),"")</f>
      </c>
      <c r="S40" s="16" t="s">
        <v>123</v>
      </c>
      <c r="T40" s="16" t="s">
        <v>123</v>
      </c>
      <c r="U40" s="17" t="s">
        <v>198</v>
      </c>
      <c r="V40" s="17"/>
      <c r="W40" s="20"/>
      <c r="X40" s="18" t="s">
        <v>125</v>
      </c>
      <c r="Y40" s="1" t="s">
        <v>126</v>
      </c>
      <c r="Z40" s="36" t="str">
        <f>IFERROR(VLOOKUP('A2 (Öhdəliklər)'!Y40,List!O:P,2,0),"")</f>
      </c>
      <c r="AA40" s="19">
        <v>0</v>
      </c>
      <c r="AB40" s="19">
        <v>0</v>
      </c>
      <c r="AC40" s="37">
        <f t="shared" si="9"/>
        <v>0</v>
      </c>
      <c r="AD40" s="19" t="s">
        <v>199</v>
      </c>
      <c r="AE40" s="19">
        <v>0</v>
      </c>
      <c r="AF40" s="19">
        <v>0</v>
      </c>
      <c r="AG40" s="19">
        <v>0</v>
      </c>
      <c r="AH40" s="19">
        <v>0</v>
      </c>
      <c r="AI40" s="19" t="s">
        <v>128</v>
      </c>
      <c r="AJ40" s="19">
        <v>0</v>
      </c>
      <c r="AK40" s="19">
        <v>0</v>
      </c>
      <c r="AL40" s="19">
        <v>0</v>
      </c>
      <c r="AM40" s="19"/>
      <c r="AN40" s="19" t="s">
        <v>128</v>
      </c>
      <c r="AO40" s="19">
        <v>0</v>
      </c>
      <c r="AP40" s="19">
        <v>0</v>
      </c>
      <c r="AQ40" s="19">
        <v>0</v>
      </c>
      <c r="AR40" s="19">
        <v>0</v>
      </c>
      <c r="AS40" s="19">
        <v>0</v>
      </c>
      <c r="AT40" s="19">
        <v>0</v>
      </c>
      <c r="AU40" s="19">
        <v>0</v>
      </c>
      <c r="AV40" s="19">
        <v>0</v>
      </c>
      <c r="AW40" s="19">
        <v>0</v>
      </c>
      <c r="AX40" s="19">
        <v>0</v>
      </c>
      <c r="AY40" s="21" t="s">
        <v>129</v>
      </c>
      <c r="AZ40" s="36" t="str">
        <f>IFERROR(VLOOKUP('A2 (Öhdəliklər)'!AY40,List!Q:R,2,0),"")</f>
      </c>
      <c r="BA40" s="38">
        <f t="shared" si="10"/>
        <v>0</v>
      </c>
      <c r="BB40" s="38">
        <f t="shared" si="11"/>
        <v>0</v>
      </c>
      <c r="BC40" s="39">
        <f t="shared" si="12"/>
        <v>0.057</v>
      </c>
      <c r="BD40" s="39">
        <f t="shared" si="13"/>
        <v>0</v>
      </c>
      <c r="BE40" s="39">
        <f t="shared" si="14"/>
        <v>0</v>
      </c>
      <c r="BF40" s="39">
        <f t="shared" si="15"/>
        <v>0</v>
      </c>
      <c r="BG40" s="19">
        <v>0</v>
      </c>
      <c r="BH40" s="19">
        <v>0</v>
      </c>
      <c r="BI40" s="19">
        <v>0</v>
      </c>
      <c r="BJ40" s="19">
        <v>0.057</v>
      </c>
      <c r="BK40" s="19">
        <v>0</v>
      </c>
      <c r="BL40" s="19">
        <v>0</v>
      </c>
      <c r="BM40" s="19">
        <v>0</v>
      </c>
      <c r="BN40" s="19">
        <v>0</v>
      </c>
      <c r="BO40" s="19">
        <v>0</v>
      </c>
      <c r="BP40" s="19">
        <v>0</v>
      </c>
      <c r="BQ40" s="19">
        <v>0</v>
      </c>
      <c r="BR40" s="19">
        <v>0</v>
      </c>
      <c r="BS40" s="19">
        <v>0</v>
      </c>
      <c r="BT40" s="19">
        <v>0</v>
      </c>
      <c r="BU40" s="19">
        <v>0</v>
      </c>
      <c r="BV40" s="19">
        <v>0</v>
      </c>
      <c r="BW40" s="19">
        <v>0</v>
      </c>
      <c r="BX40" s="19">
        <v>0</v>
      </c>
      <c r="BY40" s="19">
        <v>0</v>
      </c>
      <c r="BZ40" s="34">
        <v>0</v>
      </c>
      <c r="CA40" s="18">
        <v>0</v>
      </c>
      <c r="CB40" s="20"/>
      <c r="CC40" s="36">
        <v>0</v>
      </c>
      <c r="CD40" s="34"/>
    </row>
    <row r="41" ht="19.5" customHeight="1" s="112" customFormat="1">
      <c r="A41" s="111">
        <v>27</v>
      </c>
      <c r="B41" s="35" t="str">
        <f t="shared" si="8"/>
      </c>
      <c r="C41" s="32">
        <v>19103</v>
      </c>
      <c r="D41" s="15" t="s">
        <v>174</v>
      </c>
      <c r="E41" s="1" t="s">
        <v>118</v>
      </c>
      <c r="F41" s="36" t="str">
        <f>IFERROR(VLOOKUP('A2 (Öhdəliklər)'!E41,List!A:B,2,0),"")</f>
      </c>
      <c r="G41" s="1" t="s">
        <v>119</v>
      </c>
      <c r="H41" s="36" t="str">
        <f>IFERROR(VLOOKUP('A2 (Öhdəliklər)'!G41,List!G:H,2,0),"")</f>
      </c>
      <c r="I41" s="1" t="s">
        <v>120</v>
      </c>
      <c r="J41" s="36" t="str">
        <f>IFERROR(VLOOKUP('A2 (Öhdəliklər)'!I41,List!C:D,2,0),"")</f>
      </c>
      <c r="K41" s="1" t="s">
        <v>175</v>
      </c>
      <c r="L41" s="36" t="str">
        <f>IFERROR(VLOOKUP('A2 (Öhdəliklər)'!K41,List!E:F,2,0),"")</f>
      </c>
      <c r="M41" s="1" t="s">
        <v>122</v>
      </c>
      <c r="N41" s="36" t="str">
        <f>IFERROR(VLOOKUP('A2 (Öhdəliklər)'!M41,List!M:N,2,0),"")</f>
      </c>
      <c r="O41" s="1"/>
      <c r="P41" s="36" t="str">
        <f>IFERROR(VLOOKUP('A2 (Öhdəliklər)'!O41,List!S:T,2,0),"")</f>
      </c>
      <c r="Q41" s="1"/>
      <c r="R41" s="36" t="str">
        <f>IFERROR(VLOOKUP('A2 (Öhdəliklər)'!Q41,List!K:L,2,0),"")</f>
      </c>
      <c r="S41" s="16" t="s">
        <v>123</v>
      </c>
      <c r="T41" s="16" t="s">
        <v>123</v>
      </c>
      <c r="U41" s="17" t="s">
        <v>198</v>
      </c>
      <c r="V41" s="17"/>
      <c r="W41" s="20"/>
      <c r="X41" s="18" t="s">
        <v>125</v>
      </c>
      <c r="Y41" s="1" t="s">
        <v>126</v>
      </c>
      <c r="Z41" s="36" t="str">
        <f>IFERROR(VLOOKUP('A2 (Öhdəliklər)'!Y41,List!O:P,2,0),"")</f>
      </c>
      <c r="AA41" s="19">
        <v>0</v>
      </c>
      <c r="AB41" s="19">
        <v>0</v>
      </c>
      <c r="AC41" s="37">
        <f t="shared" si="9"/>
        <v>0</v>
      </c>
      <c r="AD41" s="19" t="s">
        <v>200</v>
      </c>
      <c r="AE41" s="19">
        <v>0</v>
      </c>
      <c r="AF41" s="19">
        <v>0</v>
      </c>
      <c r="AG41" s="19">
        <v>0</v>
      </c>
      <c r="AH41" s="19">
        <v>0</v>
      </c>
      <c r="AI41" s="19" t="s">
        <v>128</v>
      </c>
      <c r="AJ41" s="19">
        <v>0</v>
      </c>
      <c r="AK41" s="19">
        <v>0</v>
      </c>
      <c r="AL41" s="19">
        <v>0</v>
      </c>
      <c r="AM41" s="19"/>
      <c r="AN41" s="19" t="s">
        <v>128</v>
      </c>
      <c r="AO41" s="19">
        <v>0</v>
      </c>
      <c r="AP41" s="19">
        <v>0</v>
      </c>
      <c r="AQ41" s="19">
        <v>0</v>
      </c>
      <c r="AR41" s="19">
        <v>0</v>
      </c>
      <c r="AS41" s="19">
        <v>0</v>
      </c>
      <c r="AT41" s="19">
        <v>0</v>
      </c>
      <c r="AU41" s="19">
        <v>0</v>
      </c>
      <c r="AV41" s="19">
        <v>0</v>
      </c>
      <c r="AW41" s="19">
        <v>0</v>
      </c>
      <c r="AX41" s="19">
        <v>0</v>
      </c>
      <c r="AY41" s="21" t="s">
        <v>129</v>
      </c>
      <c r="AZ41" s="36" t="str">
        <f>IFERROR(VLOOKUP('A2 (Öhdəliklər)'!AY41,List!Q:R,2,0),"")</f>
      </c>
      <c r="BA41" s="38">
        <f t="shared" si="10"/>
        <v>0</v>
      </c>
      <c r="BB41" s="38">
        <f t="shared" si="11"/>
        <v>0</v>
      </c>
      <c r="BC41" s="39">
        <f t="shared" si="12"/>
        <v>0.0092</v>
      </c>
      <c r="BD41" s="39">
        <f t="shared" si="13"/>
        <v>0</v>
      </c>
      <c r="BE41" s="39">
        <f t="shared" si="14"/>
        <v>0</v>
      </c>
      <c r="BF41" s="39">
        <f t="shared" si="15"/>
        <v>0</v>
      </c>
      <c r="BG41" s="19">
        <v>0</v>
      </c>
      <c r="BH41" s="19">
        <v>0</v>
      </c>
      <c r="BI41" s="19">
        <v>0</v>
      </c>
      <c r="BJ41" s="19">
        <v>0.0092</v>
      </c>
      <c r="BK41" s="19">
        <v>0</v>
      </c>
      <c r="BL41" s="19">
        <v>0</v>
      </c>
      <c r="BM41" s="19">
        <v>0</v>
      </c>
      <c r="BN41" s="19">
        <v>0</v>
      </c>
      <c r="BO41" s="19">
        <v>0</v>
      </c>
      <c r="BP41" s="19">
        <v>0</v>
      </c>
      <c r="BQ41" s="19">
        <v>0</v>
      </c>
      <c r="BR41" s="19">
        <v>0</v>
      </c>
      <c r="BS41" s="19">
        <v>0</v>
      </c>
      <c r="BT41" s="19">
        <v>0</v>
      </c>
      <c r="BU41" s="19">
        <v>0</v>
      </c>
      <c r="BV41" s="19">
        <v>0</v>
      </c>
      <c r="BW41" s="19">
        <v>0</v>
      </c>
      <c r="BX41" s="19">
        <v>0</v>
      </c>
      <c r="BY41" s="19">
        <v>0</v>
      </c>
      <c r="BZ41" s="34">
        <v>0</v>
      </c>
      <c r="CA41" s="18">
        <v>0</v>
      </c>
      <c r="CB41" s="20"/>
      <c r="CC41" s="36">
        <v>0</v>
      </c>
      <c r="CD41" s="34"/>
    </row>
    <row r="42" ht="19.5" customHeight="1" s="112" customFormat="1">
      <c r="A42" s="111">
        <v>28</v>
      </c>
      <c r="B42" s="35" t="str">
        <f t="shared" si="8"/>
      </c>
      <c r="C42" s="32">
        <v>19135</v>
      </c>
      <c r="D42" s="15" t="s">
        <v>182</v>
      </c>
      <c r="E42" s="1" t="s">
        <v>118</v>
      </c>
      <c r="F42" s="36" t="str">
        <f>IFERROR(VLOOKUP('A2 (Öhdəliklər)'!E42,List!A:B,2,0),"")</f>
      </c>
      <c r="G42" s="1" t="s">
        <v>119</v>
      </c>
      <c r="H42" s="36" t="str">
        <f>IFERROR(VLOOKUP('A2 (Öhdəliklər)'!G42,List!G:H,2,0),"")</f>
      </c>
      <c r="I42" s="1" t="s">
        <v>120</v>
      </c>
      <c r="J42" s="36" t="str">
        <f>IFERROR(VLOOKUP('A2 (Öhdəliklər)'!I42,List!C:D,2,0),"")</f>
      </c>
      <c r="K42" s="1" t="s">
        <v>175</v>
      </c>
      <c r="L42" s="36" t="str">
        <f>IFERROR(VLOOKUP('A2 (Öhdəliklər)'!K42,List!E:F,2,0),"")</f>
      </c>
      <c r="M42" s="1" t="s">
        <v>122</v>
      </c>
      <c r="N42" s="36" t="str">
        <f>IFERROR(VLOOKUP('A2 (Öhdəliklər)'!M42,List!M:N,2,0),"")</f>
      </c>
      <c r="O42" s="1"/>
      <c r="P42" s="36" t="str">
        <f>IFERROR(VLOOKUP('A2 (Öhdəliklər)'!O42,List!S:T,2,0),"")</f>
      </c>
      <c r="Q42" s="1"/>
      <c r="R42" s="36" t="str">
        <f>IFERROR(VLOOKUP('A2 (Öhdəliklər)'!Q42,List!K:L,2,0),"")</f>
      </c>
      <c r="S42" s="16" t="s">
        <v>123</v>
      </c>
      <c r="T42" s="16" t="s">
        <v>123</v>
      </c>
      <c r="U42" s="17" t="s">
        <v>201</v>
      </c>
      <c r="V42" s="17"/>
      <c r="W42" s="20"/>
      <c r="X42" s="18" t="s">
        <v>125</v>
      </c>
      <c r="Y42" s="1" t="s">
        <v>126</v>
      </c>
      <c r="Z42" s="36" t="str">
        <f>IFERROR(VLOOKUP('A2 (Öhdəliklər)'!Y42,List!O:P,2,0),"")</f>
      </c>
      <c r="AA42" s="19">
        <v>0</v>
      </c>
      <c r="AB42" s="19">
        <v>0</v>
      </c>
      <c r="AC42" s="37">
        <f t="shared" si="9"/>
        <v>0</v>
      </c>
      <c r="AD42" s="19" t="s">
        <v>202</v>
      </c>
      <c r="AE42" s="19">
        <v>0</v>
      </c>
      <c r="AF42" s="19">
        <v>0</v>
      </c>
      <c r="AG42" s="19">
        <v>0</v>
      </c>
      <c r="AH42" s="19">
        <v>0</v>
      </c>
      <c r="AI42" s="19" t="s">
        <v>128</v>
      </c>
      <c r="AJ42" s="19">
        <v>0</v>
      </c>
      <c r="AK42" s="19">
        <v>0</v>
      </c>
      <c r="AL42" s="19">
        <v>0</v>
      </c>
      <c r="AM42" s="19"/>
      <c r="AN42" s="19" t="s">
        <v>128</v>
      </c>
      <c r="AO42" s="19">
        <v>0</v>
      </c>
      <c r="AP42" s="19">
        <v>0</v>
      </c>
      <c r="AQ42" s="19">
        <v>0</v>
      </c>
      <c r="AR42" s="19">
        <v>0</v>
      </c>
      <c r="AS42" s="19">
        <v>0</v>
      </c>
      <c r="AT42" s="19">
        <v>0</v>
      </c>
      <c r="AU42" s="19">
        <v>0</v>
      </c>
      <c r="AV42" s="19">
        <v>0</v>
      </c>
      <c r="AW42" s="19">
        <v>0</v>
      </c>
      <c r="AX42" s="19">
        <v>0</v>
      </c>
      <c r="AY42" s="21" t="s">
        <v>129</v>
      </c>
      <c r="AZ42" s="36" t="str">
        <f>IFERROR(VLOOKUP('A2 (Öhdəliklər)'!AY42,List!Q:R,2,0),"")</f>
      </c>
      <c r="BA42" s="38">
        <f t="shared" si="10"/>
        <v>0</v>
      </c>
      <c r="BB42" s="38">
        <f t="shared" si="11"/>
        <v>0</v>
      </c>
      <c r="BC42" s="39">
        <f t="shared" si="12"/>
        <v>0.76</v>
      </c>
      <c r="BD42" s="39">
        <f t="shared" si="13"/>
        <v>0</v>
      </c>
      <c r="BE42" s="39">
        <f t="shared" si="14"/>
        <v>0</v>
      </c>
      <c r="BF42" s="39">
        <f t="shared" si="15"/>
        <v>0</v>
      </c>
      <c r="BG42" s="19">
        <v>0</v>
      </c>
      <c r="BH42" s="19">
        <v>0</v>
      </c>
      <c r="BI42" s="19">
        <v>0</v>
      </c>
      <c r="BJ42" s="19">
        <v>0.76</v>
      </c>
      <c r="BK42" s="19">
        <v>0</v>
      </c>
      <c r="BL42" s="19">
        <v>0</v>
      </c>
      <c r="BM42" s="19">
        <v>0</v>
      </c>
      <c r="BN42" s="19">
        <v>0</v>
      </c>
      <c r="BO42" s="19">
        <v>0</v>
      </c>
      <c r="BP42" s="19">
        <v>0</v>
      </c>
      <c r="BQ42" s="19">
        <v>0</v>
      </c>
      <c r="BR42" s="19">
        <v>0</v>
      </c>
      <c r="BS42" s="19">
        <v>0</v>
      </c>
      <c r="BT42" s="19">
        <v>0</v>
      </c>
      <c r="BU42" s="19">
        <v>0</v>
      </c>
      <c r="BV42" s="19">
        <v>0</v>
      </c>
      <c r="BW42" s="19">
        <v>0</v>
      </c>
      <c r="BX42" s="19">
        <v>0</v>
      </c>
      <c r="BY42" s="19">
        <v>0</v>
      </c>
      <c r="BZ42" s="34">
        <v>0</v>
      </c>
      <c r="CA42" s="18">
        <v>0</v>
      </c>
      <c r="CB42" s="20"/>
      <c r="CC42" s="36">
        <v>0</v>
      </c>
      <c r="CD42" s="34"/>
    </row>
    <row r="43" ht="19.5" customHeight="1" s="112" customFormat="1">
      <c r="A43" s="111">
        <v>29</v>
      </c>
      <c r="B43" s="35" t="str">
        <f t="shared" si="8"/>
      </c>
      <c r="C43" s="32">
        <v>19135</v>
      </c>
      <c r="D43" s="15" t="s">
        <v>174</v>
      </c>
      <c r="E43" s="1" t="s">
        <v>118</v>
      </c>
      <c r="F43" s="36" t="str">
        <f>IFERROR(VLOOKUP('A2 (Öhdəliklər)'!E43,List!A:B,2,0),"")</f>
      </c>
      <c r="G43" s="1" t="s">
        <v>119</v>
      </c>
      <c r="H43" s="36" t="str">
        <f>IFERROR(VLOOKUP('A2 (Öhdəliklər)'!G43,List!G:H,2,0),"")</f>
      </c>
      <c r="I43" s="1" t="s">
        <v>120</v>
      </c>
      <c r="J43" s="36" t="str">
        <f>IFERROR(VLOOKUP('A2 (Öhdəliklər)'!I43,List!C:D,2,0),"")</f>
      </c>
      <c r="K43" s="1" t="s">
        <v>175</v>
      </c>
      <c r="L43" s="36" t="str">
        <f>IFERROR(VLOOKUP('A2 (Öhdəliklər)'!K43,List!E:F,2,0),"")</f>
      </c>
      <c r="M43" s="1" t="s">
        <v>122</v>
      </c>
      <c r="N43" s="36" t="str">
        <f>IFERROR(VLOOKUP('A2 (Öhdəliklər)'!M43,List!M:N,2,0),"")</f>
      </c>
      <c r="O43" s="1"/>
      <c r="P43" s="36" t="str">
        <f>IFERROR(VLOOKUP('A2 (Öhdəliklər)'!O43,List!S:T,2,0),"")</f>
      </c>
      <c r="Q43" s="1"/>
      <c r="R43" s="36" t="str">
        <f>IFERROR(VLOOKUP('A2 (Öhdəliklər)'!Q43,List!K:L,2,0),"")</f>
      </c>
      <c r="S43" s="16" t="s">
        <v>123</v>
      </c>
      <c r="T43" s="16" t="s">
        <v>123</v>
      </c>
      <c r="U43" s="17" t="s">
        <v>201</v>
      </c>
      <c r="V43" s="17"/>
      <c r="W43" s="20"/>
      <c r="X43" s="18" t="s">
        <v>125</v>
      </c>
      <c r="Y43" s="1" t="s">
        <v>126</v>
      </c>
      <c r="Z43" s="36" t="str">
        <f>IFERROR(VLOOKUP('A2 (Öhdəliklər)'!Y43,List!O:P,2,0),"")</f>
      </c>
      <c r="AA43" s="19">
        <v>0</v>
      </c>
      <c r="AB43" s="19">
        <v>0</v>
      </c>
      <c r="AC43" s="37">
        <f t="shared" si="9"/>
        <v>0</v>
      </c>
      <c r="AD43" s="19" t="s">
        <v>203</v>
      </c>
      <c r="AE43" s="19">
        <v>0</v>
      </c>
      <c r="AF43" s="19">
        <v>0</v>
      </c>
      <c r="AG43" s="19">
        <v>0</v>
      </c>
      <c r="AH43" s="19">
        <v>0</v>
      </c>
      <c r="AI43" s="19" t="s">
        <v>128</v>
      </c>
      <c r="AJ43" s="19">
        <v>0</v>
      </c>
      <c r="AK43" s="19">
        <v>0</v>
      </c>
      <c r="AL43" s="19">
        <v>0</v>
      </c>
      <c r="AM43" s="19"/>
      <c r="AN43" s="19" t="s">
        <v>128</v>
      </c>
      <c r="AO43" s="19">
        <v>0</v>
      </c>
      <c r="AP43" s="19">
        <v>0</v>
      </c>
      <c r="AQ43" s="19">
        <v>0</v>
      </c>
      <c r="AR43" s="19">
        <v>0</v>
      </c>
      <c r="AS43" s="19">
        <v>0</v>
      </c>
      <c r="AT43" s="19">
        <v>0</v>
      </c>
      <c r="AU43" s="19">
        <v>0</v>
      </c>
      <c r="AV43" s="19">
        <v>0</v>
      </c>
      <c r="AW43" s="19">
        <v>0</v>
      </c>
      <c r="AX43" s="19">
        <v>0</v>
      </c>
      <c r="AY43" s="21" t="s">
        <v>129</v>
      </c>
      <c r="AZ43" s="36" t="str">
        <f>IFERROR(VLOOKUP('A2 (Öhdəliklər)'!AY43,List!Q:R,2,0),"")</f>
      </c>
      <c r="BA43" s="38">
        <f t="shared" si="10"/>
        <v>0</v>
      </c>
      <c r="BB43" s="38">
        <f t="shared" si="11"/>
        <v>0</v>
      </c>
      <c r="BC43" s="39">
        <f t="shared" si="12"/>
        <v>0.05614</v>
      </c>
      <c r="BD43" s="39">
        <f t="shared" si="13"/>
        <v>0</v>
      </c>
      <c r="BE43" s="39">
        <f t="shared" si="14"/>
        <v>0</v>
      </c>
      <c r="BF43" s="39">
        <f t="shared" si="15"/>
        <v>0</v>
      </c>
      <c r="BG43" s="19">
        <v>0</v>
      </c>
      <c r="BH43" s="19">
        <v>0</v>
      </c>
      <c r="BI43" s="19">
        <v>0</v>
      </c>
      <c r="BJ43" s="19">
        <v>0.05614</v>
      </c>
      <c r="BK43" s="19">
        <v>0</v>
      </c>
      <c r="BL43" s="19">
        <v>0</v>
      </c>
      <c r="BM43" s="19">
        <v>0</v>
      </c>
      <c r="BN43" s="19">
        <v>0</v>
      </c>
      <c r="BO43" s="19">
        <v>0</v>
      </c>
      <c r="BP43" s="19">
        <v>0</v>
      </c>
      <c r="BQ43" s="19">
        <v>0</v>
      </c>
      <c r="BR43" s="19">
        <v>0</v>
      </c>
      <c r="BS43" s="19">
        <v>0</v>
      </c>
      <c r="BT43" s="19">
        <v>0</v>
      </c>
      <c r="BU43" s="19">
        <v>0</v>
      </c>
      <c r="BV43" s="19">
        <v>0</v>
      </c>
      <c r="BW43" s="19">
        <v>0</v>
      </c>
      <c r="BX43" s="19">
        <v>0</v>
      </c>
      <c r="BY43" s="19">
        <v>0</v>
      </c>
      <c r="BZ43" s="34">
        <v>0</v>
      </c>
      <c r="CA43" s="18">
        <v>0</v>
      </c>
      <c r="CB43" s="20"/>
      <c r="CC43" s="36">
        <v>0</v>
      </c>
      <c r="CD43" s="34"/>
    </row>
    <row r="44" ht="19.5" customHeight="1" s="112" customFormat="1">
      <c r="A44" s="111">
        <v>30</v>
      </c>
      <c r="B44" s="35" t="str">
        <f t="shared" si="8"/>
      </c>
      <c r="C44" s="32">
        <v>19160</v>
      </c>
      <c r="D44" s="15" t="s">
        <v>174</v>
      </c>
      <c r="E44" s="1" t="s">
        <v>118</v>
      </c>
      <c r="F44" s="36" t="str">
        <f>IFERROR(VLOOKUP('A2 (Öhdəliklər)'!E44,List!A:B,2,0),"")</f>
      </c>
      <c r="G44" s="1" t="s">
        <v>119</v>
      </c>
      <c r="H44" s="36" t="str">
        <f>IFERROR(VLOOKUP('A2 (Öhdəliklər)'!G44,List!G:H,2,0),"")</f>
      </c>
      <c r="I44" s="1" t="s">
        <v>120</v>
      </c>
      <c r="J44" s="36" t="str">
        <f>IFERROR(VLOOKUP('A2 (Öhdəliklər)'!I44,List!C:D,2,0),"")</f>
      </c>
      <c r="K44" s="1" t="s">
        <v>175</v>
      </c>
      <c r="L44" s="36" t="str">
        <f>IFERROR(VLOOKUP('A2 (Öhdəliklər)'!K44,List!E:F,2,0),"")</f>
      </c>
      <c r="M44" s="1" t="s">
        <v>122</v>
      </c>
      <c r="N44" s="36" t="str">
        <f>IFERROR(VLOOKUP('A2 (Öhdəliklər)'!M44,List!M:N,2,0),"")</f>
      </c>
      <c r="O44" s="1"/>
      <c r="P44" s="36" t="str">
        <f>IFERROR(VLOOKUP('A2 (Öhdəliklər)'!O44,List!S:T,2,0),"")</f>
      </c>
      <c r="Q44" s="1"/>
      <c r="R44" s="36" t="str">
        <f>IFERROR(VLOOKUP('A2 (Öhdəliklər)'!Q44,List!K:L,2,0),"")</f>
      </c>
      <c r="S44" s="16" t="s">
        <v>123</v>
      </c>
      <c r="T44" s="16" t="s">
        <v>123</v>
      </c>
      <c r="U44" s="17" t="s">
        <v>204</v>
      </c>
      <c r="V44" s="17"/>
      <c r="W44" s="20"/>
      <c r="X44" s="18" t="s">
        <v>125</v>
      </c>
      <c r="Y44" s="1" t="s">
        <v>126</v>
      </c>
      <c r="Z44" s="36" t="str">
        <f>IFERROR(VLOOKUP('A2 (Öhdəliklər)'!Y44,List!O:P,2,0),"")</f>
      </c>
      <c r="AA44" s="19">
        <v>0</v>
      </c>
      <c r="AB44" s="19">
        <v>0</v>
      </c>
      <c r="AC44" s="37">
        <f t="shared" si="9"/>
        <v>0</v>
      </c>
      <c r="AD44" s="19" t="s">
        <v>205</v>
      </c>
      <c r="AE44" s="19">
        <v>0</v>
      </c>
      <c r="AF44" s="19">
        <v>0</v>
      </c>
      <c r="AG44" s="19">
        <v>0</v>
      </c>
      <c r="AH44" s="19">
        <v>0</v>
      </c>
      <c r="AI44" s="19" t="s">
        <v>128</v>
      </c>
      <c r="AJ44" s="19">
        <v>0</v>
      </c>
      <c r="AK44" s="19">
        <v>0</v>
      </c>
      <c r="AL44" s="19">
        <v>0</v>
      </c>
      <c r="AM44" s="19"/>
      <c r="AN44" s="19" t="s">
        <v>128</v>
      </c>
      <c r="AO44" s="19">
        <v>0</v>
      </c>
      <c r="AP44" s="19">
        <v>0</v>
      </c>
      <c r="AQ44" s="19">
        <v>0</v>
      </c>
      <c r="AR44" s="19">
        <v>0</v>
      </c>
      <c r="AS44" s="19">
        <v>0</v>
      </c>
      <c r="AT44" s="19">
        <v>0</v>
      </c>
      <c r="AU44" s="19">
        <v>0</v>
      </c>
      <c r="AV44" s="19">
        <v>0</v>
      </c>
      <c r="AW44" s="19">
        <v>0</v>
      </c>
      <c r="AX44" s="19">
        <v>0</v>
      </c>
      <c r="AY44" s="21" t="s">
        <v>129</v>
      </c>
      <c r="AZ44" s="36" t="str">
        <f>IFERROR(VLOOKUP('A2 (Öhdəliklər)'!AY44,List!Q:R,2,0),"")</f>
      </c>
      <c r="BA44" s="38">
        <f t="shared" si="10"/>
        <v>0</v>
      </c>
      <c r="BB44" s="38">
        <f t="shared" si="11"/>
        <v>0</v>
      </c>
      <c r="BC44" s="39">
        <f t="shared" si="12"/>
        <v>0.003</v>
      </c>
      <c r="BD44" s="39">
        <f t="shared" si="13"/>
        <v>0</v>
      </c>
      <c r="BE44" s="39">
        <f t="shared" si="14"/>
        <v>0</v>
      </c>
      <c r="BF44" s="39">
        <f t="shared" si="15"/>
        <v>0</v>
      </c>
      <c r="BG44" s="19">
        <v>0</v>
      </c>
      <c r="BH44" s="19">
        <v>0</v>
      </c>
      <c r="BI44" s="19">
        <v>0</v>
      </c>
      <c r="BJ44" s="19">
        <v>0.003</v>
      </c>
      <c r="BK44" s="19">
        <v>0</v>
      </c>
      <c r="BL44" s="19">
        <v>0</v>
      </c>
      <c r="BM44" s="19">
        <v>0</v>
      </c>
      <c r="BN44" s="19">
        <v>0</v>
      </c>
      <c r="BO44" s="19">
        <v>0</v>
      </c>
      <c r="BP44" s="19">
        <v>0</v>
      </c>
      <c r="BQ44" s="19">
        <v>0</v>
      </c>
      <c r="BR44" s="19">
        <v>0</v>
      </c>
      <c r="BS44" s="19">
        <v>0</v>
      </c>
      <c r="BT44" s="19">
        <v>0</v>
      </c>
      <c r="BU44" s="19">
        <v>0</v>
      </c>
      <c r="BV44" s="19">
        <v>0</v>
      </c>
      <c r="BW44" s="19">
        <v>0</v>
      </c>
      <c r="BX44" s="19">
        <v>0</v>
      </c>
      <c r="BY44" s="19">
        <v>0</v>
      </c>
      <c r="BZ44" s="34">
        <v>0</v>
      </c>
      <c r="CA44" s="18">
        <v>0</v>
      </c>
      <c r="CB44" s="20"/>
      <c r="CC44" s="36">
        <v>0</v>
      </c>
      <c r="CD44" s="34"/>
    </row>
    <row r="45" ht="19.5" customHeight="1" s="112" customFormat="1">
      <c r="A45" s="111">
        <v>31</v>
      </c>
      <c r="B45" s="35" t="str">
        <f t="shared" si="8"/>
      </c>
      <c r="C45" s="32">
        <v>19164</v>
      </c>
      <c r="D45" s="15" t="s">
        <v>174</v>
      </c>
      <c r="E45" s="1" t="s">
        <v>118</v>
      </c>
      <c r="F45" s="36" t="str">
        <f>IFERROR(VLOOKUP('A2 (Öhdəliklər)'!E45,List!A:B,2,0),"")</f>
      </c>
      <c r="G45" s="1" t="s">
        <v>119</v>
      </c>
      <c r="H45" s="36" t="str">
        <f>IFERROR(VLOOKUP('A2 (Öhdəliklər)'!G45,List!G:H,2,0),"")</f>
      </c>
      <c r="I45" s="1" t="s">
        <v>120</v>
      </c>
      <c r="J45" s="36" t="str">
        <f>IFERROR(VLOOKUP('A2 (Öhdəliklər)'!I45,List!C:D,2,0),"")</f>
      </c>
      <c r="K45" s="1" t="s">
        <v>175</v>
      </c>
      <c r="L45" s="36" t="str">
        <f>IFERROR(VLOOKUP('A2 (Öhdəliklər)'!K45,List!E:F,2,0),"")</f>
      </c>
      <c r="M45" s="1" t="s">
        <v>122</v>
      </c>
      <c r="N45" s="36" t="str">
        <f>IFERROR(VLOOKUP('A2 (Öhdəliklər)'!M45,List!M:N,2,0),"")</f>
      </c>
      <c r="O45" s="1"/>
      <c r="P45" s="36" t="str">
        <f>IFERROR(VLOOKUP('A2 (Öhdəliklər)'!O45,List!S:T,2,0),"")</f>
      </c>
      <c r="Q45" s="1"/>
      <c r="R45" s="36" t="str">
        <f>IFERROR(VLOOKUP('A2 (Öhdəliklər)'!Q45,List!K:L,2,0),"")</f>
      </c>
      <c r="S45" s="16" t="s">
        <v>123</v>
      </c>
      <c r="T45" s="16" t="s">
        <v>123</v>
      </c>
      <c r="U45" s="17" t="s">
        <v>204</v>
      </c>
      <c r="V45" s="17"/>
      <c r="W45" s="20"/>
      <c r="X45" s="18" t="s">
        <v>125</v>
      </c>
      <c r="Y45" s="1" t="s">
        <v>126</v>
      </c>
      <c r="Z45" s="36" t="str">
        <f>IFERROR(VLOOKUP('A2 (Öhdəliklər)'!Y45,List!O:P,2,0),"")</f>
      </c>
      <c r="AA45" s="19">
        <v>0</v>
      </c>
      <c r="AB45" s="19">
        <v>0</v>
      </c>
      <c r="AC45" s="37">
        <f t="shared" si="9"/>
        <v>0</v>
      </c>
      <c r="AD45" s="19" t="s">
        <v>206</v>
      </c>
      <c r="AE45" s="19">
        <v>0</v>
      </c>
      <c r="AF45" s="19">
        <v>0</v>
      </c>
      <c r="AG45" s="19">
        <v>0</v>
      </c>
      <c r="AH45" s="19">
        <v>0</v>
      </c>
      <c r="AI45" s="19" t="s">
        <v>128</v>
      </c>
      <c r="AJ45" s="19">
        <v>0</v>
      </c>
      <c r="AK45" s="19">
        <v>0</v>
      </c>
      <c r="AL45" s="19">
        <v>0</v>
      </c>
      <c r="AM45" s="19"/>
      <c r="AN45" s="19" t="s">
        <v>128</v>
      </c>
      <c r="AO45" s="19">
        <v>0</v>
      </c>
      <c r="AP45" s="19">
        <v>0</v>
      </c>
      <c r="AQ45" s="19">
        <v>0</v>
      </c>
      <c r="AR45" s="19">
        <v>0</v>
      </c>
      <c r="AS45" s="19">
        <v>0</v>
      </c>
      <c r="AT45" s="19">
        <v>0</v>
      </c>
      <c r="AU45" s="19">
        <v>0</v>
      </c>
      <c r="AV45" s="19">
        <v>0</v>
      </c>
      <c r="AW45" s="19">
        <v>0</v>
      </c>
      <c r="AX45" s="19">
        <v>0</v>
      </c>
      <c r="AY45" s="21" t="s">
        <v>129</v>
      </c>
      <c r="AZ45" s="36" t="str">
        <f>IFERROR(VLOOKUP('A2 (Öhdəliklər)'!AY45,List!Q:R,2,0),"")</f>
      </c>
      <c r="BA45" s="38">
        <f t="shared" si="10"/>
        <v>0</v>
      </c>
      <c r="BB45" s="38">
        <f t="shared" si="11"/>
        <v>0</v>
      </c>
      <c r="BC45" s="39">
        <f t="shared" si="12"/>
        <v>0.00694</v>
      </c>
      <c r="BD45" s="39">
        <f t="shared" si="13"/>
        <v>0</v>
      </c>
      <c r="BE45" s="39">
        <f t="shared" si="14"/>
        <v>0</v>
      </c>
      <c r="BF45" s="39">
        <f t="shared" si="15"/>
        <v>0</v>
      </c>
      <c r="BG45" s="19">
        <v>0</v>
      </c>
      <c r="BH45" s="19">
        <v>0</v>
      </c>
      <c r="BI45" s="19">
        <v>0</v>
      </c>
      <c r="BJ45" s="19">
        <v>0.00694</v>
      </c>
      <c r="BK45" s="19">
        <v>0</v>
      </c>
      <c r="BL45" s="19">
        <v>0</v>
      </c>
      <c r="BM45" s="19">
        <v>0</v>
      </c>
      <c r="BN45" s="19">
        <v>0</v>
      </c>
      <c r="BO45" s="19">
        <v>0</v>
      </c>
      <c r="BP45" s="19">
        <v>0</v>
      </c>
      <c r="BQ45" s="19">
        <v>0</v>
      </c>
      <c r="BR45" s="19">
        <v>0</v>
      </c>
      <c r="BS45" s="19">
        <v>0</v>
      </c>
      <c r="BT45" s="19">
        <v>0</v>
      </c>
      <c r="BU45" s="19">
        <v>0</v>
      </c>
      <c r="BV45" s="19">
        <v>0</v>
      </c>
      <c r="BW45" s="19">
        <v>0</v>
      </c>
      <c r="BX45" s="19">
        <v>0</v>
      </c>
      <c r="BY45" s="19">
        <v>0</v>
      </c>
      <c r="BZ45" s="34">
        <v>0</v>
      </c>
      <c r="CA45" s="18">
        <v>0</v>
      </c>
      <c r="CB45" s="20"/>
      <c r="CC45" s="36">
        <v>0</v>
      </c>
      <c r="CD45" s="34"/>
    </row>
    <row r="46" ht="19.5" customHeight="1" s="112" customFormat="1">
      <c r="A46" s="111">
        <v>32</v>
      </c>
      <c r="B46" s="35" t="str">
        <f t="shared" si="8"/>
      </c>
      <c r="C46" s="32">
        <v>19200</v>
      </c>
      <c r="D46" s="15" t="s">
        <v>174</v>
      </c>
      <c r="E46" s="1" t="s">
        <v>118</v>
      </c>
      <c r="F46" s="36" t="str">
        <f>IFERROR(VLOOKUP('A2 (Öhdəliklər)'!E46,List!A:B,2,0),"")</f>
      </c>
      <c r="G46" s="1" t="s">
        <v>119</v>
      </c>
      <c r="H46" s="36" t="str">
        <f>IFERROR(VLOOKUP('A2 (Öhdəliklər)'!G46,List!G:H,2,0),"")</f>
      </c>
      <c r="I46" s="1" t="s">
        <v>120</v>
      </c>
      <c r="J46" s="36" t="str">
        <f>IFERROR(VLOOKUP('A2 (Öhdəliklər)'!I46,List!C:D,2,0),"")</f>
      </c>
      <c r="K46" s="1" t="s">
        <v>175</v>
      </c>
      <c r="L46" s="36" t="str">
        <f>IFERROR(VLOOKUP('A2 (Öhdəliklər)'!K46,List!E:F,2,0),"")</f>
      </c>
      <c r="M46" s="1" t="s">
        <v>122</v>
      </c>
      <c r="N46" s="36" t="str">
        <f>IFERROR(VLOOKUP('A2 (Öhdəliklər)'!M46,List!M:N,2,0),"")</f>
      </c>
      <c r="O46" s="1"/>
      <c r="P46" s="36" t="str">
        <f>IFERROR(VLOOKUP('A2 (Öhdəliklər)'!O46,List!S:T,2,0),"")</f>
      </c>
      <c r="Q46" s="1"/>
      <c r="R46" s="36" t="str">
        <f>IFERROR(VLOOKUP('A2 (Öhdəliklər)'!Q46,List!K:L,2,0),"")</f>
      </c>
      <c r="S46" s="16" t="s">
        <v>123</v>
      </c>
      <c r="T46" s="16" t="s">
        <v>123</v>
      </c>
      <c r="U46" s="17" t="s">
        <v>207</v>
      </c>
      <c r="V46" s="17"/>
      <c r="W46" s="20"/>
      <c r="X46" s="18" t="s">
        <v>125</v>
      </c>
      <c r="Y46" s="1" t="s">
        <v>126</v>
      </c>
      <c r="Z46" s="36" t="str">
        <f>IFERROR(VLOOKUP('A2 (Öhdəliklər)'!Y46,List!O:P,2,0),"")</f>
      </c>
      <c r="AA46" s="19">
        <v>0</v>
      </c>
      <c r="AB46" s="19">
        <v>0</v>
      </c>
      <c r="AC46" s="37">
        <f t="shared" si="9"/>
        <v>0</v>
      </c>
      <c r="AD46" s="19" t="s">
        <v>208</v>
      </c>
      <c r="AE46" s="19">
        <v>0</v>
      </c>
      <c r="AF46" s="19">
        <v>0</v>
      </c>
      <c r="AG46" s="19">
        <v>0</v>
      </c>
      <c r="AH46" s="19">
        <v>0</v>
      </c>
      <c r="AI46" s="19" t="s">
        <v>128</v>
      </c>
      <c r="AJ46" s="19">
        <v>0</v>
      </c>
      <c r="AK46" s="19">
        <v>0</v>
      </c>
      <c r="AL46" s="19">
        <v>0</v>
      </c>
      <c r="AM46" s="19"/>
      <c r="AN46" s="19" t="s">
        <v>128</v>
      </c>
      <c r="AO46" s="19">
        <v>0</v>
      </c>
      <c r="AP46" s="19">
        <v>0</v>
      </c>
      <c r="AQ46" s="19">
        <v>0</v>
      </c>
      <c r="AR46" s="19">
        <v>0</v>
      </c>
      <c r="AS46" s="19">
        <v>0</v>
      </c>
      <c r="AT46" s="19">
        <v>0</v>
      </c>
      <c r="AU46" s="19">
        <v>0</v>
      </c>
      <c r="AV46" s="19">
        <v>0</v>
      </c>
      <c r="AW46" s="19">
        <v>0</v>
      </c>
      <c r="AX46" s="19">
        <v>0</v>
      </c>
      <c r="AY46" s="21" t="s">
        <v>129</v>
      </c>
      <c r="AZ46" s="36" t="str">
        <f>IFERROR(VLOOKUP('A2 (Öhdəliklər)'!AY46,List!Q:R,2,0),"")</f>
      </c>
      <c r="BA46" s="38">
        <f t="shared" si="10"/>
        <v>0</v>
      </c>
      <c r="BB46" s="38">
        <f t="shared" si="11"/>
        <v>0</v>
      </c>
      <c r="BC46" s="39">
        <f t="shared" si="12"/>
        <v>0.00589</v>
      </c>
      <c r="BD46" s="39">
        <f t="shared" si="13"/>
        <v>0</v>
      </c>
      <c r="BE46" s="39">
        <f t="shared" si="14"/>
        <v>0</v>
      </c>
      <c r="BF46" s="39">
        <f t="shared" si="15"/>
        <v>0</v>
      </c>
      <c r="BG46" s="19">
        <v>0</v>
      </c>
      <c r="BH46" s="19">
        <v>0</v>
      </c>
      <c r="BI46" s="19">
        <v>0</v>
      </c>
      <c r="BJ46" s="19">
        <v>0.00589</v>
      </c>
      <c r="BK46" s="19">
        <v>0</v>
      </c>
      <c r="BL46" s="19">
        <v>0</v>
      </c>
      <c r="BM46" s="19">
        <v>0</v>
      </c>
      <c r="BN46" s="19">
        <v>0</v>
      </c>
      <c r="BO46" s="19">
        <v>0</v>
      </c>
      <c r="BP46" s="19">
        <v>0</v>
      </c>
      <c r="BQ46" s="19">
        <v>0</v>
      </c>
      <c r="BR46" s="19">
        <v>0</v>
      </c>
      <c r="BS46" s="19">
        <v>0</v>
      </c>
      <c r="BT46" s="19">
        <v>0</v>
      </c>
      <c r="BU46" s="19">
        <v>0</v>
      </c>
      <c r="BV46" s="19">
        <v>0</v>
      </c>
      <c r="BW46" s="19">
        <v>0</v>
      </c>
      <c r="BX46" s="19">
        <v>0</v>
      </c>
      <c r="BY46" s="19">
        <v>0</v>
      </c>
      <c r="BZ46" s="34">
        <v>0</v>
      </c>
      <c r="CA46" s="18">
        <v>0</v>
      </c>
      <c r="CB46" s="20"/>
      <c r="CC46" s="36">
        <v>0</v>
      </c>
      <c r="CD46" s="34"/>
    </row>
    <row r="47" ht="19.5" customHeight="1" s="112" customFormat="1">
      <c r="A47" s="111">
        <v>33</v>
      </c>
      <c r="B47" s="35" t="str">
        <f t="shared" si="8"/>
      </c>
      <c r="C47" s="32">
        <v>19206</v>
      </c>
      <c r="D47" s="15" t="s">
        <v>174</v>
      </c>
      <c r="E47" s="1" t="s">
        <v>118</v>
      </c>
      <c r="F47" s="36" t="str">
        <f>IFERROR(VLOOKUP('A2 (Öhdəliklər)'!E47,List!A:B,2,0),"")</f>
      </c>
      <c r="G47" s="1" t="s">
        <v>119</v>
      </c>
      <c r="H47" s="36" t="str">
        <f>IFERROR(VLOOKUP('A2 (Öhdəliklər)'!G47,List!G:H,2,0),"")</f>
      </c>
      <c r="I47" s="1" t="s">
        <v>120</v>
      </c>
      <c r="J47" s="36" t="str">
        <f>IFERROR(VLOOKUP('A2 (Öhdəliklər)'!I47,List!C:D,2,0),"")</f>
      </c>
      <c r="K47" s="1" t="s">
        <v>175</v>
      </c>
      <c r="L47" s="36" t="str">
        <f>IFERROR(VLOOKUP('A2 (Öhdəliklər)'!K47,List!E:F,2,0),"")</f>
      </c>
      <c r="M47" s="1" t="s">
        <v>122</v>
      </c>
      <c r="N47" s="36" t="str">
        <f>IFERROR(VLOOKUP('A2 (Öhdəliklər)'!M47,List!M:N,2,0),"")</f>
      </c>
      <c r="O47" s="1"/>
      <c r="P47" s="36" t="str">
        <f>IFERROR(VLOOKUP('A2 (Öhdəliklər)'!O47,List!S:T,2,0),"")</f>
      </c>
      <c r="Q47" s="1"/>
      <c r="R47" s="36" t="str">
        <f>IFERROR(VLOOKUP('A2 (Öhdəliklər)'!Q47,List!K:L,2,0),"")</f>
      </c>
      <c r="S47" s="16" t="s">
        <v>123</v>
      </c>
      <c r="T47" s="16" t="s">
        <v>123</v>
      </c>
      <c r="U47" s="17" t="s">
        <v>209</v>
      </c>
      <c r="V47" s="17"/>
      <c r="W47" s="20"/>
      <c r="X47" s="18" t="s">
        <v>125</v>
      </c>
      <c r="Y47" s="1" t="s">
        <v>126</v>
      </c>
      <c r="Z47" s="36" t="str">
        <f>IFERROR(VLOOKUP('A2 (Öhdəliklər)'!Y47,List!O:P,2,0),"")</f>
      </c>
      <c r="AA47" s="19">
        <v>0</v>
      </c>
      <c r="AB47" s="19">
        <v>0</v>
      </c>
      <c r="AC47" s="37">
        <f t="shared" si="9"/>
        <v>0</v>
      </c>
      <c r="AD47" s="19" t="s">
        <v>210</v>
      </c>
      <c r="AE47" s="19">
        <v>0</v>
      </c>
      <c r="AF47" s="19">
        <v>0</v>
      </c>
      <c r="AG47" s="19">
        <v>0</v>
      </c>
      <c r="AH47" s="19">
        <v>0</v>
      </c>
      <c r="AI47" s="19" t="s">
        <v>128</v>
      </c>
      <c r="AJ47" s="19">
        <v>0</v>
      </c>
      <c r="AK47" s="19">
        <v>0</v>
      </c>
      <c r="AL47" s="19">
        <v>0</v>
      </c>
      <c r="AM47" s="19"/>
      <c r="AN47" s="19" t="s">
        <v>128</v>
      </c>
      <c r="AO47" s="19">
        <v>0</v>
      </c>
      <c r="AP47" s="19">
        <v>0</v>
      </c>
      <c r="AQ47" s="19">
        <v>0</v>
      </c>
      <c r="AR47" s="19">
        <v>0</v>
      </c>
      <c r="AS47" s="19">
        <v>0</v>
      </c>
      <c r="AT47" s="19">
        <v>0</v>
      </c>
      <c r="AU47" s="19">
        <v>0</v>
      </c>
      <c r="AV47" s="19">
        <v>0</v>
      </c>
      <c r="AW47" s="19">
        <v>0</v>
      </c>
      <c r="AX47" s="19">
        <v>0</v>
      </c>
      <c r="AY47" s="21" t="s">
        <v>129</v>
      </c>
      <c r="AZ47" s="36" t="str">
        <f>IFERROR(VLOOKUP('A2 (Öhdəliklər)'!AY47,List!Q:R,2,0),"")</f>
      </c>
      <c r="BA47" s="38">
        <f t="shared" si="10"/>
        <v>0</v>
      </c>
      <c r="BB47" s="38">
        <f t="shared" si="11"/>
        <v>0</v>
      </c>
      <c r="BC47" s="39">
        <f t="shared" si="12"/>
        <v>0.04622</v>
      </c>
      <c r="BD47" s="39">
        <f t="shared" si="13"/>
        <v>0</v>
      </c>
      <c r="BE47" s="39">
        <f t="shared" si="14"/>
        <v>0</v>
      </c>
      <c r="BF47" s="39">
        <f t="shared" si="15"/>
        <v>0</v>
      </c>
      <c r="BG47" s="19">
        <v>0</v>
      </c>
      <c r="BH47" s="19">
        <v>0</v>
      </c>
      <c r="BI47" s="19">
        <v>0</v>
      </c>
      <c r="BJ47" s="19">
        <v>0.04622</v>
      </c>
      <c r="BK47" s="19">
        <v>0</v>
      </c>
      <c r="BL47" s="19">
        <v>0</v>
      </c>
      <c r="BM47" s="19">
        <v>0</v>
      </c>
      <c r="BN47" s="19">
        <v>0</v>
      </c>
      <c r="BO47" s="19">
        <v>0</v>
      </c>
      <c r="BP47" s="19">
        <v>0</v>
      </c>
      <c r="BQ47" s="19">
        <v>0</v>
      </c>
      <c r="BR47" s="19">
        <v>0</v>
      </c>
      <c r="BS47" s="19">
        <v>0</v>
      </c>
      <c r="BT47" s="19">
        <v>0</v>
      </c>
      <c r="BU47" s="19">
        <v>0</v>
      </c>
      <c r="BV47" s="19">
        <v>0</v>
      </c>
      <c r="BW47" s="19">
        <v>0</v>
      </c>
      <c r="BX47" s="19">
        <v>0</v>
      </c>
      <c r="BY47" s="19">
        <v>0</v>
      </c>
      <c r="BZ47" s="34">
        <v>0</v>
      </c>
      <c r="CA47" s="18">
        <v>0</v>
      </c>
      <c r="CB47" s="20"/>
      <c r="CC47" s="36">
        <v>0</v>
      </c>
      <c r="CD47" s="34"/>
    </row>
    <row r="48" ht="19.5" customHeight="1" s="112" customFormat="1">
      <c r="A48" s="111">
        <v>34</v>
      </c>
      <c r="B48" s="35" t="str">
        <f t="shared" si="8"/>
      </c>
      <c r="C48" s="32">
        <v>19216</v>
      </c>
      <c r="D48" s="15" t="s">
        <v>174</v>
      </c>
      <c r="E48" s="1" t="s">
        <v>118</v>
      </c>
      <c r="F48" s="36" t="str">
        <f>IFERROR(VLOOKUP('A2 (Öhdəliklər)'!E48,List!A:B,2,0),"")</f>
      </c>
      <c r="G48" s="1" t="s">
        <v>119</v>
      </c>
      <c r="H48" s="36" t="str">
        <f>IFERROR(VLOOKUP('A2 (Öhdəliklər)'!G48,List!G:H,2,0),"")</f>
      </c>
      <c r="I48" s="1" t="s">
        <v>120</v>
      </c>
      <c r="J48" s="36" t="str">
        <f>IFERROR(VLOOKUP('A2 (Öhdəliklər)'!I48,List!C:D,2,0),"")</f>
      </c>
      <c r="K48" s="1" t="s">
        <v>175</v>
      </c>
      <c r="L48" s="36" t="str">
        <f>IFERROR(VLOOKUP('A2 (Öhdəliklər)'!K48,List!E:F,2,0),"")</f>
      </c>
      <c r="M48" s="1" t="s">
        <v>122</v>
      </c>
      <c r="N48" s="36" t="str">
        <f>IFERROR(VLOOKUP('A2 (Öhdəliklər)'!M48,List!M:N,2,0),"")</f>
      </c>
      <c r="O48" s="1"/>
      <c r="P48" s="36" t="str">
        <f>IFERROR(VLOOKUP('A2 (Öhdəliklər)'!O48,List!S:T,2,0),"")</f>
      </c>
      <c r="Q48" s="1"/>
      <c r="R48" s="36" t="str">
        <f>IFERROR(VLOOKUP('A2 (Öhdəliklər)'!Q48,List!K:L,2,0),"")</f>
      </c>
      <c r="S48" s="16" t="s">
        <v>123</v>
      </c>
      <c r="T48" s="16" t="s">
        <v>123</v>
      </c>
      <c r="U48" s="17" t="s">
        <v>211</v>
      </c>
      <c r="V48" s="17"/>
      <c r="W48" s="20"/>
      <c r="X48" s="18" t="s">
        <v>125</v>
      </c>
      <c r="Y48" s="1" t="s">
        <v>126</v>
      </c>
      <c r="Z48" s="36" t="str">
        <f>IFERROR(VLOOKUP('A2 (Öhdəliklər)'!Y48,List!O:P,2,0),"")</f>
      </c>
      <c r="AA48" s="19">
        <v>0</v>
      </c>
      <c r="AB48" s="19">
        <v>0</v>
      </c>
      <c r="AC48" s="37">
        <f t="shared" si="9"/>
        <v>0</v>
      </c>
      <c r="AD48" s="19" t="s">
        <v>212</v>
      </c>
      <c r="AE48" s="19">
        <v>0</v>
      </c>
      <c r="AF48" s="19">
        <v>0</v>
      </c>
      <c r="AG48" s="19">
        <v>0</v>
      </c>
      <c r="AH48" s="19">
        <v>0</v>
      </c>
      <c r="AI48" s="19" t="s">
        <v>128</v>
      </c>
      <c r="AJ48" s="19">
        <v>0</v>
      </c>
      <c r="AK48" s="19">
        <v>0</v>
      </c>
      <c r="AL48" s="19">
        <v>0</v>
      </c>
      <c r="AM48" s="19"/>
      <c r="AN48" s="19" t="s">
        <v>128</v>
      </c>
      <c r="AO48" s="19">
        <v>0</v>
      </c>
      <c r="AP48" s="19">
        <v>0</v>
      </c>
      <c r="AQ48" s="19">
        <v>0</v>
      </c>
      <c r="AR48" s="19">
        <v>0</v>
      </c>
      <c r="AS48" s="19">
        <v>0</v>
      </c>
      <c r="AT48" s="19">
        <v>0</v>
      </c>
      <c r="AU48" s="19">
        <v>0</v>
      </c>
      <c r="AV48" s="19">
        <v>0</v>
      </c>
      <c r="AW48" s="19">
        <v>0</v>
      </c>
      <c r="AX48" s="19">
        <v>0</v>
      </c>
      <c r="AY48" s="21" t="s">
        <v>129</v>
      </c>
      <c r="AZ48" s="36" t="str">
        <f>IFERROR(VLOOKUP('A2 (Öhdəliklər)'!AY48,List!Q:R,2,0),"")</f>
      </c>
      <c r="BA48" s="38">
        <f t="shared" si="10"/>
        <v>0</v>
      </c>
      <c r="BB48" s="38">
        <f t="shared" si="11"/>
        <v>0</v>
      </c>
      <c r="BC48" s="39">
        <f t="shared" si="12"/>
        <v>0.00361</v>
      </c>
      <c r="BD48" s="39">
        <f t="shared" si="13"/>
        <v>0</v>
      </c>
      <c r="BE48" s="39">
        <f t="shared" si="14"/>
        <v>0</v>
      </c>
      <c r="BF48" s="39">
        <f t="shared" si="15"/>
        <v>0</v>
      </c>
      <c r="BG48" s="19">
        <v>0</v>
      </c>
      <c r="BH48" s="19">
        <v>0</v>
      </c>
      <c r="BI48" s="19">
        <v>0</v>
      </c>
      <c r="BJ48" s="19">
        <v>0.00361</v>
      </c>
      <c r="BK48" s="19">
        <v>0</v>
      </c>
      <c r="BL48" s="19">
        <v>0</v>
      </c>
      <c r="BM48" s="19">
        <v>0</v>
      </c>
      <c r="BN48" s="19">
        <v>0</v>
      </c>
      <c r="BO48" s="19">
        <v>0</v>
      </c>
      <c r="BP48" s="19">
        <v>0</v>
      </c>
      <c r="BQ48" s="19">
        <v>0</v>
      </c>
      <c r="BR48" s="19">
        <v>0</v>
      </c>
      <c r="BS48" s="19">
        <v>0</v>
      </c>
      <c r="BT48" s="19">
        <v>0</v>
      </c>
      <c r="BU48" s="19">
        <v>0</v>
      </c>
      <c r="BV48" s="19">
        <v>0</v>
      </c>
      <c r="BW48" s="19">
        <v>0</v>
      </c>
      <c r="BX48" s="19">
        <v>0</v>
      </c>
      <c r="BY48" s="19">
        <v>0</v>
      </c>
      <c r="BZ48" s="34">
        <v>0</v>
      </c>
      <c r="CA48" s="18">
        <v>0</v>
      </c>
      <c r="CB48" s="20"/>
      <c r="CC48" s="36">
        <v>0</v>
      </c>
      <c r="CD48" s="34"/>
    </row>
    <row r="49" ht="19.5" customHeight="1" s="112" customFormat="1">
      <c r="A49" s="111">
        <v>35</v>
      </c>
      <c r="B49" s="35" t="str">
        <f t="shared" si="8"/>
      </c>
      <c r="C49" s="32">
        <v>19217</v>
      </c>
      <c r="D49" s="15" t="s">
        <v>174</v>
      </c>
      <c r="E49" s="1" t="s">
        <v>118</v>
      </c>
      <c r="F49" s="36" t="str">
        <f>IFERROR(VLOOKUP('A2 (Öhdəliklər)'!E49,List!A:B,2,0),"")</f>
      </c>
      <c r="G49" s="1" t="s">
        <v>119</v>
      </c>
      <c r="H49" s="36" t="str">
        <f>IFERROR(VLOOKUP('A2 (Öhdəliklər)'!G49,List!G:H,2,0),"")</f>
      </c>
      <c r="I49" s="1" t="s">
        <v>120</v>
      </c>
      <c r="J49" s="36" t="str">
        <f>IFERROR(VLOOKUP('A2 (Öhdəliklər)'!I49,List!C:D,2,0),"")</f>
      </c>
      <c r="K49" s="1" t="s">
        <v>175</v>
      </c>
      <c r="L49" s="36" t="str">
        <f>IFERROR(VLOOKUP('A2 (Öhdəliklər)'!K49,List!E:F,2,0),"")</f>
      </c>
      <c r="M49" s="1" t="s">
        <v>122</v>
      </c>
      <c r="N49" s="36" t="str">
        <f>IFERROR(VLOOKUP('A2 (Öhdəliklər)'!M49,List!M:N,2,0),"")</f>
      </c>
      <c r="O49" s="1"/>
      <c r="P49" s="36" t="str">
        <f>IFERROR(VLOOKUP('A2 (Öhdəliklər)'!O49,List!S:T,2,0),"")</f>
      </c>
      <c r="Q49" s="1"/>
      <c r="R49" s="36" t="str">
        <f>IFERROR(VLOOKUP('A2 (Öhdəliklər)'!Q49,List!K:L,2,0),"")</f>
      </c>
      <c r="S49" s="16" t="s">
        <v>123</v>
      </c>
      <c r="T49" s="16" t="s">
        <v>123</v>
      </c>
      <c r="U49" s="17" t="s">
        <v>211</v>
      </c>
      <c r="V49" s="17"/>
      <c r="W49" s="20"/>
      <c r="X49" s="18" t="s">
        <v>125</v>
      </c>
      <c r="Y49" s="1" t="s">
        <v>126</v>
      </c>
      <c r="Z49" s="36" t="str">
        <f>IFERROR(VLOOKUP('A2 (Öhdəliklər)'!Y49,List!O:P,2,0),"")</f>
      </c>
      <c r="AA49" s="19">
        <v>0</v>
      </c>
      <c r="AB49" s="19">
        <v>0</v>
      </c>
      <c r="AC49" s="37">
        <f t="shared" si="9"/>
        <v>0</v>
      </c>
      <c r="AD49" s="19" t="s">
        <v>213</v>
      </c>
      <c r="AE49" s="19">
        <v>0</v>
      </c>
      <c r="AF49" s="19">
        <v>0</v>
      </c>
      <c r="AG49" s="19">
        <v>0</v>
      </c>
      <c r="AH49" s="19">
        <v>0</v>
      </c>
      <c r="AI49" s="19" t="s">
        <v>128</v>
      </c>
      <c r="AJ49" s="19">
        <v>0</v>
      </c>
      <c r="AK49" s="19">
        <v>0</v>
      </c>
      <c r="AL49" s="19">
        <v>0</v>
      </c>
      <c r="AM49" s="19"/>
      <c r="AN49" s="19" t="s">
        <v>128</v>
      </c>
      <c r="AO49" s="19">
        <v>0</v>
      </c>
      <c r="AP49" s="19">
        <v>0</v>
      </c>
      <c r="AQ49" s="19">
        <v>0</v>
      </c>
      <c r="AR49" s="19">
        <v>0</v>
      </c>
      <c r="AS49" s="19">
        <v>0</v>
      </c>
      <c r="AT49" s="19">
        <v>0</v>
      </c>
      <c r="AU49" s="19">
        <v>0</v>
      </c>
      <c r="AV49" s="19">
        <v>0</v>
      </c>
      <c r="AW49" s="19">
        <v>0</v>
      </c>
      <c r="AX49" s="19">
        <v>0</v>
      </c>
      <c r="AY49" s="21" t="s">
        <v>129</v>
      </c>
      <c r="AZ49" s="36" t="str">
        <f>IFERROR(VLOOKUP('A2 (Öhdəliklər)'!AY49,List!Q:R,2,0),"")</f>
      </c>
      <c r="BA49" s="38">
        <f t="shared" si="10"/>
        <v>0</v>
      </c>
      <c r="BB49" s="38">
        <f t="shared" si="11"/>
        <v>0</v>
      </c>
      <c r="BC49" s="39">
        <f t="shared" si="12"/>
        <v>0.00491</v>
      </c>
      <c r="BD49" s="39">
        <f t="shared" si="13"/>
        <v>0</v>
      </c>
      <c r="BE49" s="39">
        <f t="shared" si="14"/>
        <v>0</v>
      </c>
      <c r="BF49" s="39">
        <f t="shared" si="15"/>
        <v>0</v>
      </c>
      <c r="BG49" s="19">
        <v>0</v>
      </c>
      <c r="BH49" s="19">
        <v>0</v>
      </c>
      <c r="BI49" s="19">
        <v>0</v>
      </c>
      <c r="BJ49" s="19">
        <v>0.00491</v>
      </c>
      <c r="BK49" s="19">
        <v>0</v>
      </c>
      <c r="BL49" s="19">
        <v>0</v>
      </c>
      <c r="BM49" s="19">
        <v>0</v>
      </c>
      <c r="BN49" s="19">
        <v>0</v>
      </c>
      <c r="BO49" s="19">
        <v>0</v>
      </c>
      <c r="BP49" s="19">
        <v>0</v>
      </c>
      <c r="BQ49" s="19">
        <v>0</v>
      </c>
      <c r="BR49" s="19">
        <v>0</v>
      </c>
      <c r="BS49" s="19">
        <v>0</v>
      </c>
      <c r="BT49" s="19">
        <v>0</v>
      </c>
      <c r="BU49" s="19">
        <v>0</v>
      </c>
      <c r="BV49" s="19">
        <v>0</v>
      </c>
      <c r="BW49" s="19">
        <v>0</v>
      </c>
      <c r="BX49" s="19">
        <v>0</v>
      </c>
      <c r="BY49" s="19">
        <v>0</v>
      </c>
      <c r="BZ49" s="34">
        <v>0</v>
      </c>
      <c r="CA49" s="18">
        <v>0</v>
      </c>
      <c r="CB49" s="20"/>
      <c r="CC49" s="36">
        <v>0</v>
      </c>
      <c r="CD49" s="34"/>
    </row>
    <row r="50" ht="19.5" customHeight="1" s="112" customFormat="1">
      <c r="A50" s="111">
        <v>36</v>
      </c>
      <c r="B50" s="35" t="str">
        <f t="shared" si="8"/>
      </c>
      <c r="C50" s="32">
        <v>19219</v>
      </c>
      <c r="D50" s="15" t="s">
        <v>174</v>
      </c>
      <c r="E50" s="1" t="s">
        <v>118</v>
      </c>
      <c r="F50" s="36" t="str">
        <f>IFERROR(VLOOKUP('A2 (Öhdəliklər)'!E50,List!A:B,2,0),"")</f>
      </c>
      <c r="G50" s="1" t="s">
        <v>119</v>
      </c>
      <c r="H50" s="36" t="str">
        <f>IFERROR(VLOOKUP('A2 (Öhdəliklər)'!G50,List!G:H,2,0),"")</f>
      </c>
      <c r="I50" s="1" t="s">
        <v>120</v>
      </c>
      <c r="J50" s="36" t="str">
        <f>IFERROR(VLOOKUP('A2 (Öhdəliklər)'!I50,List!C:D,2,0),"")</f>
      </c>
      <c r="K50" s="1" t="s">
        <v>175</v>
      </c>
      <c r="L50" s="36" t="str">
        <f>IFERROR(VLOOKUP('A2 (Öhdəliklər)'!K50,List!E:F,2,0),"")</f>
      </c>
      <c r="M50" s="1" t="s">
        <v>214</v>
      </c>
      <c r="N50" s="36" t="str">
        <f>IFERROR(VLOOKUP('A2 (Öhdəliklər)'!M50,List!M:N,2,0),"")</f>
      </c>
      <c r="O50" s="1"/>
      <c r="P50" s="36" t="str">
        <f>IFERROR(VLOOKUP('A2 (Öhdəliklər)'!O50,List!S:T,2,0),"")</f>
      </c>
      <c r="Q50" s="1"/>
      <c r="R50" s="36" t="str">
        <f>IFERROR(VLOOKUP('A2 (Öhdəliklər)'!Q50,List!K:L,2,0),"")</f>
      </c>
      <c r="S50" s="16" t="s">
        <v>123</v>
      </c>
      <c r="T50" s="16" t="s">
        <v>123</v>
      </c>
      <c r="U50" s="17" t="s">
        <v>215</v>
      </c>
      <c r="V50" s="17"/>
      <c r="W50" s="20"/>
      <c r="X50" s="18" t="s">
        <v>125</v>
      </c>
      <c r="Y50" s="1" t="s">
        <v>126</v>
      </c>
      <c r="Z50" s="36" t="str">
        <f>IFERROR(VLOOKUP('A2 (Öhdəliklər)'!Y50,List!O:P,2,0),"")</f>
      </c>
      <c r="AA50" s="19">
        <v>0</v>
      </c>
      <c r="AB50" s="19">
        <v>0</v>
      </c>
      <c r="AC50" s="37">
        <f t="shared" si="9"/>
        <v>0</v>
      </c>
      <c r="AD50" s="19" t="s">
        <v>216</v>
      </c>
      <c r="AE50" s="19">
        <v>0</v>
      </c>
      <c r="AF50" s="19">
        <v>0</v>
      </c>
      <c r="AG50" s="19">
        <v>0</v>
      </c>
      <c r="AH50" s="19">
        <v>0</v>
      </c>
      <c r="AI50" s="19" t="s">
        <v>128</v>
      </c>
      <c r="AJ50" s="19">
        <v>0</v>
      </c>
      <c r="AK50" s="19">
        <v>0</v>
      </c>
      <c r="AL50" s="19">
        <v>0</v>
      </c>
      <c r="AM50" s="19"/>
      <c r="AN50" s="19" t="s">
        <v>216</v>
      </c>
      <c r="AO50" s="19">
        <v>0</v>
      </c>
      <c r="AP50" s="19">
        <v>0</v>
      </c>
      <c r="AQ50" s="19">
        <v>0</v>
      </c>
      <c r="AR50" s="19">
        <v>0</v>
      </c>
      <c r="AS50" s="19">
        <v>0</v>
      </c>
      <c r="AT50" s="19">
        <v>0</v>
      </c>
      <c r="AU50" s="19">
        <v>0</v>
      </c>
      <c r="AV50" s="19">
        <v>0</v>
      </c>
      <c r="AW50" s="19">
        <v>0</v>
      </c>
      <c r="AX50" s="19">
        <v>0</v>
      </c>
      <c r="AY50" s="21" t="s">
        <v>129</v>
      </c>
      <c r="AZ50" s="36" t="str">
        <f>IFERROR(VLOOKUP('A2 (Öhdəliklər)'!AY50,List!Q:R,2,0),"")</f>
      </c>
      <c r="BA50" s="38">
        <f t="shared" si="10"/>
        <v>0</v>
      </c>
      <c r="BB50" s="38">
        <f t="shared" si="11"/>
        <v>0</v>
      </c>
      <c r="BC50" s="39">
        <f t="shared" si="12"/>
        <v>0</v>
      </c>
      <c r="BD50" s="39">
        <f t="shared" si="13"/>
        <v>0</v>
      </c>
      <c r="BE50" s="39">
        <f t="shared" si="14"/>
        <v>0</v>
      </c>
      <c r="BF50" s="39">
        <f t="shared" si="15"/>
        <v>0</v>
      </c>
      <c r="BG50" s="19">
        <v>0</v>
      </c>
      <c r="BH50" s="19">
        <v>0</v>
      </c>
      <c r="BI50" s="19">
        <v>0</v>
      </c>
      <c r="BJ50" s="19">
        <v>0</v>
      </c>
      <c r="BK50" s="19">
        <v>0</v>
      </c>
      <c r="BL50" s="19">
        <v>0</v>
      </c>
      <c r="BM50" s="19">
        <v>0</v>
      </c>
      <c r="BN50" s="19">
        <v>0</v>
      </c>
      <c r="BO50" s="19">
        <v>0</v>
      </c>
      <c r="BP50" s="19">
        <v>0</v>
      </c>
      <c r="BQ50" s="19">
        <v>0</v>
      </c>
      <c r="BR50" s="19">
        <v>0</v>
      </c>
      <c r="BS50" s="19">
        <v>0</v>
      </c>
      <c r="BT50" s="19">
        <v>0</v>
      </c>
      <c r="BU50" s="19">
        <v>0</v>
      </c>
      <c r="BV50" s="19">
        <v>0</v>
      </c>
      <c r="BW50" s="19">
        <v>0</v>
      </c>
      <c r="BX50" s="19">
        <v>0</v>
      </c>
      <c r="BY50" s="19">
        <v>0</v>
      </c>
      <c r="BZ50" s="34">
        <v>0</v>
      </c>
      <c r="CA50" s="18">
        <v>0</v>
      </c>
      <c r="CB50" s="20"/>
      <c r="CC50" s="36">
        <v>0</v>
      </c>
      <c r="CD50" s="34"/>
    </row>
    <row r="51" ht="19.5" customHeight="1" s="112" customFormat="1">
      <c r="A51" s="111">
        <v>37</v>
      </c>
      <c r="B51" s="35" t="str">
        <f t="shared" si="8"/>
      </c>
      <c r="C51" s="32">
        <v>19336</v>
      </c>
      <c r="D51" s="15" t="s">
        <v>174</v>
      </c>
      <c r="E51" s="1" t="s">
        <v>118</v>
      </c>
      <c r="F51" s="36" t="str">
        <f>IFERROR(VLOOKUP('A2 (Öhdəliklər)'!E51,List!A:B,2,0),"")</f>
      </c>
      <c r="G51" s="1" t="s">
        <v>119</v>
      </c>
      <c r="H51" s="36" t="str">
        <f>IFERROR(VLOOKUP('A2 (Öhdəliklər)'!G51,List!G:H,2,0),"")</f>
      </c>
      <c r="I51" s="1" t="s">
        <v>120</v>
      </c>
      <c r="J51" s="36" t="str">
        <f>IFERROR(VLOOKUP('A2 (Öhdəliklər)'!I51,List!C:D,2,0),"")</f>
      </c>
      <c r="K51" s="1" t="s">
        <v>175</v>
      </c>
      <c r="L51" s="36" t="str">
        <f>IFERROR(VLOOKUP('A2 (Öhdəliklər)'!K51,List!E:F,2,0),"")</f>
      </c>
      <c r="M51" s="1" t="s">
        <v>217</v>
      </c>
      <c r="N51" s="36" t="str">
        <f>IFERROR(VLOOKUP('A2 (Öhdəliklər)'!M51,List!M:N,2,0),"")</f>
      </c>
      <c r="O51" s="1"/>
      <c r="P51" s="36" t="str">
        <f>IFERROR(VLOOKUP('A2 (Öhdəliklər)'!O51,List!S:T,2,0),"")</f>
      </c>
      <c r="Q51" s="1"/>
      <c r="R51" s="36" t="str">
        <f>IFERROR(VLOOKUP('A2 (Öhdəliklər)'!Q51,List!K:L,2,0),"")</f>
      </c>
      <c r="S51" s="16" t="s">
        <v>123</v>
      </c>
      <c r="T51" s="16" t="s">
        <v>123</v>
      </c>
      <c r="U51" s="17" t="s">
        <v>218</v>
      </c>
      <c r="V51" s="17"/>
      <c r="W51" s="20"/>
      <c r="X51" s="18" t="s">
        <v>125</v>
      </c>
      <c r="Y51" s="1" t="s">
        <v>126</v>
      </c>
      <c r="Z51" s="36" t="str">
        <f>IFERROR(VLOOKUP('A2 (Öhdəliklər)'!Y51,List!O:P,2,0),"")</f>
      </c>
      <c r="AA51" s="19">
        <v>0</v>
      </c>
      <c r="AB51" s="19">
        <v>0</v>
      </c>
      <c r="AC51" s="37">
        <f t="shared" si="9"/>
        <v>0</v>
      </c>
      <c r="AD51" s="19" t="s">
        <v>219</v>
      </c>
      <c r="AE51" s="19">
        <v>0</v>
      </c>
      <c r="AF51" s="19">
        <v>0</v>
      </c>
      <c r="AG51" s="19">
        <v>0</v>
      </c>
      <c r="AH51" s="19">
        <v>0</v>
      </c>
      <c r="AI51" s="19" t="s">
        <v>128</v>
      </c>
      <c r="AJ51" s="19">
        <v>0</v>
      </c>
      <c r="AK51" s="19">
        <v>0</v>
      </c>
      <c r="AL51" s="19">
        <v>0</v>
      </c>
      <c r="AM51" s="19"/>
      <c r="AN51" s="19" t="s">
        <v>128</v>
      </c>
      <c r="AO51" s="19">
        <v>0</v>
      </c>
      <c r="AP51" s="19">
        <v>0</v>
      </c>
      <c r="AQ51" s="19">
        <v>0</v>
      </c>
      <c r="AR51" s="19">
        <v>0</v>
      </c>
      <c r="AS51" s="19">
        <v>0</v>
      </c>
      <c r="AT51" s="19">
        <v>0</v>
      </c>
      <c r="AU51" s="19">
        <v>0</v>
      </c>
      <c r="AV51" s="19">
        <v>0</v>
      </c>
      <c r="AW51" s="19">
        <v>0</v>
      </c>
      <c r="AX51" s="19">
        <v>0</v>
      </c>
      <c r="AY51" s="21" t="s">
        <v>129</v>
      </c>
      <c r="AZ51" s="36" t="str">
        <f>IFERROR(VLOOKUP('A2 (Öhdəliklər)'!AY51,List!Q:R,2,0),"")</f>
      </c>
      <c r="BA51" s="38">
        <f t="shared" si="10"/>
        <v>0</v>
      </c>
      <c r="BB51" s="38">
        <f t="shared" si="11"/>
        <v>0</v>
      </c>
      <c r="BC51" s="39">
        <f t="shared" si="12"/>
        <v>0.2146</v>
      </c>
      <c r="BD51" s="39">
        <f t="shared" si="13"/>
        <v>0</v>
      </c>
      <c r="BE51" s="39">
        <f t="shared" si="14"/>
        <v>0</v>
      </c>
      <c r="BF51" s="39">
        <f t="shared" si="15"/>
        <v>0</v>
      </c>
      <c r="BG51" s="19">
        <v>0</v>
      </c>
      <c r="BH51" s="19">
        <v>0</v>
      </c>
      <c r="BI51" s="19">
        <v>0</v>
      </c>
      <c r="BJ51" s="19">
        <v>0.2146</v>
      </c>
      <c r="BK51" s="19">
        <v>0</v>
      </c>
      <c r="BL51" s="19">
        <v>0</v>
      </c>
      <c r="BM51" s="19">
        <v>0</v>
      </c>
      <c r="BN51" s="19">
        <v>0</v>
      </c>
      <c r="BO51" s="19">
        <v>0</v>
      </c>
      <c r="BP51" s="19">
        <v>0</v>
      </c>
      <c r="BQ51" s="19">
        <v>0</v>
      </c>
      <c r="BR51" s="19">
        <v>0</v>
      </c>
      <c r="BS51" s="19">
        <v>0</v>
      </c>
      <c r="BT51" s="19">
        <v>0</v>
      </c>
      <c r="BU51" s="19">
        <v>0</v>
      </c>
      <c r="BV51" s="19">
        <v>0</v>
      </c>
      <c r="BW51" s="19">
        <v>0</v>
      </c>
      <c r="BX51" s="19">
        <v>0</v>
      </c>
      <c r="BY51" s="19">
        <v>0</v>
      </c>
      <c r="BZ51" s="34">
        <v>0</v>
      </c>
      <c r="CA51" s="18">
        <v>0</v>
      </c>
      <c r="CB51" s="20"/>
      <c r="CC51" s="36">
        <v>0</v>
      </c>
      <c r="CD51" s="34"/>
    </row>
    <row r="52" ht="19.5" customHeight="1" s="112" customFormat="1">
      <c r="A52" s="111">
        <v>38</v>
      </c>
      <c r="B52" s="35" t="str">
        <f t="shared" si="8"/>
      </c>
      <c r="C52" s="32">
        <v>19351</v>
      </c>
      <c r="D52" s="15" t="s">
        <v>174</v>
      </c>
      <c r="E52" s="1" t="s">
        <v>118</v>
      </c>
      <c r="F52" s="36" t="str">
        <f>IFERROR(VLOOKUP('A2 (Öhdəliklər)'!E52,List!A:B,2,0),"")</f>
      </c>
      <c r="G52" s="1" t="s">
        <v>119</v>
      </c>
      <c r="H52" s="36" t="str">
        <f>IFERROR(VLOOKUP('A2 (Öhdəliklər)'!G52,List!G:H,2,0),"")</f>
      </c>
      <c r="I52" s="1" t="s">
        <v>120</v>
      </c>
      <c r="J52" s="36" t="str">
        <f>IFERROR(VLOOKUP('A2 (Öhdəliklər)'!I52,List!C:D,2,0),"")</f>
      </c>
      <c r="K52" s="1" t="s">
        <v>175</v>
      </c>
      <c r="L52" s="36" t="str">
        <f>IFERROR(VLOOKUP('A2 (Öhdəliklər)'!K52,List!E:F,2,0),"")</f>
      </c>
      <c r="M52" s="1" t="s">
        <v>122</v>
      </c>
      <c r="N52" s="36" t="str">
        <f>IFERROR(VLOOKUP('A2 (Öhdəliklər)'!M52,List!M:N,2,0),"")</f>
      </c>
      <c r="O52" s="1"/>
      <c r="P52" s="36" t="str">
        <f>IFERROR(VLOOKUP('A2 (Öhdəliklər)'!O52,List!S:T,2,0),"")</f>
      </c>
      <c r="Q52" s="1"/>
      <c r="R52" s="36" t="str">
        <f>IFERROR(VLOOKUP('A2 (Öhdəliklər)'!Q52,List!K:L,2,0),"")</f>
      </c>
      <c r="S52" s="16" t="s">
        <v>123</v>
      </c>
      <c r="T52" s="16" t="s">
        <v>123</v>
      </c>
      <c r="U52" s="17" t="s">
        <v>220</v>
      </c>
      <c r="V52" s="17"/>
      <c r="W52" s="20"/>
      <c r="X52" s="18" t="s">
        <v>125</v>
      </c>
      <c r="Y52" s="1" t="s">
        <v>126</v>
      </c>
      <c r="Z52" s="36" t="str">
        <f>IFERROR(VLOOKUP('A2 (Öhdəliklər)'!Y52,List!O:P,2,0),"")</f>
      </c>
      <c r="AA52" s="19">
        <v>0</v>
      </c>
      <c r="AB52" s="19">
        <v>0</v>
      </c>
      <c r="AC52" s="37">
        <f t="shared" si="9"/>
        <v>0</v>
      </c>
      <c r="AD52" s="19" t="s">
        <v>221</v>
      </c>
      <c r="AE52" s="19">
        <v>0</v>
      </c>
      <c r="AF52" s="19">
        <v>0</v>
      </c>
      <c r="AG52" s="19">
        <v>0</v>
      </c>
      <c r="AH52" s="19">
        <v>0</v>
      </c>
      <c r="AI52" s="19" t="s">
        <v>128</v>
      </c>
      <c r="AJ52" s="19">
        <v>0</v>
      </c>
      <c r="AK52" s="19">
        <v>0</v>
      </c>
      <c r="AL52" s="19">
        <v>0</v>
      </c>
      <c r="AM52" s="19"/>
      <c r="AN52" s="19" t="s">
        <v>128</v>
      </c>
      <c r="AO52" s="19">
        <v>0</v>
      </c>
      <c r="AP52" s="19">
        <v>0</v>
      </c>
      <c r="AQ52" s="19">
        <v>0</v>
      </c>
      <c r="AR52" s="19">
        <v>0</v>
      </c>
      <c r="AS52" s="19">
        <v>0</v>
      </c>
      <c r="AT52" s="19">
        <v>0</v>
      </c>
      <c r="AU52" s="19">
        <v>0</v>
      </c>
      <c r="AV52" s="19">
        <v>0</v>
      </c>
      <c r="AW52" s="19">
        <v>0</v>
      </c>
      <c r="AX52" s="19">
        <v>0</v>
      </c>
      <c r="AY52" s="21" t="s">
        <v>129</v>
      </c>
      <c r="AZ52" s="36" t="str">
        <f>IFERROR(VLOOKUP('A2 (Öhdəliklər)'!AY52,List!Q:R,2,0),"")</f>
      </c>
      <c r="BA52" s="38">
        <f t="shared" si="10"/>
        <v>0</v>
      </c>
      <c r="BB52" s="38">
        <f t="shared" si="11"/>
        <v>0</v>
      </c>
      <c r="BC52" s="39">
        <f t="shared" si="12"/>
        <v>0.016</v>
      </c>
      <c r="BD52" s="39">
        <f t="shared" si="13"/>
        <v>0</v>
      </c>
      <c r="BE52" s="39">
        <f t="shared" si="14"/>
        <v>0</v>
      </c>
      <c r="BF52" s="39">
        <f t="shared" si="15"/>
        <v>0</v>
      </c>
      <c r="BG52" s="19">
        <v>0</v>
      </c>
      <c r="BH52" s="19">
        <v>0</v>
      </c>
      <c r="BI52" s="19">
        <v>0</v>
      </c>
      <c r="BJ52" s="19">
        <v>0.016</v>
      </c>
      <c r="BK52" s="19">
        <v>0</v>
      </c>
      <c r="BL52" s="19">
        <v>0</v>
      </c>
      <c r="BM52" s="19">
        <v>0</v>
      </c>
      <c r="BN52" s="19">
        <v>0</v>
      </c>
      <c r="BO52" s="19">
        <v>0</v>
      </c>
      <c r="BP52" s="19">
        <v>0</v>
      </c>
      <c r="BQ52" s="19">
        <v>0</v>
      </c>
      <c r="BR52" s="19">
        <v>0</v>
      </c>
      <c r="BS52" s="19">
        <v>0</v>
      </c>
      <c r="BT52" s="19">
        <v>0</v>
      </c>
      <c r="BU52" s="19">
        <v>0</v>
      </c>
      <c r="BV52" s="19">
        <v>0</v>
      </c>
      <c r="BW52" s="19">
        <v>0</v>
      </c>
      <c r="BX52" s="19">
        <v>0</v>
      </c>
      <c r="BY52" s="19">
        <v>0</v>
      </c>
      <c r="BZ52" s="34">
        <v>0</v>
      </c>
      <c r="CA52" s="18">
        <v>0</v>
      </c>
      <c r="CB52" s="20"/>
      <c r="CC52" s="36">
        <v>0</v>
      </c>
      <c r="CD52" s="34"/>
    </row>
    <row r="53" ht="19.5" customHeight="1" s="112" customFormat="1">
      <c r="A53" s="111">
        <v>39</v>
      </c>
      <c r="B53" s="35" t="str">
        <f t="shared" si="8"/>
      </c>
      <c r="C53" s="32">
        <v>19377</v>
      </c>
      <c r="D53" s="15" t="s">
        <v>182</v>
      </c>
      <c r="E53" s="1" t="s">
        <v>118</v>
      </c>
      <c r="F53" s="36" t="str">
        <f>IFERROR(VLOOKUP('A2 (Öhdəliklər)'!E53,List!A:B,2,0),"")</f>
      </c>
      <c r="G53" s="1" t="s">
        <v>119</v>
      </c>
      <c r="H53" s="36" t="str">
        <f>IFERROR(VLOOKUP('A2 (Öhdəliklər)'!G53,List!G:H,2,0),"")</f>
      </c>
      <c r="I53" s="1" t="s">
        <v>120</v>
      </c>
      <c r="J53" s="36" t="str">
        <f>IFERROR(VLOOKUP('A2 (Öhdəliklər)'!I53,List!C:D,2,0),"")</f>
      </c>
      <c r="K53" s="1" t="s">
        <v>175</v>
      </c>
      <c r="L53" s="36" t="str">
        <f>IFERROR(VLOOKUP('A2 (Öhdəliklər)'!K53,List!E:F,2,0),"")</f>
      </c>
      <c r="M53" s="1" t="s">
        <v>122</v>
      </c>
      <c r="N53" s="36" t="str">
        <f>IFERROR(VLOOKUP('A2 (Öhdəliklər)'!M53,List!M:N,2,0),"")</f>
      </c>
      <c r="O53" s="1"/>
      <c r="P53" s="36" t="str">
        <f>IFERROR(VLOOKUP('A2 (Öhdəliklər)'!O53,List!S:T,2,0),"")</f>
      </c>
      <c r="Q53" s="1"/>
      <c r="R53" s="36" t="str">
        <f>IFERROR(VLOOKUP('A2 (Öhdəliklər)'!Q53,List!K:L,2,0),"")</f>
      </c>
      <c r="S53" s="16" t="s">
        <v>123</v>
      </c>
      <c r="T53" s="16" t="s">
        <v>123</v>
      </c>
      <c r="U53" s="17" t="s">
        <v>222</v>
      </c>
      <c r="V53" s="17"/>
      <c r="W53" s="20"/>
      <c r="X53" s="18" t="s">
        <v>125</v>
      </c>
      <c r="Y53" s="1" t="s">
        <v>126</v>
      </c>
      <c r="Z53" s="36" t="str">
        <f>IFERROR(VLOOKUP('A2 (Öhdəliklər)'!Y53,List!O:P,2,0),"")</f>
      </c>
      <c r="AA53" s="19">
        <v>0</v>
      </c>
      <c r="AB53" s="19">
        <v>0</v>
      </c>
      <c r="AC53" s="37">
        <f t="shared" si="9"/>
        <v>0</v>
      </c>
      <c r="AD53" s="19" t="s">
        <v>223</v>
      </c>
      <c r="AE53" s="19">
        <v>0</v>
      </c>
      <c r="AF53" s="19">
        <v>0</v>
      </c>
      <c r="AG53" s="19">
        <v>0</v>
      </c>
      <c r="AH53" s="19">
        <v>0</v>
      </c>
      <c r="AI53" s="19" t="s">
        <v>224</v>
      </c>
      <c r="AJ53" s="19">
        <v>0</v>
      </c>
      <c r="AK53" s="19">
        <v>0</v>
      </c>
      <c r="AL53" s="19">
        <v>0</v>
      </c>
      <c r="AM53" s="19"/>
      <c r="AN53" s="19" t="s">
        <v>225</v>
      </c>
      <c r="AO53" s="19">
        <v>0</v>
      </c>
      <c r="AP53" s="19">
        <v>0</v>
      </c>
      <c r="AQ53" s="19">
        <v>0</v>
      </c>
      <c r="AR53" s="19">
        <v>0</v>
      </c>
      <c r="AS53" s="19">
        <v>0</v>
      </c>
      <c r="AT53" s="19">
        <v>0</v>
      </c>
      <c r="AU53" s="19">
        <v>0</v>
      </c>
      <c r="AV53" s="19">
        <v>0</v>
      </c>
      <c r="AW53" s="19">
        <v>0</v>
      </c>
      <c r="AX53" s="19">
        <v>0</v>
      </c>
      <c r="AY53" s="21" t="s">
        <v>129</v>
      </c>
      <c r="AZ53" s="36" t="str">
        <f>IFERROR(VLOOKUP('A2 (Öhdəliklər)'!AY53,List!Q:R,2,0),"")</f>
      </c>
      <c r="BA53" s="38">
        <f t="shared" si="10"/>
        <v>0</v>
      </c>
      <c r="BB53" s="38">
        <f t="shared" si="11"/>
        <v>0</v>
      </c>
      <c r="BC53" s="39">
        <f t="shared" si="12"/>
        <v>0</v>
      </c>
      <c r="BD53" s="39">
        <f t="shared" si="13"/>
        <v>0</v>
      </c>
      <c r="BE53" s="39">
        <f t="shared" si="14"/>
        <v>0</v>
      </c>
      <c r="BF53" s="39">
        <f t="shared" si="15"/>
        <v>0</v>
      </c>
      <c r="BG53" s="19">
        <v>0</v>
      </c>
      <c r="BH53" s="19">
        <v>0</v>
      </c>
      <c r="BI53" s="19">
        <v>0</v>
      </c>
      <c r="BJ53" s="19">
        <v>0</v>
      </c>
      <c r="BK53" s="19">
        <v>0</v>
      </c>
      <c r="BL53" s="19">
        <v>0</v>
      </c>
      <c r="BM53" s="19">
        <v>0</v>
      </c>
      <c r="BN53" s="19">
        <v>0</v>
      </c>
      <c r="BO53" s="19">
        <v>0</v>
      </c>
      <c r="BP53" s="19">
        <v>0</v>
      </c>
      <c r="BQ53" s="19">
        <v>0</v>
      </c>
      <c r="BR53" s="19">
        <v>0</v>
      </c>
      <c r="BS53" s="19">
        <v>0</v>
      </c>
      <c r="BT53" s="19">
        <v>0</v>
      </c>
      <c r="BU53" s="19">
        <v>0</v>
      </c>
      <c r="BV53" s="19">
        <v>0</v>
      </c>
      <c r="BW53" s="19">
        <v>0</v>
      </c>
      <c r="BX53" s="19">
        <v>0</v>
      </c>
      <c r="BY53" s="19">
        <v>0</v>
      </c>
      <c r="BZ53" s="34">
        <v>0</v>
      </c>
      <c r="CA53" s="18">
        <v>0</v>
      </c>
      <c r="CB53" s="20"/>
      <c r="CC53" s="36">
        <v>0</v>
      </c>
      <c r="CD53" s="34"/>
    </row>
    <row r="54" ht="19.5" customHeight="1" s="112" customFormat="1">
      <c r="A54" s="111">
        <v>40</v>
      </c>
      <c r="B54" s="35" t="str">
        <f t="shared" si="8"/>
      </c>
      <c r="C54" s="32">
        <v>19396</v>
      </c>
      <c r="D54" s="15" t="s">
        <v>174</v>
      </c>
      <c r="E54" s="1" t="s">
        <v>118</v>
      </c>
      <c r="F54" s="36" t="str">
        <f>IFERROR(VLOOKUP('A2 (Öhdəliklər)'!E54,List!A:B,2,0),"")</f>
      </c>
      <c r="G54" s="1" t="s">
        <v>119</v>
      </c>
      <c r="H54" s="36" t="str">
        <f>IFERROR(VLOOKUP('A2 (Öhdəliklər)'!G54,List!G:H,2,0),"")</f>
      </c>
      <c r="I54" s="1" t="s">
        <v>120</v>
      </c>
      <c r="J54" s="36" t="str">
        <f>IFERROR(VLOOKUP('A2 (Öhdəliklər)'!I54,List!C:D,2,0),"")</f>
      </c>
      <c r="K54" s="1" t="s">
        <v>175</v>
      </c>
      <c r="L54" s="36" t="str">
        <f>IFERROR(VLOOKUP('A2 (Öhdəliklər)'!K54,List!E:F,2,0),"")</f>
      </c>
      <c r="M54" s="1" t="s">
        <v>122</v>
      </c>
      <c r="N54" s="36" t="str">
        <f>IFERROR(VLOOKUP('A2 (Öhdəliklər)'!M54,List!M:N,2,0),"")</f>
      </c>
      <c r="O54" s="1"/>
      <c r="P54" s="36" t="str">
        <f>IFERROR(VLOOKUP('A2 (Öhdəliklər)'!O54,List!S:T,2,0),"")</f>
      </c>
      <c r="Q54" s="1"/>
      <c r="R54" s="36" t="str">
        <f>IFERROR(VLOOKUP('A2 (Öhdəliklər)'!Q54,List!K:L,2,0),"")</f>
      </c>
      <c r="S54" s="16" t="s">
        <v>123</v>
      </c>
      <c r="T54" s="16" t="s">
        <v>123</v>
      </c>
      <c r="U54" s="17" t="s">
        <v>226</v>
      </c>
      <c r="V54" s="17"/>
      <c r="W54" s="20"/>
      <c r="X54" s="18" t="s">
        <v>125</v>
      </c>
      <c r="Y54" s="1" t="s">
        <v>126</v>
      </c>
      <c r="Z54" s="36" t="str">
        <f>IFERROR(VLOOKUP('A2 (Öhdəliklər)'!Y54,List!O:P,2,0),"")</f>
      </c>
      <c r="AA54" s="19">
        <v>0</v>
      </c>
      <c r="AB54" s="19">
        <v>0</v>
      </c>
      <c r="AC54" s="37">
        <f t="shared" si="9"/>
        <v>0</v>
      </c>
      <c r="AD54" s="19" t="s">
        <v>227</v>
      </c>
      <c r="AE54" s="19">
        <v>0</v>
      </c>
      <c r="AF54" s="19">
        <v>0</v>
      </c>
      <c r="AG54" s="19">
        <v>0</v>
      </c>
      <c r="AH54" s="19">
        <v>0</v>
      </c>
      <c r="AI54" s="19" t="s">
        <v>128</v>
      </c>
      <c r="AJ54" s="19">
        <v>0</v>
      </c>
      <c r="AK54" s="19">
        <v>0</v>
      </c>
      <c r="AL54" s="19">
        <v>0</v>
      </c>
      <c r="AM54" s="19"/>
      <c r="AN54" s="19" t="s">
        <v>128</v>
      </c>
      <c r="AO54" s="19">
        <v>0</v>
      </c>
      <c r="AP54" s="19">
        <v>0</v>
      </c>
      <c r="AQ54" s="19">
        <v>0</v>
      </c>
      <c r="AR54" s="19">
        <v>0</v>
      </c>
      <c r="AS54" s="19">
        <v>0</v>
      </c>
      <c r="AT54" s="19">
        <v>0</v>
      </c>
      <c r="AU54" s="19">
        <v>0</v>
      </c>
      <c r="AV54" s="19">
        <v>0</v>
      </c>
      <c r="AW54" s="19">
        <v>0</v>
      </c>
      <c r="AX54" s="19">
        <v>0</v>
      </c>
      <c r="AY54" s="21" t="s">
        <v>129</v>
      </c>
      <c r="AZ54" s="36" t="str">
        <f>IFERROR(VLOOKUP('A2 (Öhdəliklər)'!AY54,List!Q:R,2,0),"")</f>
      </c>
      <c r="BA54" s="38">
        <f t="shared" si="10"/>
        <v>0</v>
      </c>
      <c r="BB54" s="38">
        <f t="shared" si="11"/>
        <v>0</v>
      </c>
      <c r="BC54" s="39">
        <f t="shared" si="12"/>
        <v>0.0046</v>
      </c>
      <c r="BD54" s="39">
        <f t="shared" si="13"/>
        <v>0</v>
      </c>
      <c r="BE54" s="39">
        <f t="shared" si="14"/>
        <v>0</v>
      </c>
      <c r="BF54" s="39">
        <f t="shared" si="15"/>
        <v>0</v>
      </c>
      <c r="BG54" s="19">
        <v>0</v>
      </c>
      <c r="BH54" s="19">
        <v>0</v>
      </c>
      <c r="BI54" s="19">
        <v>0</v>
      </c>
      <c r="BJ54" s="19">
        <v>0.0046</v>
      </c>
      <c r="BK54" s="19">
        <v>0</v>
      </c>
      <c r="BL54" s="19">
        <v>0</v>
      </c>
      <c r="BM54" s="19">
        <v>0</v>
      </c>
      <c r="BN54" s="19">
        <v>0</v>
      </c>
      <c r="BO54" s="19">
        <v>0</v>
      </c>
      <c r="BP54" s="19">
        <v>0</v>
      </c>
      <c r="BQ54" s="19">
        <v>0</v>
      </c>
      <c r="BR54" s="19">
        <v>0</v>
      </c>
      <c r="BS54" s="19">
        <v>0</v>
      </c>
      <c r="BT54" s="19">
        <v>0</v>
      </c>
      <c r="BU54" s="19">
        <v>0</v>
      </c>
      <c r="BV54" s="19">
        <v>0</v>
      </c>
      <c r="BW54" s="19">
        <v>0</v>
      </c>
      <c r="BX54" s="19">
        <v>0</v>
      </c>
      <c r="BY54" s="19">
        <v>0</v>
      </c>
      <c r="BZ54" s="34">
        <v>0</v>
      </c>
      <c r="CA54" s="18">
        <v>0</v>
      </c>
      <c r="CB54" s="20"/>
      <c r="CC54" s="36">
        <v>0</v>
      </c>
      <c r="CD54" s="34"/>
    </row>
    <row r="55" ht="19.5" customHeight="1" s="112" customFormat="1">
      <c r="A55" s="111">
        <v>41</v>
      </c>
      <c r="B55" s="35" t="str">
        <f t="shared" si="8"/>
      </c>
      <c r="C55" s="32">
        <v>19398</v>
      </c>
      <c r="D55" s="15" t="s">
        <v>174</v>
      </c>
      <c r="E55" s="1" t="s">
        <v>118</v>
      </c>
      <c r="F55" s="36" t="str">
        <f>IFERROR(VLOOKUP('A2 (Öhdəliklər)'!E55,List!A:B,2,0),"")</f>
      </c>
      <c r="G55" s="1" t="s">
        <v>119</v>
      </c>
      <c r="H55" s="36" t="str">
        <f>IFERROR(VLOOKUP('A2 (Öhdəliklər)'!G55,List!G:H,2,0),"")</f>
      </c>
      <c r="I55" s="1" t="s">
        <v>120</v>
      </c>
      <c r="J55" s="36" t="str">
        <f>IFERROR(VLOOKUP('A2 (Öhdəliklər)'!I55,List!C:D,2,0),"")</f>
      </c>
      <c r="K55" s="1" t="s">
        <v>175</v>
      </c>
      <c r="L55" s="36" t="str">
        <f>IFERROR(VLOOKUP('A2 (Öhdəliklər)'!K55,List!E:F,2,0),"")</f>
      </c>
      <c r="M55" s="1" t="s">
        <v>122</v>
      </c>
      <c r="N55" s="36" t="str">
        <f>IFERROR(VLOOKUP('A2 (Öhdəliklər)'!M55,List!M:N,2,0),"")</f>
      </c>
      <c r="O55" s="1"/>
      <c r="P55" s="36" t="str">
        <f>IFERROR(VLOOKUP('A2 (Öhdəliklər)'!O55,List!S:T,2,0),"")</f>
      </c>
      <c r="Q55" s="1"/>
      <c r="R55" s="36" t="str">
        <f>IFERROR(VLOOKUP('A2 (Öhdəliklər)'!Q55,List!K:L,2,0),"")</f>
      </c>
      <c r="S55" s="16" t="s">
        <v>123</v>
      </c>
      <c r="T55" s="16" t="s">
        <v>123</v>
      </c>
      <c r="U55" s="17" t="s">
        <v>226</v>
      </c>
      <c r="V55" s="17"/>
      <c r="W55" s="20"/>
      <c r="X55" s="18" t="s">
        <v>125</v>
      </c>
      <c r="Y55" s="1" t="s">
        <v>126</v>
      </c>
      <c r="Z55" s="36" t="str">
        <f>IFERROR(VLOOKUP('A2 (Öhdəliklər)'!Y55,List!O:P,2,0),"")</f>
      </c>
      <c r="AA55" s="19">
        <v>0</v>
      </c>
      <c r="AB55" s="19">
        <v>0</v>
      </c>
      <c r="AC55" s="37">
        <f t="shared" si="9"/>
        <v>0</v>
      </c>
      <c r="AD55" s="19" t="s">
        <v>228</v>
      </c>
      <c r="AE55" s="19">
        <v>0</v>
      </c>
      <c r="AF55" s="19">
        <v>0</v>
      </c>
      <c r="AG55" s="19">
        <v>0</v>
      </c>
      <c r="AH55" s="19">
        <v>0</v>
      </c>
      <c r="AI55" s="19" t="s">
        <v>128</v>
      </c>
      <c r="AJ55" s="19">
        <v>0</v>
      </c>
      <c r="AK55" s="19">
        <v>0</v>
      </c>
      <c r="AL55" s="19">
        <v>0</v>
      </c>
      <c r="AM55" s="19"/>
      <c r="AN55" s="19" t="s">
        <v>128</v>
      </c>
      <c r="AO55" s="19">
        <v>0</v>
      </c>
      <c r="AP55" s="19">
        <v>0</v>
      </c>
      <c r="AQ55" s="19">
        <v>0</v>
      </c>
      <c r="AR55" s="19">
        <v>0</v>
      </c>
      <c r="AS55" s="19">
        <v>0</v>
      </c>
      <c r="AT55" s="19">
        <v>0</v>
      </c>
      <c r="AU55" s="19">
        <v>0</v>
      </c>
      <c r="AV55" s="19">
        <v>0</v>
      </c>
      <c r="AW55" s="19">
        <v>0</v>
      </c>
      <c r="AX55" s="19">
        <v>0</v>
      </c>
      <c r="AY55" s="21" t="s">
        <v>129</v>
      </c>
      <c r="AZ55" s="36" t="str">
        <f>IFERROR(VLOOKUP('A2 (Öhdəliklər)'!AY55,List!Q:R,2,0),"")</f>
      </c>
      <c r="BA55" s="38">
        <f t="shared" si="10"/>
        <v>0</v>
      </c>
      <c r="BB55" s="38">
        <f t="shared" si="11"/>
        <v>0</v>
      </c>
      <c r="BC55" s="39">
        <f t="shared" si="12"/>
        <v>0.00287</v>
      </c>
      <c r="BD55" s="39">
        <f t="shared" si="13"/>
        <v>0</v>
      </c>
      <c r="BE55" s="39">
        <f t="shared" si="14"/>
        <v>0</v>
      </c>
      <c r="BF55" s="39">
        <f t="shared" si="15"/>
        <v>0</v>
      </c>
      <c r="BG55" s="19">
        <v>0</v>
      </c>
      <c r="BH55" s="19">
        <v>0</v>
      </c>
      <c r="BI55" s="19">
        <v>0</v>
      </c>
      <c r="BJ55" s="19">
        <v>0.00287</v>
      </c>
      <c r="BK55" s="19">
        <v>0</v>
      </c>
      <c r="BL55" s="19">
        <v>0</v>
      </c>
      <c r="BM55" s="19">
        <v>0</v>
      </c>
      <c r="BN55" s="19">
        <v>0</v>
      </c>
      <c r="BO55" s="19">
        <v>0</v>
      </c>
      <c r="BP55" s="19">
        <v>0</v>
      </c>
      <c r="BQ55" s="19">
        <v>0</v>
      </c>
      <c r="BR55" s="19">
        <v>0</v>
      </c>
      <c r="BS55" s="19">
        <v>0</v>
      </c>
      <c r="BT55" s="19">
        <v>0</v>
      </c>
      <c r="BU55" s="19">
        <v>0</v>
      </c>
      <c r="BV55" s="19">
        <v>0</v>
      </c>
      <c r="BW55" s="19">
        <v>0</v>
      </c>
      <c r="BX55" s="19">
        <v>0</v>
      </c>
      <c r="BY55" s="19">
        <v>0</v>
      </c>
      <c r="BZ55" s="34">
        <v>0</v>
      </c>
      <c r="CA55" s="18">
        <v>0</v>
      </c>
      <c r="CB55" s="20"/>
      <c r="CC55" s="36">
        <v>0</v>
      </c>
      <c r="CD55" s="34"/>
    </row>
    <row r="56" ht="19.5" customHeight="1" s="112" customFormat="1">
      <c r="A56" s="111">
        <v>42</v>
      </c>
      <c r="B56" s="35" t="str">
        <f t="shared" si="8"/>
      </c>
      <c r="C56" s="32">
        <v>19417</v>
      </c>
      <c r="D56" s="15" t="s">
        <v>174</v>
      </c>
      <c r="E56" s="1" t="s">
        <v>118</v>
      </c>
      <c r="F56" s="36" t="str">
        <f>IFERROR(VLOOKUP('A2 (Öhdəliklər)'!E56,List!A:B,2,0),"")</f>
      </c>
      <c r="G56" s="1" t="s">
        <v>119</v>
      </c>
      <c r="H56" s="36" t="str">
        <f>IFERROR(VLOOKUP('A2 (Öhdəliklər)'!G56,List!G:H,2,0),"")</f>
      </c>
      <c r="I56" s="1" t="s">
        <v>120</v>
      </c>
      <c r="J56" s="36" t="str">
        <f>IFERROR(VLOOKUP('A2 (Öhdəliklər)'!I56,List!C:D,2,0),"")</f>
      </c>
      <c r="K56" s="1" t="s">
        <v>175</v>
      </c>
      <c r="L56" s="36" t="str">
        <f>IFERROR(VLOOKUP('A2 (Öhdəliklər)'!K56,List!E:F,2,0),"")</f>
      </c>
      <c r="M56" s="1" t="s">
        <v>122</v>
      </c>
      <c r="N56" s="36" t="str">
        <f>IFERROR(VLOOKUP('A2 (Öhdəliklər)'!M56,List!M:N,2,0),"")</f>
      </c>
      <c r="O56" s="1"/>
      <c r="P56" s="36" t="str">
        <f>IFERROR(VLOOKUP('A2 (Öhdəliklər)'!O56,List!S:T,2,0),"")</f>
      </c>
      <c r="Q56" s="1"/>
      <c r="R56" s="36" t="str">
        <f>IFERROR(VLOOKUP('A2 (Öhdəliklər)'!Q56,List!K:L,2,0),"")</f>
      </c>
      <c r="S56" s="16" t="s">
        <v>123</v>
      </c>
      <c r="T56" s="16" t="s">
        <v>123</v>
      </c>
      <c r="U56" s="17" t="s">
        <v>229</v>
      </c>
      <c r="V56" s="17"/>
      <c r="W56" s="20"/>
      <c r="X56" s="18" t="s">
        <v>125</v>
      </c>
      <c r="Y56" s="1" t="s">
        <v>126</v>
      </c>
      <c r="Z56" s="36" t="str">
        <f>IFERROR(VLOOKUP('A2 (Öhdəliklər)'!Y56,List!O:P,2,0),"")</f>
      </c>
      <c r="AA56" s="19">
        <v>0</v>
      </c>
      <c r="AB56" s="19">
        <v>0</v>
      </c>
      <c r="AC56" s="37">
        <f t="shared" si="9"/>
        <v>0</v>
      </c>
      <c r="AD56" s="19" t="s">
        <v>230</v>
      </c>
      <c r="AE56" s="19">
        <v>0</v>
      </c>
      <c r="AF56" s="19">
        <v>0</v>
      </c>
      <c r="AG56" s="19">
        <v>0</v>
      </c>
      <c r="AH56" s="19">
        <v>0</v>
      </c>
      <c r="AI56" s="19" t="s">
        <v>128</v>
      </c>
      <c r="AJ56" s="19">
        <v>0</v>
      </c>
      <c r="AK56" s="19">
        <v>0</v>
      </c>
      <c r="AL56" s="19">
        <v>0</v>
      </c>
      <c r="AM56" s="19"/>
      <c r="AN56" s="19" t="s">
        <v>128</v>
      </c>
      <c r="AO56" s="19">
        <v>0</v>
      </c>
      <c r="AP56" s="19">
        <v>0</v>
      </c>
      <c r="AQ56" s="19">
        <v>0</v>
      </c>
      <c r="AR56" s="19">
        <v>0</v>
      </c>
      <c r="AS56" s="19">
        <v>0</v>
      </c>
      <c r="AT56" s="19">
        <v>0</v>
      </c>
      <c r="AU56" s="19">
        <v>0</v>
      </c>
      <c r="AV56" s="19">
        <v>0</v>
      </c>
      <c r="AW56" s="19">
        <v>0</v>
      </c>
      <c r="AX56" s="19">
        <v>0</v>
      </c>
      <c r="AY56" s="21" t="s">
        <v>129</v>
      </c>
      <c r="AZ56" s="36" t="str">
        <f>IFERROR(VLOOKUP('A2 (Öhdəliklər)'!AY56,List!Q:R,2,0),"")</f>
      </c>
      <c r="BA56" s="38">
        <f t="shared" si="10"/>
        <v>0</v>
      </c>
      <c r="BB56" s="38">
        <f t="shared" si="11"/>
        <v>0</v>
      </c>
      <c r="BC56" s="39">
        <f t="shared" si="12"/>
        <v>0.017</v>
      </c>
      <c r="BD56" s="39">
        <f t="shared" si="13"/>
        <v>0</v>
      </c>
      <c r="BE56" s="39">
        <f t="shared" si="14"/>
        <v>0</v>
      </c>
      <c r="BF56" s="39">
        <f t="shared" si="15"/>
        <v>0</v>
      </c>
      <c r="BG56" s="19">
        <v>0</v>
      </c>
      <c r="BH56" s="19">
        <v>0</v>
      </c>
      <c r="BI56" s="19">
        <v>0</v>
      </c>
      <c r="BJ56" s="19">
        <v>0.017</v>
      </c>
      <c r="BK56" s="19">
        <v>0</v>
      </c>
      <c r="BL56" s="19">
        <v>0</v>
      </c>
      <c r="BM56" s="19">
        <v>0</v>
      </c>
      <c r="BN56" s="19">
        <v>0</v>
      </c>
      <c r="BO56" s="19">
        <v>0</v>
      </c>
      <c r="BP56" s="19">
        <v>0</v>
      </c>
      <c r="BQ56" s="19">
        <v>0</v>
      </c>
      <c r="BR56" s="19">
        <v>0</v>
      </c>
      <c r="BS56" s="19">
        <v>0</v>
      </c>
      <c r="BT56" s="19">
        <v>0</v>
      </c>
      <c r="BU56" s="19">
        <v>0</v>
      </c>
      <c r="BV56" s="19">
        <v>0</v>
      </c>
      <c r="BW56" s="19">
        <v>0</v>
      </c>
      <c r="BX56" s="19">
        <v>0</v>
      </c>
      <c r="BY56" s="19">
        <v>0</v>
      </c>
      <c r="BZ56" s="34">
        <v>0</v>
      </c>
      <c r="CA56" s="18">
        <v>0</v>
      </c>
      <c r="CB56" s="20"/>
      <c r="CC56" s="36">
        <v>0</v>
      </c>
      <c r="CD56" s="34"/>
    </row>
    <row r="57" ht="19.5" customHeight="1" s="112" customFormat="1">
      <c r="A57" s="111">
        <v>43</v>
      </c>
      <c r="B57" s="35" t="str">
        <f t="shared" si="8"/>
      </c>
      <c r="C57" s="32">
        <v>19459</v>
      </c>
      <c r="D57" s="15" t="s">
        <v>174</v>
      </c>
      <c r="E57" s="1" t="s">
        <v>118</v>
      </c>
      <c r="F57" s="36" t="str">
        <f>IFERROR(VLOOKUP('A2 (Öhdəliklər)'!E57,List!A:B,2,0),"")</f>
      </c>
      <c r="G57" s="1" t="s">
        <v>119</v>
      </c>
      <c r="H57" s="36" t="str">
        <f>IFERROR(VLOOKUP('A2 (Öhdəliklər)'!G57,List!G:H,2,0),"")</f>
      </c>
      <c r="I57" s="1" t="s">
        <v>120</v>
      </c>
      <c r="J57" s="36" t="str">
        <f>IFERROR(VLOOKUP('A2 (Öhdəliklər)'!I57,List!C:D,2,0),"")</f>
      </c>
      <c r="K57" s="1" t="s">
        <v>175</v>
      </c>
      <c r="L57" s="36" t="str">
        <f>IFERROR(VLOOKUP('A2 (Öhdəliklər)'!K57,List!E:F,2,0),"")</f>
      </c>
      <c r="M57" s="1" t="s">
        <v>122</v>
      </c>
      <c r="N57" s="36" t="str">
        <f>IFERROR(VLOOKUP('A2 (Öhdəliklər)'!M57,List!M:N,2,0),"")</f>
      </c>
      <c r="O57" s="1"/>
      <c r="P57" s="36" t="str">
        <f>IFERROR(VLOOKUP('A2 (Öhdəliklər)'!O57,List!S:T,2,0),"")</f>
      </c>
      <c r="Q57" s="1"/>
      <c r="R57" s="36" t="str">
        <f>IFERROR(VLOOKUP('A2 (Öhdəliklər)'!Q57,List!K:L,2,0),"")</f>
      </c>
      <c r="S57" s="16" t="s">
        <v>123</v>
      </c>
      <c r="T57" s="16" t="s">
        <v>123</v>
      </c>
      <c r="U57" s="17" t="s">
        <v>231</v>
      </c>
      <c r="V57" s="17"/>
      <c r="W57" s="20"/>
      <c r="X57" s="18" t="s">
        <v>125</v>
      </c>
      <c r="Y57" s="1" t="s">
        <v>126</v>
      </c>
      <c r="Z57" s="36" t="str">
        <f>IFERROR(VLOOKUP('A2 (Öhdəliklər)'!Y57,List!O:P,2,0),"")</f>
      </c>
      <c r="AA57" s="19">
        <v>0</v>
      </c>
      <c r="AB57" s="19">
        <v>0</v>
      </c>
      <c r="AC57" s="37">
        <f t="shared" si="9"/>
        <v>0</v>
      </c>
      <c r="AD57" s="19" t="s">
        <v>232</v>
      </c>
      <c r="AE57" s="19">
        <v>0</v>
      </c>
      <c r="AF57" s="19">
        <v>0</v>
      </c>
      <c r="AG57" s="19">
        <v>0</v>
      </c>
      <c r="AH57" s="19">
        <v>0</v>
      </c>
      <c r="AI57" s="19" t="s">
        <v>128</v>
      </c>
      <c r="AJ57" s="19">
        <v>0</v>
      </c>
      <c r="AK57" s="19">
        <v>0</v>
      </c>
      <c r="AL57" s="19">
        <v>0</v>
      </c>
      <c r="AM57" s="19"/>
      <c r="AN57" s="19" t="s">
        <v>128</v>
      </c>
      <c r="AO57" s="19">
        <v>0</v>
      </c>
      <c r="AP57" s="19">
        <v>0</v>
      </c>
      <c r="AQ57" s="19">
        <v>0</v>
      </c>
      <c r="AR57" s="19">
        <v>0</v>
      </c>
      <c r="AS57" s="19">
        <v>0</v>
      </c>
      <c r="AT57" s="19">
        <v>0</v>
      </c>
      <c r="AU57" s="19">
        <v>0</v>
      </c>
      <c r="AV57" s="19">
        <v>0</v>
      </c>
      <c r="AW57" s="19">
        <v>0</v>
      </c>
      <c r="AX57" s="19">
        <v>0</v>
      </c>
      <c r="AY57" s="21" t="s">
        <v>129</v>
      </c>
      <c r="AZ57" s="36" t="str">
        <f>IFERROR(VLOOKUP('A2 (Öhdəliklər)'!AY57,List!Q:R,2,0),"")</f>
      </c>
      <c r="BA57" s="38">
        <f t="shared" si="10"/>
        <v>0</v>
      </c>
      <c r="BB57" s="38">
        <f t="shared" si="11"/>
        <v>0</v>
      </c>
      <c r="BC57" s="39">
        <f t="shared" si="12"/>
        <v>0.0081</v>
      </c>
      <c r="BD57" s="39">
        <f t="shared" si="13"/>
        <v>0</v>
      </c>
      <c r="BE57" s="39">
        <f t="shared" si="14"/>
        <v>0</v>
      </c>
      <c r="BF57" s="39">
        <f t="shared" si="15"/>
        <v>0</v>
      </c>
      <c r="BG57" s="19">
        <v>0</v>
      </c>
      <c r="BH57" s="19">
        <v>0</v>
      </c>
      <c r="BI57" s="19">
        <v>0</v>
      </c>
      <c r="BJ57" s="19">
        <v>0.0081</v>
      </c>
      <c r="BK57" s="19">
        <v>0</v>
      </c>
      <c r="BL57" s="19">
        <v>0</v>
      </c>
      <c r="BM57" s="19">
        <v>0</v>
      </c>
      <c r="BN57" s="19">
        <v>0</v>
      </c>
      <c r="BO57" s="19">
        <v>0</v>
      </c>
      <c r="BP57" s="19">
        <v>0</v>
      </c>
      <c r="BQ57" s="19">
        <v>0</v>
      </c>
      <c r="BR57" s="19">
        <v>0</v>
      </c>
      <c r="BS57" s="19">
        <v>0</v>
      </c>
      <c r="BT57" s="19">
        <v>0</v>
      </c>
      <c r="BU57" s="19">
        <v>0</v>
      </c>
      <c r="BV57" s="19">
        <v>0</v>
      </c>
      <c r="BW57" s="19">
        <v>0</v>
      </c>
      <c r="BX57" s="19">
        <v>0</v>
      </c>
      <c r="BY57" s="19">
        <v>0</v>
      </c>
      <c r="BZ57" s="34">
        <v>0</v>
      </c>
      <c r="CA57" s="18">
        <v>0</v>
      </c>
      <c r="CB57" s="20"/>
      <c r="CC57" s="36">
        <v>0</v>
      </c>
      <c r="CD57" s="34"/>
    </row>
    <row r="58" ht="19.5" customHeight="1" s="112" customFormat="1">
      <c r="A58" s="111">
        <v>44</v>
      </c>
      <c r="B58" s="35" t="str">
        <f t="shared" si="8"/>
      </c>
      <c r="C58" s="32">
        <v>19462</v>
      </c>
      <c r="D58" s="15" t="s">
        <v>174</v>
      </c>
      <c r="E58" s="1" t="s">
        <v>118</v>
      </c>
      <c r="F58" s="36" t="str">
        <f>IFERROR(VLOOKUP('A2 (Öhdəliklər)'!E58,List!A:B,2,0),"")</f>
      </c>
      <c r="G58" s="1" t="s">
        <v>119</v>
      </c>
      <c r="H58" s="36" t="str">
        <f>IFERROR(VLOOKUP('A2 (Öhdəliklər)'!G58,List!G:H,2,0),"")</f>
      </c>
      <c r="I58" s="1" t="s">
        <v>120</v>
      </c>
      <c r="J58" s="36" t="str">
        <f>IFERROR(VLOOKUP('A2 (Öhdəliklər)'!I58,List!C:D,2,0),"")</f>
      </c>
      <c r="K58" s="1" t="s">
        <v>175</v>
      </c>
      <c r="L58" s="36" t="str">
        <f>IFERROR(VLOOKUP('A2 (Öhdəliklər)'!K58,List!E:F,2,0),"")</f>
      </c>
      <c r="M58" s="1" t="s">
        <v>122</v>
      </c>
      <c r="N58" s="36" t="str">
        <f>IFERROR(VLOOKUP('A2 (Öhdəliklər)'!M58,List!M:N,2,0),"")</f>
      </c>
      <c r="O58" s="1"/>
      <c r="P58" s="36" t="str">
        <f>IFERROR(VLOOKUP('A2 (Öhdəliklər)'!O58,List!S:T,2,0),"")</f>
      </c>
      <c r="Q58" s="1"/>
      <c r="R58" s="36" t="str">
        <f>IFERROR(VLOOKUP('A2 (Öhdəliklər)'!Q58,List!K:L,2,0),"")</f>
      </c>
      <c r="S58" s="16" t="s">
        <v>123</v>
      </c>
      <c r="T58" s="16" t="s">
        <v>123</v>
      </c>
      <c r="U58" s="17" t="s">
        <v>233</v>
      </c>
      <c r="V58" s="17"/>
      <c r="W58" s="20"/>
      <c r="X58" s="18" t="s">
        <v>125</v>
      </c>
      <c r="Y58" s="1" t="s">
        <v>126</v>
      </c>
      <c r="Z58" s="36" t="str">
        <f>IFERROR(VLOOKUP('A2 (Öhdəliklər)'!Y58,List!O:P,2,0),"")</f>
      </c>
      <c r="AA58" s="19">
        <v>0</v>
      </c>
      <c r="AB58" s="19">
        <v>0</v>
      </c>
      <c r="AC58" s="37">
        <f t="shared" si="9"/>
        <v>0</v>
      </c>
      <c r="AD58" s="19" t="s">
        <v>234</v>
      </c>
      <c r="AE58" s="19">
        <v>0</v>
      </c>
      <c r="AF58" s="19">
        <v>0</v>
      </c>
      <c r="AG58" s="19">
        <v>0</v>
      </c>
      <c r="AH58" s="19">
        <v>0</v>
      </c>
      <c r="AI58" s="19" t="s">
        <v>128</v>
      </c>
      <c r="AJ58" s="19">
        <v>0</v>
      </c>
      <c r="AK58" s="19">
        <v>0</v>
      </c>
      <c r="AL58" s="19">
        <v>0</v>
      </c>
      <c r="AM58" s="19"/>
      <c r="AN58" s="19" t="s">
        <v>128</v>
      </c>
      <c r="AO58" s="19">
        <v>0</v>
      </c>
      <c r="AP58" s="19">
        <v>0</v>
      </c>
      <c r="AQ58" s="19">
        <v>0</v>
      </c>
      <c r="AR58" s="19">
        <v>0</v>
      </c>
      <c r="AS58" s="19">
        <v>0</v>
      </c>
      <c r="AT58" s="19">
        <v>0</v>
      </c>
      <c r="AU58" s="19">
        <v>0</v>
      </c>
      <c r="AV58" s="19">
        <v>0</v>
      </c>
      <c r="AW58" s="19">
        <v>0</v>
      </c>
      <c r="AX58" s="19">
        <v>0</v>
      </c>
      <c r="AY58" s="21" t="s">
        <v>129</v>
      </c>
      <c r="AZ58" s="36" t="str">
        <f>IFERROR(VLOOKUP('A2 (Öhdəliklər)'!AY58,List!Q:R,2,0),"")</f>
      </c>
      <c r="BA58" s="38">
        <f t="shared" si="10"/>
        <v>0</v>
      </c>
      <c r="BB58" s="38">
        <f t="shared" si="11"/>
        <v>0</v>
      </c>
      <c r="BC58" s="39">
        <f t="shared" si="12"/>
        <v>0.44</v>
      </c>
      <c r="BD58" s="39">
        <f t="shared" si="13"/>
        <v>0</v>
      </c>
      <c r="BE58" s="39">
        <f t="shared" si="14"/>
        <v>0</v>
      </c>
      <c r="BF58" s="39">
        <f t="shared" si="15"/>
        <v>0</v>
      </c>
      <c r="BG58" s="19">
        <v>0</v>
      </c>
      <c r="BH58" s="19">
        <v>0</v>
      </c>
      <c r="BI58" s="19">
        <v>0</v>
      </c>
      <c r="BJ58" s="19">
        <v>0.44</v>
      </c>
      <c r="BK58" s="19">
        <v>0</v>
      </c>
      <c r="BL58" s="19">
        <v>0</v>
      </c>
      <c r="BM58" s="19">
        <v>0</v>
      </c>
      <c r="BN58" s="19">
        <v>0</v>
      </c>
      <c r="BO58" s="19">
        <v>0</v>
      </c>
      <c r="BP58" s="19">
        <v>0</v>
      </c>
      <c r="BQ58" s="19">
        <v>0</v>
      </c>
      <c r="BR58" s="19">
        <v>0</v>
      </c>
      <c r="BS58" s="19">
        <v>0</v>
      </c>
      <c r="BT58" s="19">
        <v>0</v>
      </c>
      <c r="BU58" s="19">
        <v>0</v>
      </c>
      <c r="BV58" s="19">
        <v>0</v>
      </c>
      <c r="BW58" s="19">
        <v>0</v>
      </c>
      <c r="BX58" s="19">
        <v>0</v>
      </c>
      <c r="BY58" s="19">
        <v>0</v>
      </c>
      <c r="BZ58" s="34">
        <v>0</v>
      </c>
      <c r="CA58" s="18">
        <v>0</v>
      </c>
      <c r="CB58" s="20"/>
      <c r="CC58" s="36">
        <v>0</v>
      </c>
      <c r="CD58" s="34"/>
    </row>
    <row r="59" ht="19.5" customHeight="1" s="112" customFormat="1">
      <c r="A59" s="111">
        <v>45</v>
      </c>
      <c r="B59" s="35" t="str">
        <f t="shared" si="8"/>
      </c>
      <c r="C59" s="32">
        <v>17556</v>
      </c>
      <c r="D59" s="15" t="s">
        <v>174</v>
      </c>
      <c r="E59" s="1" t="s">
        <v>118</v>
      </c>
      <c r="F59" s="36" t="str">
        <f>IFERROR(VLOOKUP('A2 (Öhdəliklər)'!E59,List!A:B,2,0),"")</f>
      </c>
      <c r="G59" s="1" t="s">
        <v>119</v>
      </c>
      <c r="H59" s="36" t="str">
        <f>IFERROR(VLOOKUP('A2 (Öhdəliklər)'!G59,List!G:H,2,0),"")</f>
      </c>
      <c r="I59" s="1" t="s">
        <v>120</v>
      </c>
      <c r="J59" s="36" t="str">
        <f>IFERROR(VLOOKUP('A2 (Öhdəliklər)'!I59,List!C:D,2,0),"")</f>
      </c>
      <c r="K59" s="1" t="s">
        <v>175</v>
      </c>
      <c r="L59" s="36" t="str">
        <f>IFERROR(VLOOKUP('A2 (Öhdəliklər)'!K59,List!E:F,2,0),"")</f>
      </c>
      <c r="M59" s="1" t="s">
        <v>122</v>
      </c>
      <c r="N59" s="36" t="str">
        <f>IFERROR(VLOOKUP('A2 (Öhdəliklər)'!M59,List!M:N,2,0),"")</f>
      </c>
      <c r="O59" s="1"/>
      <c r="P59" s="36" t="str">
        <f>IFERROR(VLOOKUP('A2 (Öhdəliklər)'!O59,List!S:T,2,0),"")</f>
      </c>
      <c r="Q59" s="1"/>
      <c r="R59" s="36" t="str">
        <f>IFERROR(VLOOKUP('A2 (Öhdəliklər)'!Q59,List!K:L,2,0),"")</f>
      </c>
      <c r="S59" s="16" t="s">
        <v>123</v>
      </c>
      <c r="T59" s="16" t="s">
        <v>123</v>
      </c>
      <c r="U59" s="17" t="s">
        <v>235</v>
      </c>
      <c r="V59" s="17"/>
      <c r="W59" s="20"/>
      <c r="X59" s="18" t="s">
        <v>125</v>
      </c>
      <c r="Y59" s="1" t="s">
        <v>126</v>
      </c>
      <c r="Z59" s="36" t="str">
        <f>IFERROR(VLOOKUP('A2 (Öhdəliklər)'!Y59,List!O:P,2,0),"")</f>
      </c>
      <c r="AA59" s="19">
        <v>0</v>
      </c>
      <c r="AB59" s="19">
        <v>0</v>
      </c>
      <c r="AC59" s="37">
        <f t="shared" si="9"/>
        <v>0</v>
      </c>
      <c r="AD59" s="19" t="s">
        <v>236</v>
      </c>
      <c r="AE59" s="19">
        <v>0</v>
      </c>
      <c r="AF59" s="19">
        <v>0</v>
      </c>
      <c r="AG59" s="19">
        <v>0</v>
      </c>
      <c r="AH59" s="19">
        <v>0</v>
      </c>
      <c r="AI59" s="19" t="s">
        <v>128</v>
      </c>
      <c r="AJ59" s="19">
        <v>0</v>
      </c>
      <c r="AK59" s="19">
        <v>0</v>
      </c>
      <c r="AL59" s="19">
        <v>0</v>
      </c>
      <c r="AM59" s="19"/>
      <c r="AN59" s="19" t="s">
        <v>128</v>
      </c>
      <c r="AO59" s="19">
        <v>0</v>
      </c>
      <c r="AP59" s="19">
        <v>0</v>
      </c>
      <c r="AQ59" s="19">
        <v>0</v>
      </c>
      <c r="AR59" s="19">
        <v>0</v>
      </c>
      <c r="AS59" s="19">
        <v>0</v>
      </c>
      <c r="AT59" s="19">
        <v>0</v>
      </c>
      <c r="AU59" s="19">
        <v>0</v>
      </c>
      <c r="AV59" s="19">
        <v>0</v>
      </c>
      <c r="AW59" s="19">
        <v>0</v>
      </c>
      <c r="AX59" s="19">
        <v>0</v>
      </c>
      <c r="AY59" s="21" t="s">
        <v>129</v>
      </c>
      <c r="AZ59" s="36" t="str">
        <f>IFERROR(VLOOKUP('A2 (Öhdəliklər)'!AY59,List!Q:R,2,0),"")</f>
      </c>
      <c r="BA59" s="38">
        <f t="shared" si="10"/>
        <v>0</v>
      </c>
      <c r="BB59" s="38">
        <f t="shared" si="11"/>
        <v>0</v>
      </c>
      <c r="BC59" s="39">
        <f t="shared" si="12"/>
        <v>6.47</v>
      </c>
      <c r="BD59" s="39">
        <f t="shared" si="13"/>
        <v>0</v>
      </c>
      <c r="BE59" s="39">
        <f t="shared" si="14"/>
        <v>0</v>
      </c>
      <c r="BF59" s="39">
        <f t="shared" si="15"/>
        <v>0</v>
      </c>
      <c r="BG59" s="19">
        <v>0</v>
      </c>
      <c r="BH59" s="19">
        <v>0</v>
      </c>
      <c r="BI59" s="19">
        <v>0</v>
      </c>
      <c r="BJ59" s="19">
        <v>6.47</v>
      </c>
      <c r="BK59" s="19">
        <v>0</v>
      </c>
      <c r="BL59" s="19">
        <v>0</v>
      </c>
      <c r="BM59" s="19">
        <v>0</v>
      </c>
      <c r="BN59" s="19">
        <v>0</v>
      </c>
      <c r="BO59" s="19">
        <v>0</v>
      </c>
      <c r="BP59" s="19">
        <v>0</v>
      </c>
      <c r="BQ59" s="19">
        <v>0</v>
      </c>
      <c r="BR59" s="19">
        <v>0</v>
      </c>
      <c r="BS59" s="19">
        <v>0</v>
      </c>
      <c r="BT59" s="19">
        <v>0</v>
      </c>
      <c r="BU59" s="19">
        <v>0</v>
      </c>
      <c r="BV59" s="19">
        <v>0</v>
      </c>
      <c r="BW59" s="19">
        <v>0</v>
      </c>
      <c r="BX59" s="19">
        <v>0</v>
      </c>
      <c r="BY59" s="19">
        <v>0</v>
      </c>
      <c r="BZ59" s="34">
        <v>0</v>
      </c>
      <c r="CA59" s="18">
        <v>0</v>
      </c>
      <c r="CB59" s="20"/>
      <c r="CC59" s="36">
        <v>0</v>
      </c>
      <c r="CD59" s="34"/>
    </row>
    <row r="60" ht="19.5" customHeight="1" s="112" customFormat="1">
      <c r="A60" s="111">
        <v>46</v>
      </c>
      <c r="B60" s="35" t="str">
        <f t="shared" si="8"/>
      </c>
      <c r="C60" s="32">
        <v>17515</v>
      </c>
      <c r="D60" s="15" t="s">
        <v>174</v>
      </c>
      <c r="E60" s="1" t="s">
        <v>118</v>
      </c>
      <c r="F60" s="36" t="str">
        <f>IFERROR(VLOOKUP('A2 (Öhdəliklər)'!E60,List!A:B,2,0),"")</f>
      </c>
      <c r="G60" s="1" t="s">
        <v>119</v>
      </c>
      <c r="H60" s="36" t="str">
        <f>IFERROR(VLOOKUP('A2 (Öhdəliklər)'!G60,List!G:H,2,0),"")</f>
      </c>
      <c r="I60" s="1" t="s">
        <v>120</v>
      </c>
      <c r="J60" s="36" t="str">
        <f>IFERROR(VLOOKUP('A2 (Öhdəliklər)'!I60,List!C:D,2,0),"")</f>
      </c>
      <c r="K60" s="1" t="s">
        <v>175</v>
      </c>
      <c r="L60" s="36" t="str">
        <f>IFERROR(VLOOKUP('A2 (Öhdəliklər)'!K60,List!E:F,2,0),"")</f>
      </c>
      <c r="M60" s="1" t="s">
        <v>122</v>
      </c>
      <c r="N60" s="36" t="str">
        <f>IFERROR(VLOOKUP('A2 (Öhdəliklər)'!M60,List!M:N,2,0),"")</f>
      </c>
      <c r="O60" s="1"/>
      <c r="P60" s="36" t="str">
        <f>IFERROR(VLOOKUP('A2 (Öhdəliklər)'!O60,List!S:T,2,0),"")</f>
      </c>
      <c r="Q60" s="1"/>
      <c r="R60" s="36" t="str">
        <f>IFERROR(VLOOKUP('A2 (Öhdəliklər)'!Q60,List!K:L,2,0),"")</f>
      </c>
      <c r="S60" s="16" t="s">
        <v>123</v>
      </c>
      <c r="T60" s="16" t="s">
        <v>123</v>
      </c>
      <c r="U60" s="17" t="s">
        <v>237</v>
      </c>
      <c r="V60" s="17"/>
      <c r="W60" s="20"/>
      <c r="X60" s="18" t="s">
        <v>125</v>
      </c>
      <c r="Y60" s="1" t="s">
        <v>126</v>
      </c>
      <c r="Z60" s="36" t="str">
        <f>IFERROR(VLOOKUP('A2 (Öhdəliklər)'!Y60,List!O:P,2,0),"")</f>
      </c>
      <c r="AA60" s="19">
        <v>0</v>
      </c>
      <c r="AB60" s="19">
        <v>0</v>
      </c>
      <c r="AC60" s="37">
        <f t="shared" si="9"/>
        <v>0</v>
      </c>
      <c r="AD60" s="19" t="s">
        <v>238</v>
      </c>
      <c r="AE60" s="19">
        <v>0</v>
      </c>
      <c r="AF60" s="19">
        <v>0</v>
      </c>
      <c r="AG60" s="19">
        <v>0</v>
      </c>
      <c r="AH60" s="19">
        <v>0</v>
      </c>
      <c r="AI60" s="19" t="s">
        <v>128</v>
      </c>
      <c r="AJ60" s="19">
        <v>0</v>
      </c>
      <c r="AK60" s="19">
        <v>0</v>
      </c>
      <c r="AL60" s="19">
        <v>0</v>
      </c>
      <c r="AM60" s="19"/>
      <c r="AN60" s="19" t="s">
        <v>128</v>
      </c>
      <c r="AO60" s="19">
        <v>0</v>
      </c>
      <c r="AP60" s="19">
        <v>0</v>
      </c>
      <c r="AQ60" s="19">
        <v>0</v>
      </c>
      <c r="AR60" s="19">
        <v>0</v>
      </c>
      <c r="AS60" s="19">
        <v>0</v>
      </c>
      <c r="AT60" s="19">
        <v>0</v>
      </c>
      <c r="AU60" s="19">
        <v>0</v>
      </c>
      <c r="AV60" s="19">
        <v>0</v>
      </c>
      <c r="AW60" s="19">
        <v>0</v>
      </c>
      <c r="AX60" s="19">
        <v>0</v>
      </c>
      <c r="AY60" s="21" t="s">
        <v>129</v>
      </c>
      <c r="AZ60" s="36" t="str">
        <f>IFERROR(VLOOKUP('A2 (Öhdəliklər)'!AY60,List!Q:R,2,0),"")</f>
      </c>
      <c r="BA60" s="38">
        <f t="shared" si="10"/>
        <v>0</v>
      </c>
      <c r="BB60" s="38">
        <f t="shared" si="11"/>
        <v>0</v>
      </c>
      <c r="BC60" s="39">
        <f t="shared" si="12"/>
        <v>0.01</v>
      </c>
      <c r="BD60" s="39">
        <f t="shared" si="13"/>
        <v>0</v>
      </c>
      <c r="BE60" s="39">
        <f t="shared" si="14"/>
        <v>0</v>
      </c>
      <c r="BF60" s="39">
        <f t="shared" si="15"/>
        <v>0</v>
      </c>
      <c r="BG60" s="19">
        <v>0</v>
      </c>
      <c r="BH60" s="19">
        <v>0</v>
      </c>
      <c r="BI60" s="19">
        <v>0</v>
      </c>
      <c r="BJ60" s="19">
        <v>0.01</v>
      </c>
      <c r="BK60" s="19">
        <v>0</v>
      </c>
      <c r="BL60" s="19">
        <v>0</v>
      </c>
      <c r="BM60" s="19">
        <v>0</v>
      </c>
      <c r="BN60" s="19">
        <v>0</v>
      </c>
      <c r="BO60" s="19">
        <v>0</v>
      </c>
      <c r="BP60" s="19">
        <v>0</v>
      </c>
      <c r="BQ60" s="19">
        <v>0</v>
      </c>
      <c r="BR60" s="19">
        <v>0</v>
      </c>
      <c r="BS60" s="19">
        <v>0</v>
      </c>
      <c r="BT60" s="19">
        <v>0</v>
      </c>
      <c r="BU60" s="19">
        <v>0</v>
      </c>
      <c r="BV60" s="19">
        <v>0</v>
      </c>
      <c r="BW60" s="19">
        <v>0</v>
      </c>
      <c r="BX60" s="19">
        <v>0</v>
      </c>
      <c r="BY60" s="19">
        <v>0</v>
      </c>
      <c r="BZ60" s="34">
        <v>0</v>
      </c>
      <c r="CA60" s="18">
        <v>0</v>
      </c>
      <c r="CB60" s="20"/>
      <c r="CC60" s="36">
        <v>0</v>
      </c>
      <c r="CD60" s="34"/>
    </row>
    <row r="61" ht="19.5" customHeight="1" s="112" customFormat="1">
      <c r="A61" s="111">
        <v>47</v>
      </c>
      <c r="B61" s="35" t="str">
        <f t="shared" si="8"/>
      </c>
      <c r="C61" s="32">
        <v>16582</v>
      </c>
      <c r="D61" s="15" t="s">
        <v>174</v>
      </c>
      <c r="E61" s="1" t="s">
        <v>118</v>
      </c>
      <c r="F61" s="36" t="str">
        <f>IFERROR(VLOOKUP('A2 (Öhdəliklər)'!E61,List!A:B,2,0),"")</f>
      </c>
      <c r="G61" s="1" t="s">
        <v>119</v>
      </c>
      <c r="H61" s="36" t="str">
        <f>IFERROR(VLOOKUP('A2 (Öhdəliklər)'!G61,List!G:H,2,0),"")</f>
      </c>
      <c r="I61" s="1" t="s">
        <v>120</v>
      </c>
      <c r="J61" s="36" t="str">
        <f>IFERROR(VLOOKUP('A2 (Öhdəliklər)'!I61,List!C:D,2,0),"")</f>
      </c>
      <c r="K61" s="1" t="s">
        <v>175</v>
      </c>
      <c r="L61" s="36" t="str">
        <f>IFERROR(VLOOKUP('A2 (Öhdəliklər)'!K61,List!E:F,2,0),"")</f>
      </c>
      <c r="M61" s="1" t="s">
        <v>122</v>
      </c>
      <c r="N61" s="36" t="str">
        <f>IFERROR(VLOOKUP('A2 (Öhdəliklər)'!M61,List!M:N,2,0),"")</f>
      </c>
      <c r="O61" s="1"/>
      <c r="P61" s="36" t="str">
        <f>IFERROR(VLOOKUP('A2 (Öhdəliklər)'!O61,List!S:T,2,0),"")</f>
      </c>
      <c r="Q61" s="1"/>
      <c r="R61" s="36" t="str">
        <f>IFERROR(VLOOKUP('A2 (Öhdəliklər)'!Q61,List!K:L,2,0),"")</f>
      </c>
      <c r="S61" s="16" t="s">
        <v>123</v>
      </c>
      <c r="T61" s="16" t="s">
        <v>123</v>
      </c>
      <c r="U61" s="17" t="s">
        <v>239</v>
      </c>
      <c r="V61" s="17"/>
      <c r="W61" s="20"/>
      <c r="X61" s="18" t="s">
        <v>125</v>
      </c>
      <c r="Y61" s="1" t="s">
        <v>126</v>
      </c>
      <c r="Z61" s="36" t="str">
        <f>IFERROR(VLOOKUP('A2 (Öhdəliklər)'!Y61,List!O:P,2,0),"")</f>
      </c>
      <c r="AA61" s="19">
        <v>0</v>
      </c>
      <c r="AB61" s="19">
        <v>0</v>
      </c>
      <c r="AC61" s="37">
        <f t="shared" si="9"/>
        <v>0</v>
      </c>
      <c r="AD61" s="19" t="s">
        <v>240</v>
      </c>
      <c r="AE61" s="19">
        <v>0</v>
      </c>
      <c r="AF61" s="19">
        <v>0</v>
      </c>
      <c r="AG61" s="19">
        <v>0</v>
      </c>
      <c r="AH61" s="19">
        <v>0</v>
      </c>
      <c r="AI61" s="19" t="s">
        <v>128</v>
      </c>
      <c r="AJ61" s="19">
        <v>0</v>
      </c>
      <c r="AK61" s="19">
        <v>0</v>
      </c>
      <c r="AL61" s="19">
        <v>0</v>
      </c>
      <c r="AM61" s="19"/>
      <c r="AN61" s="19" t="s">
        <v>128</v>
      </c>
      <c r="AO61" s="19">
        <v>0</v>
      </c>
      <c r="AP61" s="19">
        <v>0</v>
      </c>
      <c r="AQ61" s="19">
        <v>0</v>
      </c>
      <c r="AR61" s="19">
        <v>0</v>
      </c>
      <c r="AS61" s="19">
        <v>0</v>
      </c>
      <c r="AT61" s="19">
        <v>0</v>
      </c>
      <c r="AU61" s="19">
        <v>0</v>
      </c>
      <c r="AV61" s="19">
        <v>0</v>
      </c>
      <c r="AW61" s="19">
        <v>0</v>
      </c>
      <c r="AX61" s="19">
        <v>0</v>
      </c>
      <c r="AY61" s="21" t="s">
        <v>129</v>
      </c>
      <c r="AZ61" s="36" t="str">
        <f>IFERROR(VLOOKUP('A2 (Öhdəliklər)'!AY61,List!Q:R,2,0),"")</f>
      </c>
      <c r="BA61" s="38">
        <f t="shared" si="10"/>
        <v>0</v>
      </c>
      <c r="BB61" s="38">
        <f t="shared" si="11"/>
        <v>0</v>
      </c>
      <c r="BC61" s="39">
        <f t="shared" si="12"/>
        <v>0.0015</v>
      </c>
      <c r="BD61" s="39">
        <f t="shared" si="13"/>
        <v>0</v>
      </c>
      <c r="BE61" s="39">
        <f t="shared" si="14"/>
        <v>0</v>
      </c>
      <c r="BF61" s="39">
        <f t="shared" si="15"/>
        <v>0</v>
      </c>
      <c r="BG61" s="19">
        <v>0</v>
      </c>
      <c r="BH61" s="19">
        <v>0</v>
      </c>
      <c r="BI61" s="19">
        <v>0</v>
      </c>
      <c r="BJ61" s="19">
        <v>0.0015</v>
      </c>
      <c r="BK61" s="19">
        <v>0</v>
      </c>
      <c r="BL61" s="19">
        <v>0</v>
      </c>
      <c r="BM61" s="19">
        <v>0</v>
      </c>
      <c r="BN61" s="19">
        <v>0</v>
      </c>
      <c r="BO61" s="19">
        <v>0</v>
      </c>
      <c r="BP61" s="19">
        <v>0</v>
      </c>
      <c r="BQ61" s="19">
        <v>0</v>
      </c>
      <c r="BR61" s="19">
        <v>0</v>
      </c>
      <c r="BS61" s="19">
        <v>0</v>
      </c>
      <c r="BT61" s="19">
        <v>0</v>
      </c>
      <c r="BU61" s="19">
        <v>0</v>
      </c>
      <c r="BV61" s="19">
        <v>0</v>
      </c>
      <c r="BW61" s="19">
        <v>0</v>
      </c>
      <c r="BX61" s="19">
        <v>0</v>
      </c>
      <c r="BY61" s="19">
        <v>0</v>
      </c>
      <c r="BZ61" s="34">
        <v>0</v>
      </c>
      <c r="CA61" s="18">
        <v>0</v>
      </c>
      <c r="CB61" s="20"/>
      <c r="CC61" s="36">
        <v>0</v>
      </c>
      <c r="CD61" s="34"/>
    </row>
    <row r="62" ht="19.5" customHeight="1" s="112" customFormat="1">
      <c r="A62" s="111">
        <v>48</v>
      </c>
      <c r="B62" s="35" t="str">
        <f t="shared" si="8"/>
      </c>
      <c r="C62" s="32">
        <v>16515</v>
      </c>
      <c r="D62" s="15" t="s">
        <v>174</v>
      </c>
      <c r="E62" s="1" t="s">
        <v>118</v>
      </c>
      <c r="F62" s="36" t="str">
        <f>IFERROR(VLOOKUP('A2 (Öhdəliklər)'!E62,List!A:B,2,0),"")</f>
      </c>
      <c r="G62" s="1" t="s">
        <v>119</v>
      </c>
      <c r="H62" s="36" t="str">
        <f>IFERROR(VLOOKUP('A2 (Öhdəliklər)'!G62,List!G:H,2,0),"")</f>
      </c>
      <c r="I62" s="1" t="s">
        <v>120</v>
      </c>
      <c r="J62" s="36" t="str">
        <f>IFERROR(VLOOKUP('A2 (Öhdəliklər)'!I62,List!C:D,2,0),"")</f>
      </c>
      <c r="K62" s="1" t="s">
        <v>175</v>
      </c>
      <c r="L62" s="36" t="str">
        <f>IFERROR(VLOOKUP('A2 (Öhdəliklər)'!K62,List!E:F,2,0),"")</f>
      </c>
      <c r="M62" s="1" t="s">
        <v>122</v>
      </c>
      <c r="N62" s="36" t="str">
        <f>IFERROR(VLOOKUP('A2 (Öhdəliklər)'!M62,List!M:N,2,0),"")</f>
      </c>
      <c r="O62" s="1"/>
      <c r="P62" s="36" t="str">
        <f>IFERROR(VLOOKUP('A2 (Öhdəliklər)'!O62,List!S:T,2,0),"")</f>
      </c>
      <c r="Q62" s="1"/>
      <c r="R62" s="36" t="str">
        <f>IFERROR(VLOOKUP('A2 (Öhdəliklər)'!Q62,List!K:L,2,0),"")</f>
      </c>
      <c r="S62" s="16" t="s">
        <v>123</v>
      </c>
      <c r="T62" s="16" t="s">
        <v>123</v>
      </c>
      <c r="U62" s="17" t="s">
        <v>241</v>
      </c>
      <c r="V62" s="17"/>
      <c r="W62" s="20"/>
      <c r="X62" s="18" t="s">
        <v>125</v>
      </c>
      <c r="Y62" s="1" t="s">
        <v>126</v>
      </c>
      <c r="Z62" s="36" t="str">
        <f>IFERROR(VLOOKUP('A2 (Öhdəliklər)'!Y62,List!O:P,2,0),"")</f>
      </c>
      <c r="AA62" s="19">
        <v>0</v>
      </c>
      <c r="AB62" s="19">
        <v>0</v>
      </c>
      <c r="AC62" s="37">
        <f t="shared" si="9"/>
        <v>0</v>
      </c>
      <c r="AD62" s="19" t="s">
        <v>242</v>
      </c>
      <c r="AE62" s="19">
        <v>0</v>
      </c>
      <c r="AF62" s="19">
        <v>0</v>
      </c>
      <c r="AG62" s="19">
        <v>0</v>
      </c>
      <c r="AH62" s="19">
        <v>0</v>
      </c>
      <c r="AI62" s="19" t="s">
        <v>128</v>
      </c>
      <c r="AJ62" s="19">
        <v>0</v>
      </c>
      <c r="AK62" s="19">
        <v>0</v>
      </c>
      <c r="AL62" s="19">
        <v>0</v>
      </c>
      <c r="AM62" s="19"/>
      <c r="AN62" s="19" t="s">
        <v>128</v>
      </c>
      <c r="AO62" s="19">
        <v>0</v>
      </c>
      <c r="AP62" s="19">
        <v>0</v>
      </c>
      <c r="AQ62" s="19">
        <v>0</v>
      </c>
      <c r="AR62" s="19">
        <v>0</v>
      </c>
      <c r="AS62" s="19">
        <v>0</v>
      </c>
      <c r="AT62" s="19">
        <v>0</v>
      </c>
      <c r="AU62" s="19">
        <v>0</v>
      </c>
      <c r="AV62" s="19">
        <v>0</v>
      </c>
      <c r="AW62" s="19">
        <v>0</v>
      </c>
      <c r="AX62" s="19">
        <v>0</v>
      </c>
      <c r="AY62" s="21" t="s">
        <v>129</v>
      </c>
      <c r="AZ62" s="36" t="str">
        <f>IFERROR(VLOOKUP('A2 (Öhdəliklər)'!AY62,List!Q:R,2,0),"")</f>
      </c>
      <c r="BA62" s="38">
        <f t="shared" si="10"/>
        <v>0</v>
      </c>
      <c r="BB62" s="38">
        <f t="shared" si="11"/>
        <v>0</v>
      </c>
      <c r="BC62" s="39">
        <f t="shared" si="12"/>
        <v>48.7556</v>
      </c>
      <c r="BD62" s="39">
        <f t="shared" si="13"/>
        <v>0</v>
      </c>
      <c r="BE62" s="39">
        <f t="shared" si="14"/>
        <v>0</v>
      </c>
      <c r="BF62" s="39">
        <f t="shared" si="15"/>
        <v>0</v>
      </c>
      <c r="BG62" s="19">
        <v>0</v>
      </c>
      <c r="BH62" s="19">
        <v>0</v>
      </c>
      <c r="BI62" s="19">
        <v>0</v>
      </c>
      <c r="BJ62" s="19">
        <v>48.7556</v>
      </c>
      <c r="BK62" s="19">
        <v>0</v>
      </c>
      <c r="BL62" s="19">
        <v>0</v>
      </c>
      <c r="BM62" s="19">
        <v>0</v>
      </c>
      <c r="BN62" s="19">
        <v>0</v>
      </c>
      <c r="BO62" s="19">
        <v>0</v>
      </c>
      <c r="BP62" s="19">
        <v>0</v>
      </c>
      <c r="BQ62" s="19">
        <v>0</v>
      </c>
      <c r="BR62" s="19">
        <v>0</v>
      </c>
      <c r="BS62" s="19">
        <v>0</v>
      </c>
      <c r="BT62" s="19">
        <v>0</v>
      </c>
      <c r="BU62" s="19">
        <v>0</v>
      </c>
      <c r="BV62" s="19">
        <v>0</v>
      </c>
      <c r="BW62" s="19">
        <v>0</v>
      </c>
      <c r="BX62" s="19">
        <v>0</v>
      </c>
      <c r="BY62" s="19">
        <v>0</v>
      </c>
      <c r="BZ62" s="34">
        <v>0</v>
      </c>
      <c r="CA62" s="18">
        <v>0</v>
      </c>
      <c r="CB62" s="20"/>
      <c r="CC62" s="36">
        <v>0</v>
      </c>
      <c r="CD62" s="34"/>
    </row>
    <row r="63" ht="19.5" customHeight="1" s="112" customFormat="1">
      <c r="A63" s="111">
        <v>49</v>
      </c>
      <c r="B63" s="35" t="str">
        <f t="shared" si="8"/>
      </c>
      <c r="C63" s="32">
        <v>16160</v>
      </c>
      <c r="D63" s="15" t="s">
        <v>182</v>
      </c>
      <c r="E63" s="1" t="s">
        <v>118</v>
      </c>
      <c r="F63" s="36" t="str">
        <f>IFERROR(VLOOKUP('A2 (Öhdəliklər)'!E63,List!A:B,2,0),"")</f>
      </c>
      <c r="G63" s="1" t="s">
        <v>119</v>
      </c>
      <c r="H63" s="36" t="str">
        <f>IFERROR(VLOOKUP('A2 (Öhdəliklər)'!G63,List!G:H,2,0),"")</f>
      </c>
      <c r="I63" s="1" t="s">
        <v>120</v>
      </c>
      <c r="J63" s="36" t="str">
        <f>IFERROR(VLOOKUP('A2 (Öhdəliklər)'!I63,List!C:D,2,0),"")</f>
      </c>
      <c r="K63" s="1" t="s">
        <v>175</v>
      </c>
      <c r="L63" s="36" t="str">
        <f>IFERROR(VLOOKUP('A2 (Öhdəliklər)'!K63,List!E:F,2,0),"")</f>
      </c>
      <c r="M63" s="1" t="s">
        <v>122</v>
      </c>
      <c r="N63" s="36" t="str">
        <f>IFERROR(VLOOKUP('A2 (Öhdəliklər)'!M63,List!M:N,2,0),"")</f>
      </c>
      <c r="O63" s="1"/>
      <c r="P63" s="36" t="str">
        <f>IFERROR(VLOOKUP('A2 (Öhdəliklər)'!O63,List!S:T,2,0),"")</f>
      </c>
      <c r="Q63" s="1"/>
      <c r="R63" s="36" t="str">
        <f>IFERROR(VLOOKUP('A2 (Öhdəliklər)'!Q63,List!K:L,2,0),"")</f>
      </c>
      <c r="S63" s="16" t="s">
        <v>123</v>
      </c>
      <c r="T63" s="16" t="s">
        <v>123</v>
      </c>
      <c r="U63" s="17" t="s">
        <v>243</v>
      </c>
      <c r="V63" s="17"/>
      <c r="W63" s="20"/>
      <c r="X63" s="18" t="s">
        <v>125</v>
      </c>
      <c r="Y63" s="1" t="s">
        <v>126</v>
      </c>
      <c r="Z63" s="36" t="str">
        <f>IFERROR(VLOOKUP('A2 (Öhdəliklər)'!Y63,List!O:P,2,0),"")</f>
      </c>
      <c r="AA63" s="19">
        <v>0</v>
      </c>
      <c r="AB63" s="19">
        <v>0</v>
      </c>
      <c r="AC63" s="37">
        <f t="shared" si="9"/>
        <v>0</v>
      </c>
      <c r="AD63" s="19" t="s">
        <v>244</v>
      </c>
      <c r="AE63" s="19">
        <v>0</v>
      </c>
      <c r="AF63" s="19">
        <v>0</v>
      </c>
      <c r="AG63" s="19">
        <v>0</v>
      </c>
      <c r="AH63" s="19">
        <v>0</v>
      </c>
      <c r="AI63" s="19" t="s">
        <v>245</v>
      </c>
      <c r="AJ63" s="19">
        <v>0</v>
      </c>
      <c r="AK63" s="19">
        <v>0</v>
      </c>
      <c r="AL63" s="19">
        <v>0</v>
      </c>
      <c r="AM63" s="19"/>
      <c r="AN63" s="19" t="s">
        <v>246</v>
      </c>
      <c r="AO63" s="19">
        <v>0</v>
      </c>
      <c r="AP63" s="19">
        <v>0</v>
      </c>
      <c r="AQ63" s="19">
        <v>0</v>
      </c>
      <c r="AR63" s="19">
        <v>0</v>
      </c>
      <c r="AS63" s="19">
        <v>0</v>
      </c>
      <c r="AT63" s="19">
        <v>0</v>
      </c>
      <c r="AU63" s="19">
        <v>0</v>
      </c>
      <c r="AV63" s="19">
        <v>0</v>
      </c>
      <c r="AW63" s="19">
        <v>0</v>
      </c>
      <c r="AX63" s="19">
        <v>0</v>
      </c>
      <c r="AY63" s="21" t="s">
        <v>129</v>
      </c>
      <c r="AZ63" s="36" t="str">
        <f>IFERROR(VLOOKUP('A2 (Öhdəliklər)'!AY63,List!Q:R,2,0),"")</f>
      </c>
      <c r="BA63" s="38">
        <f t="shared" si="10"/>
        <v>0</v>
      </c>
      <c r="BB63" s="38">
        <f t="shared" si="11"/>
        <v>0</v>
      </c>
      <c r="BC63" s="39">
        <f t="shared" si="12"/>
        <v>0</v>
      </c>
      <c r="BD63" s="39">
        <f t="shared" si="13"/>
        <v>0</v>
      </c>
      <c r="BE63" s="39">
        <f t="shared" si="14"/>
        <v>0</v>
      </c>
      <c r="BF63" s="39">
        <f t="shared" si="15"/>
        <v>0</v>
      </c>
      <c r="BG63" s="19">
        <v>0</v>
      </c>
      <c r="BH63" s="19">
        <v>0</v>
      </c>
      <c r="BI63" s="19">
        <v>0</v>
      </c>
      <c r="BJ63" s="19">
        <v>0</v>
      </c>
      <c r="BK63" s="19">
        <v>0</v>
      </c>
      <c r="BL63" s="19">
        <v>0</v>
      </c>
      <c r="BM63" s="19">
        <v>0</v>
      </c>
      <c r="BN63" s="19">
        <v>0</v>
      </c>
      <c r="BO63" s="19">
        <v>0</v>
      </c>
      <c r="BP63" s="19">
        <v>0</v>
      </c>
      <c r="BQ63" s="19">
        <v>0</v>
      </c>
      <c r="BR63" s="19">
        <v>0</v>
      </c>
      <c r="BS63" s="19">
        <v>0</v>
      </c>
      <c r="BT63" s="19">
        <v>0</v>
      </c>
      <c r="BU63" s="19">
        <v>0</v>
      </c>
      <c r="BV63" s="19">
        <v>0</v>
      </c>
      <c r="BW63" s="19">
        <v>0</v>
      </c>
      <c r="BX63" s="19">
        <v>0</v>
      </c>
      <c r="BY63" s="19">
        <v>0</v>
      </c>
      <c r="BZ63" s="34">
        <v>0</v>
      </c>
      <c r="CA63" s="18">
        <v>0</v>
      </c>
      <c r="CB63" s="20"/>
      <c r="CC63" s="36">
        <v>0</v>
      </c>
      <c r="CD63" s="34"/>
    </row>
    <row r="64" ht="19.5" customHeight="1" s="112" customFormat="1">
      <c r="A64" s="111">
        <v>50</v>
      </c>
      <c r="B64" s="35" t="str">
        <f t="shared" si="8"/>
      </c>
      <c r="C64" s="32">
        <v>15225</v>
      </c>
      <c r="D64" s="15" t="s">
        <v>182</v>
      </c>
      <c r="E64" s="1" t="s">
        <v>118</v>
      </c>
      <c r="F64" s="36" t="str">
        <f>IFERROR(VLOOKUP('A2 (Öhdəliklər)'!E64,List!A:B,2,0),"")</f>
      </c>
      <c r="G64" s="1" t="s">
        <v>119</v>
      </c>
      <c r="H64" s="36" t="str">
        <f>IFERROR(VLOOKUP('A2 (Öhdəliklər)'!G64,List!G:H,2,0),"")</f>
      </c>
      <c r="I64" s="1" t="s">
        <v>120</v>
      </c>
      <c r="J64" s="36" t="str">
        <f>IFERROR(VLOOKUP('A2 (Öhdəliklər)'!I64,List!C:D,2,0),"")</f>
      </c>
      <c r="K64" s="1" t="s">
        <v>175</v>
      </c>
      <c r="L64" s="36" t="str">
        <f>IFERROR(VLOOKUP('A2 (Öhdəliklər)'!K64,List!E:F,2,0),"")</f>
      </c>
      <c r="M64" s="1" t="s">
        <v>122</v>
      </c>
      <c r="N64" s="36" t="str">
        <f>IFERROR(VLOOKUP('A2 (Öhdəliklər)'!M64,List!M:N,2,0),"")</f>
      </c>
      <c r="O64" s="1"/>
      <c r="P64" s="36" t="str">
        <f>IFERROR(VLOOKUP('A2 (Öhdəliklər)'!O64,List!S:T,2,0),"")</f>
      </c>
      <c r="Q64" s="1"/>
      <c r="R64" s="36" t="str">
        <f>IFERROR(VLOOKUP('A2 (Öhdəliklər)'!Q64,List!K:L,2,0),"")</f>
      </c>
      <c r="S64" s="16" t="s">
        <v>123</v>
      </c>
      <c r="T64" s="16" t="s">
        <v>123</v>
      </c>
      <c r="U64" s="17" t="s">
        <v>247</v>
      </c>
      <c r="V64" s="17"/>
      <c r="W64" s="20"/>
      <c r="X64" s="18" t="s">
        <v>125</v>
      </c>
      <c r="Y64" s="1" t="s">
        <v>126</v>
      </c>
      <c r="Z64" s="36" t="str">
        <f>IFERROR(VLOOKUP('A2 (Öhdəliklər)'!Y64,List!O:P,2,0),"")</f>
      </c>
      <c r="AA64" s="19">
        <v>0</v>
      </c>
      <c r="AB64" s="19">
        <v>0</v>
      </c>
      <c r="AC64" s="37">
        <f t="shared" si="9"/>
        <v>0</v>
      </c>
      <c r="AD64" s="19" t="s">
        <v>128</v>
      </c>
      <c r="AE64" s="19">
        <v>0</v>
      </c>
      <c r="AF64" s="19">
        <v>0</v>
      </c>
      <c r="AG64" s="19">
        <v>0</v>
      </c>
      <c r="AH64" s="19">
        <v>0</v>
      </c>
      <c r="AI64" s="19" t="s">
        <v>248</v>
      </c>
      <c r="AJ64" s="19">
        <v>0</v>
      </c>
      <c r="AK64" s="19">
        <v>0</v>
      </c>
      <c r="AL64" s="19">
        <v>0</v>
      </c>
      <c r="AM64" s="19"/>
      <c r="AN64" s="19" t="s">
        <v>248</v>
      </c>
      <c r="AO64" s="19">
        <v>0</v>
      </c>
      <c r="AP64" s="19">
        <v>0</v>
      </c>
      <c r="AQ64" s="19">
        <v>0</v>
      </c>
      <c r="AR64" s="19">
        <v>0</v>
      </c>
      <c r="AS64" s="19">
        <v>0</v>
      </c>
      <c r="AT64" s="19">
        <v>0</v>
      </c>
      <c r="AU64" s="19">
        <v>0</v>
      </c>
      <c r="AV64" s="19">
        <v>0</v>
      </c>
      <c r="AW64" s="19">
        <v>0</v>
      </c>
      <c r="AX64" s="19">
        <v>0</v>
      </c>
      <c r="AY64" s="21" t="s">
        <v>129</v>
      </c>
      <c r="AZ64" s="36" t="str">
        <f>IFERROR(VLOOKUP('A2 (Öhdəliklər)'!AY64,List!Q:R,2,0),"")</f>
      </c>
      <c r="BA64" s="38">
        <f t="shared" si="10"/>
        <v>0</v>
      </c>
      <c r="BB64" s="38">
        <f t="shared" si="11"/>
        <v>0</v>
      </c>
      <c r="BC64" s="39">
        <f t="shared" si="12"/>
        <v>0</v>
      </c>
      <c r="BD64" s="39">
        <f t="shared" si="13"/>
        <v>0</v>
      </c>
      <c r="BE64" s="39">
        <f t="shared" si="14"/>
        <v>0</v>
      </c>
      <c r="BF64" s="39">
        <f t="shared" si="15"/>
        <v>0</v>
      </c>
      <c r="BG64" s="19">
        <v>0</v>
      </c>
      <c r="BH64" s="19">
        <v>0</v>
      </c>
      <c r="BI64" s="19">
        <v>0</v>
      </c>
      <c r="BJ64" s="19">
        <v>0</v>
      </c>
      <c r="BK64" s="19">
        <v>0</v>
      </c>
      <c r="BL64" s="19">
        <v>0</v>
      </c>
      <c r="BM64" s="19">
        <v>0</v>
      </c>
      <c r="BN64" s="19">
        <v>0</v>
      </c>
      <c r="BO64" s="19">
        <v>0</v>
      </c>
      <c r="BP64" s="19">
        <v>0</v>
      </c>
      <c r="BQ64" s="19">
        <v>0</v>
      </c>
      <c r="BR64" s="19">
        <v>0</v>
      </c>
      <c r="BS64" s="19">
        <v>0</v>
      </c>
      <c r="BT64" s="19">
        <v>0</v>
      </c>
      <c r="BU64" s="19">
        <v>0</v>
      </c>
      <c r="BV64" s="19">
        <v>0</v>
      </c>
      <c r="BW64" s="19">
        <v>0</v>
      </c>
      <c r="BX64" s="19">
        <v>0</v>
      </c>
      <c r="BY64" s="19">
        <v>0</v>
      </c>
      <c r="BZ64" s="34">
        <v>0</v>
      </c>
      <c r="CA64" s="18">
        <v>0</v>
      </c>
      <c r="CB64" s="20"/>
      <c r="CC64" s="36">
        <v>0</v>
      </c>
      <c r="CD64" s="34"/>
    </row>
    <row r="65" ht="19.5" customHeight="1" s="112" customFormat="1">
      <c r="A65" s="111">
        <v>51</v>
      </c>
      <c r="B65" s="35" t="str">
        <f t="shared" si="8"/>
      </c>
      <c r="C65" s="32">
        <v>14991</v>
      </c>
      <c r="D65" s="15" t="s">
        <v>174</v>
      </c>
      <c r="E65" s="1" t="s">
        <v>118</v>
      </c>
      <c r="F65" s="36" t="str">
        <f>IFERROR(VLOOKUP('A2 (Öhdəliklər)'!E65,List!A:B,2,0),"")</f>
      </c>
      <c r="G65" s="1" t="s">
        <v>119</v>
      </c>
      <c r="H65" s="36" t="str">
        <f>IFERROR(VLOOKUP('A2 (Öhdəliklər)'!G65,List!G:H,2,0),"")</f>
      </c>
      <c r="I65" s="1" t="s">
        <v>120</v>
      </c>
      <c r="J65" s="36" t="str">
        <f>IFERROR(VLOOKUP('A2 (Öhdəliklər)'!I65,List!C:D,2,0),"")</f>
      </c>
      <c r="K65" s="1" t="s">
        <v>175</v>
      </c>
      <c r="L65" s="36" t="str">
        <f>IFERROR(VLOOKUP('A2 (Öhdəliklər)'!K65,List!E:F,2,0),"")</f>
      </c>
      <c r="M65" s="1" t="s">
        <v>122</v>
      </c>
      <c r="N65" s="36" t="str">
        <f>IFERROR(VLOOKUP('A2 (Öhdəliklər)'!M65,List!M:N,2,0),"")</f>
      </c>
      <c r="O65" s="1"/>
      <c r="P65" s="36" t="str">
        <f>IFERROR(VLOOKUP('A2 (Öhdəliklər)'!O65,List!S:T,2,0),"")</f>
      </c>
      <c r="Q65" s="1"/>
      <c r="R65" s="36" t="str">
        <f>IFERROR(VLOOKUP('A2 (Öhdəliklər)'!Q65,List!K:L,2,0),"")</f>
      </c>
      <c r="S65" s="16" t="s">
        <v>123</v>
      </c>
      <c r="T65" s="16" t="s">
        <v>123</v>
      </c>
      <c r="U65" s="17" t="s">
        <v>249</v>
      </c>
      <c r="V65" s="17"/>
      <c r="W65" s="20"/>
      <c r="X65" s="18" t="s">
        <v>125</v>
      </c>
      <c r="Y65" s="1" t="s">
        <v>126</v>
      </c>
      <c r="Z65" s="36" t="str">
        <f>IFERROR(VLOOKUP('A2 (Öhdəliklər)'!Y65,List!O:P,2,0),"")</f>
      </c>
      <c r="AA65" s="19">
        <v>0</v>
      </c>
      <c r="AB65" s="19">
        <v>0</v>
      </c>
      <c r="AC65" s="37">
        <f t="shared" si="9"/>
        <v>0</v>
      </c>
      <c r="AD65" s="19" t="s">
        <v>250</v>
      </c>
      <c r="AE65" s="19">
        <v>0</v>
      </c>
      <c r="AF65" s="19">
        <v>0</v>
      </c>
      <c r="AG65" s="19">
        <v>0</v>
      </c>
      <c r="AH65" s="19">
        <v>0</v>
      </c>
      <c r="AI65" s="19" t="s">
        <v>128</v>
      </c>
      <c r="AJ65" s="19">
        <v>0</v>
      </c>
      <c r="AK65" s="19">
        <v>0</v>
      </c>
      <c r="AL65" s="19">
        <v>0</v>
      </c>
      <c r="AM65" s="19"/>
      <c r="AN65" s="19" t="s">
        <v>128</v>
      </c>
      <c r="AO65" s="19">
        <v>0</v>
      </c>
      <c r="AP65" s="19">
        <v>0</v>
      </c>
      <c r="AQ65" s="19">
        <v>0</v>
      </c>
      <c r="AR65" s="19">
        <v>0</v>
      </c>
      <c r="AS65" s="19">
        <v>0</v>
      </c>
      <c r="AT65" s="19">
        <v>0</v>
      </c>
      <c r="AU65" s="19">
        <v>0</v>
      </c>
      <c r="AV65" s="19">
        <v>0</v>
      </c>
      <c r="AW65" s="19">
        <v>0</v>
      </c>
      <c r="AX65" s="19">
        <v>0</v>
      </c>
      <c r="AY65" s="21" t="s">
        <v>129</v>
      </c>
      <c r="AZ65" s="36" t="str">
        <f>IFERROR(VLOOKUP('A2 (Öhdəliklər)'!AY65,List!Q:R,2,0),"")</f>
      </c>
      <c r="BA65" s="38">
        <f t="shared" si="10"/>
        <v>0</v>
      </c>
      <c r="BB65" s="38">
        <f t="shared" si="11"/>
        <v>0</v>
      </c>
      <c r="BC65" s="39">
        <f t="shared" si="12"/>
        <v>0.13132</v>
      </c>
      <c r="BD65" s="39">
        <f t="shared" si="13"/>
        <v>0</v>
      </c>
      <c r="BE65" s="39">
        <f t="shared" si="14"/>
        <v>0</v>
      </c>
      <c r="BF65" s="39">
        <f t="shared" si="15"/>
        <v>0</v>
      </c>
      <c r="BG65" s="19">
        <v>0</v>
      </c>
      <c r="BH65" s="19">
        <v>0</v>
      </c>
      <c r="BI65" s="19">
        <v>0</v>
      </c>
      <c r="BJ65" s="19">
        <v>0.13132</v>
      </c>
      <c r="BK65" s="19">
        <v>0</v>
      </c>
      <c r="BL65" s="19">
        <v>0</v>
      </c>
      <c r="BM65" s="19">
        <v>0</v>
      </c>
      <c r="BN65" s="19">
        <v>0</v>
      </c>
      <c r="BO65" s="19">
        <v>0</v>
      </c>
      <c r="BP65" s="19">
        <v>0</v>
      </c>
      <c r="BQ65" s="19">
        <v>0</v>
      </c>
      <c r="BR65" s="19">
        <v>0</v>
      </c>
      <c r="BS65" s="19">
        <v>0</v>
      </c>
      <c r="BT65" s="19">
        <v>0</v>
      </c>
      <c r="BU65" s="19">
        <v>0</v>
      </c>
      <c r="BV65" s="19">
        <v>0</v>
      </c>
      <c r="BW65" s="19">
        <v>0</v>
      </c>
      <c r="BX65" s="19">
        <v>0</v>
      </c>
      <c r="BY65" s="19">
        <v>0</v>
      </c>
      <c r="BZ65" s="34">
        <v>0</v>
      </c>
      <c r="CA65" s="18">
        <v>0</v>
      </c>
      <c r="CB65" s="20"/>
      <c r="CC65" s="36">
        <v>0</v>
      </c>
      <c r="CD65" s="34"/>
    </row>
    <row r="66" ht="19.5" customHeight="1" s="112" customFormat="1">
      <c r="A66" s="111">
        <v>52</v>
      </c>
      <c r="B66" s="35" t="str">
        <f ref="B66:B125" t="shared" si="16">IF((C66&amp;"-"&amp;D66&amp;"-"&amp;F66&amp;"-"&amp;H66&amp;"-"&amp;P66&amp;"-"&amp;N66)="-----","",(C66&amp;"-"&amp;D66&amp;"-"&amp;F66&amp;"-"&amp;H66&amp;"-"&amp;P66&amp;"-"&amp;N66))</f>
      </c>
      <c r="C66" s="32">
        <v>14852</v>
      </c>
      <c r="D66" s="15" t="s">
        <v>182</v>
      </c>
      <c r="E66" s="1" t="s">
        <v>118</v>
      </c>
      <c r="F66" s="36" t="str">
        <f>IFERROR(VLOOKUP('A2 (Öhdəliklər)'!E66,List!A:B,2,0),"")</f>
      </c>
      <c r="G66" s="1" t="s">
        <v>119</v>
      </c>
      <c r="H66" s="36" t="str">
        <f>IFERROR(VLOOKUP('A2 (Öhdəliklər)'!G66,List!G:H,2,0),"")</f>
      </c>
      <c r="I66" s="1" t="s">
        <v>120</v>
      </c>
      <c r="J66" s="36" t="str">
        <f>IFERROR(VLOOKUP('A2 (Öhdəliklər)'!I66,List!C:D,2,0),"")</f>
      </c>
      <c r="K66" s="1" t="s">
        <v>175</v>
      </c>
      <c r="L66" s="36" t="str">
        <f>IFERROR(VLOOKUP('A2 (Öhdəliklər)'!K66,List!E:F,2,0),"")</f>
      </c>
      <c r="M66" s="1" t="s">
        <v>122</v>
      </c>
      <c r="N66" s="36" t="str">
        <f>IFERROR(VLOOKUP('A2 (Öhdəliklər)'!M66,List!M:N,2,0),"")</f>
      </c>
      <c r="O66" s="1"/>
      <c r="P66" s="36" t="str">
        <f>IFERROR(VLOOKUP('A2 (Öhdəliklər)'!O66,List!S:T,2,0),"")</f>
      </c>
      <c r="Q66" s="1"/>
      <c r="R66" s="36" t="str">
        <f>IFERROR(VLOOKUP('A2 (Öhdəliklər)'!Q66,List!K:L,2,0),"")</f>
      </c>
      <c r="S66" s="16" t="s">
        <v>123</v>
      </c>
      <c r="T66" s="16" t="s">
        <v>123</v>
      </c>
      <c r="U66" s="17" t="s">
        <v>251</v>
      </c>
      <c r="V66" s="17"/>
      <c r="W66" s="20"/>
      <c r="X66" s="18" t="s">
        <v>125</v>
      </c>
      <c r="Y66" s="1" t="s">
        <v>126</v>
      </c>
      <c r="Z66" s="36" t="str">
        <f>IFERROR(VLOOKUP('A2 (Öhdəliklər)'!Y66,List!O:P,2,0),"")</f>
      </c>
      <c r="AA66" s="19">
        <v>0</v>
      </c>
      <c r="AB66" s="19">
        <v>0</v>
      </c>
      <c r="AC66" s="37">
        <f ref="AC66:AC125" t="shared" si="17">AD66+AF66</f>
        <v>0</v>
      </c>
      <c r="AD66" s="19" t="s">
        <v>252</v>
      </c>
      <c r="AE66" s="19">
        <v>0</v>
      </c>
      <c r="AF66" s="19">
        <v>0</v>
      </c>
      <c r="AG66" s="19">
        <v>0</v>
      </c>
      <c r="AH66" s="19">
        <v>0</v>
      </c>
      <c r="AI66" s="19" t="s">
        <v>128</v>
      </c>
      <c r="AJ66" s="19">
        <v>0</v>
      </c>
      <c r="AK66" s="19">
        <v>0</v>
      </c>
      <c r="AL66" s="19">
        <v>0</v>
      </c>
      <c r="AM66" s="19"/>
      <c r="AN66" s="19" t="s">
        <v>128</v>
      </c>
      <c r="AO66" s="19">
        <v>0</v>
      </c>
      <c r="AP66" s="19">
        <v>0</v>
      </c>
      <c r="AQ66" s="19">
        <v>0</v>
      </c>
      <c r="AR66" s="19">
        <v>0</v>
      </c>
      <c r="AS66" s="19">
        <v>0</v>
      </c>
      <c r="AT66" s="19">
        <v>0</v>
      </c>
      <c r="AU66" s="19">
        <v>0</v>
      </c>
      <c r="AV66" s="19">
        <v>0</v>
      </c>
      <c r="AW66" s="19">
        <v>0</v>
      </c>
      <c r="AX66" s="19">
        <v>0</v>
      </c>
      <c r="AY66" s="21" t="s">
        <v>129</v>
      </c>
      <c r="AZ66" s="36" t="str">
        <f>IFERROR(VLOOKUP('A2 (Öhdəliklər)'!AY66,List!Q:R,2,0),"")</f>
      </c>
      <c r="BA66" s="38">
        <f ref="BA66:BA125" t="shared" si="18">AB66+AH66-AM66+AR66+AT66</f>
        <v>0</v>
      </c>
      <c r="BB66" s="38">
        <f ref="BB66:BB125" t="shared" si="19">BC66+BE66</f>
        <v>0</v>
      </c>
      <c r="BC66" s="39">
        <f ref="BC66:BC125" t="shared" si="20">AD66+AI66-AN66+AS66+AU66</f>
        <v>0.1</v>
      </c>
      <c r="BD66" s="39">
        <f ref="BD66:BD125" t="shared" si="21">AE66+AJ66-AO66+AV66</f>
        <v>0</v>
      </c>
      <c r="BE66" s="39">
        <f ref="BE66:BE125" t="shared" si="22">AF66+AK66-AP66+AW66</f>
        <v>0</v>
      </c>
      <c r="BF66" s="39">
        <f ref="BF66:BF125" t="shared" si="23">AG66+AL66-AQ66+AX66</f>
        <v>0</v>
      </c>
      <c r="BG66" s="19">
        <v>0</v>
      </c>
      <c r="BH66" s="19">
        <v>0</v>
      </c>
      <c r="BI66" s="19">
        <v>0</v>
      </c>
      <c r="BJ66" s="19">
        <v>0.1</v>
      </c>
      <c r="BK66" s="19">
        <v>0</v>
      </c>
      <c r="BL66" s="19">
        <v>0</v>
      </c>
      <c r="BM66" s="19">
        <v>0</v>
      </c>
      <c r="BN66" s="19">
        <v>0</v>
      </c>
      <c r="BO66" s="19">
        <v>0</v>
      </c>
      <c r="BP66" s="19">
        <v>0</v>
      </c>
      <c r="BQ66" s="19">
        <v>0</v>
      </c>
      <c r="BR66" s="19">
        <v>0</v>
      </c>
      <c r="BS66" s="19">
        <v>0</v>
      </c>
      <c r="BT66" s="19">
        <v>0</v>
      </c>
      <c r="BU66" s="19">
        <v>0</v>
      </c>
      <c r="BV66" s="19">
        <v>0</v>
      </c>
      <c r="BW66" s="19">
        <v>0</v>
      </c>
      <c r="BX66" s="19">
        <v>0</v>
      </c>
      <c r="BY66" s="19">
        <v>0</v>
      </c>
      <c r="BZ66" s="34">
        <v>0</v>
      </c>
      <c r="CA66" s="18">
        <v>0</v>
      </c>
      <c r="CB66" s="20"/>
      <c r="CC66" s="36">
        <v>0</v>
      </c>
      <c r="CD66" s="34"/>
    </row>
    <row r="67" ht="19.5" customHeight="1" s="112" customFormat="1">
      <c r="A67" s="111">
        <v>53</v>
      </c>
      <c r="B67" s="35" t="str">
        <f t="shared" si="16"/>
      </c>
      <c r="C67" s="32">
        <v>14438</v>
      </c>
      <c r="D67" s="15" t="s">
        <v>182</v>
      </c>
      <c r="E67" s="1" t="s">
        <v>118</v>
      </c>
      <c r="F67" s="36" t="str">
        <f>IFERROR(VLOOKUP('A2 (Öhdəliklər)'!E67,List!A:B,2,0),"")</f>
      </c>
      <c r="G67" s="1" t="s">
        <v>119</v>
      </c>
      <c r="H67" s="36" t="str">
        <f>IFERROR(VLOOKUP('A2 (Öhdəliklər)'!G67,List!G:H,2,0),"")</f>
      </c>
      <c r="I67" s="1" t="s">
        <v>120</v>
      </c>
      <c r="J67" s="36" t="str">
        <f>IFERROR(VLOOKUP('A2 (Öhdəliklər)'!I67,List!C:D,2,0),"")</f>
      </c>
      <c r="K67" s="1" t="s">
        <v>175</v>
      </c>
      <c r="L67" s="36" t="str">
        <f>IFERROR(VLOOKUP('A2 (Öhdəliklər)'!K67,List!E:F,2,0),"")</f>
      </c>
      <c r="M67" s="1" t="s">
        <v>122</v>
      </c>
      <c r="N67" s="36" t="str">
        <f>IFERROR(VLOOKUP('A2 (Öhdəliklər)'!M67,List!M:N,2,0),"")</f>
      </c>
      <c r="O67" s="1"/>
      <c r="P67" s="36" t="str">
        <f>IFERROR(VLOOKUP('A2 (Öhdəliklər)'!O67,List!S:T,2,0),"")</f>
      </c>
      <c r="Q67" s="1"/>
      <c r="R67" s="36" t="str">
        <f>IFERROR(VLOOKUP('A2 (Öhdəliklər)'!Q67,List!K:L,2,0),"")</f>
      </c>
      <c r="S67" s="16" t="s">
        <v>123</v>
      </c>
      <c r="T67" s="16" t="s">
        <v>123</v>
      </c>
      <c r="U67" s="17" t="s">
        <v>253</v>
      </c>
      <c r="V67" s="17"/>
      <c r="W67" s="20"/>
      <c r="X67" s="18" t="s">
        <v>125</v>
      </c>
      <c r="Y67" s="1" t="s">
        <v>126</v>
      </c>
      <c r="Z67" s="36" t="str">
        <f>IFERROR(VLOOKUP('A2 (Öhdəliklər)'!Y67,List!O:P,2,0),"")</f>
      </c>
      <c r="AA67" s="19">
        <v>0</v>
      </c>
      <c r="AB67" s="19">
        <v>0</v>
      </c>
      <c r="AC67" s="37">
        <f t="shared" si="17"/>
        <v>0</v>
      </c>
      <c r="AD67" s="19" t="s">
        <v>254</v>
      </c>
      <c r="AE67" s="19">
        <v>0</v>
      </c>
      <c r="AF67" s="19">
        <v>0</v>
      </c>
      <c r="AG67" s="19">
        <v>0</v>
      </c>
      <c r="AH67" s="19">
        <v>0</v>
      </c>
      <c r="AI67" s="19" t="s">
        <v>128</v>
      </c>
      <c r="AJ67" s="19">
        <v>0</v>
      </c>
      <c r="AK67" s="19">
        <v>0</v>
      </c>
      <c r="AL67" s="19">
        <v>0</v>
      </c>
      <c r="AM67" s="19"/>
      <c r="AN67" s="19" t="s">
        <v>128</v>
      </c>
      <c r="AO67" s="19">
        <v>0</v>
      </c>
      <c r="AP67" s="19">
        <v>0</v>
      </c>
      <c r="AQ67" s="19">
        <v>0</v>
      </c>
      <c r="AR67" s="19">
        <v>0</v>
      </c>
      <c r="AS67" s="19">
        <v>0</v>
      </c>
      <c r="AT67" s="19">
        <v>0</v>
      </c>
      <c r="AU67" s="19">
        <v>0</v>
      </c>
      <c r="AV67" s="19">
        <v>0</v>
      </c>
      <c r="AW67" s="19">
        <v>0</v>
      </c>
      <c r="AX67" s="19">
        <v>0</v>
      </c>
      <c r="AY67" s="21" t="s">
        <v>129</v>
      </c>
      <c r="AZ67" s="36" t="str">
        <f>IFERROR(VLOOKUP('A2 (Öhdəliklər)'!AY67,List!Q:R,2,0),"")</f>
      </c>
      <c r="BA67" s="38">
        <f t="shared" si="18"/>
        <v>0</v>
      </c>
      <c r="BB67" s="38">
        <f t="shared" si="19"/>
        <v>0</v>
      </c>
      <c r="BC67" s="39">
        <f t="shared" si="20"/>
        <v>0.125</v>
      </c>
      <c r="BD67" s="39">
        <f t="shared" si="21"/>
        <v>0</v>
      </c>
      <c r="BE67" s="39">
        <f t="shared" si="22"/>
        <v>0</v>
      </c>
      <c r="BF67" s="39">
        <f t="shared" si="23"/>
        <v>0</v>
      </c>
      <c r="BG67" s="19">
        <v>0</v>
      </c>
      <c r="BH67" s="19">
        <v>0</v>
      </c>
      <c r="BI67" s="19">
        <v>0</v>
      </c>
      <c r="BJ67" s="19">
        <v>0.125</v>
      </c>
      <c r="BK67" s="19">
        <v>0</v>
      </c>
      <c r="BL67" s="19">
        <v>0</v>
      </c>
      <c r="BM67" s="19">
        <v>0</v>
      </c>
      <c r="BN67" s="19">
        <v>0</v>
      </c>
      <c r="BO67" s="19">
        <v>0</v>
      </c>
      <c r="BP67" s="19">
        <v>0</v>
      </c>
      <c r="BQ67" s="19">
        <v>0</v>
      </c>
      <c r="BR67" s="19">
        <v>0</v>
      </c>
      <c r="BS67" s="19">
        <v>0</v>
      </c>
      <c r="BT67" s="19">
        <v>0</v>
      </c>
      <c r="BU67" s="19">
        <v>0</v>
      </c>
      <c r="BV67" s="19">
        <v>0</v>
      </c>
      <c r="BW67" s="19">
        <v>0</v>
      </c>
      <c r="BX67" s="19">
        <v>0</v>
      </c>
      <c r="BY67" s="19">
        <v>0</v>
      </c>
      <c r="BZ67" s="34">
        <v>0</v>
      </c>
      <c r="CA67" s="18">
        <v>0</v>
      </c>
      <c r="CB67" s="20"/>
      <c r="CC67" s="36">
        <v>0</v>
      </c>
      <c r="CD67" s="34"/>
    </row>
    <row r="68" ht="19.5" customHeight="1" s="112" customFormat="1">
      <c r="A68" s="111">
        <v>54</v>
      </c>
      <c r="B68" s="35" t="str">
        <f t="shared" si="16"/>
      </c>
      <c r="C68" s="32">
        <v>13026</v>
      </c>
      <c r="D68" s="15" t="s">
        <v>255</v>
      </c>
      <c r="E68" s="1" t="s">
        <v>118</v>
      </c>
      <c r="F68" s="36" t="str">
        <f>IFERROR(VLOOKUP('A2 (Öhdəliklər)'!E68,List!A:B,2,0),"")</f>
      </c>
      <c r="G68" s="1" t="s">
        <v>119</v>
      </c>
      <c r="H68" s="36" t="str">
        <f>IFERROR(VLOOKUP('A2 (Öhdəliklər)'!G68,List!G:H,2,0),"")</f>
      </c>
      <c r="I68" s="1" t="s">
        <v>120</v>
      </c>
      <c r="J68" s="36" t="str">
        <f>IFERROR(VLOOKUP('A2 (Öhdəliklər)'!I68,List!C:D,2,0),"")</f>
      </c>
      <c r="K68" s="1" t="s">
        <v>175</v>
      </c>
      <c r="L68" s="36" t="str">
        <f>IFERROR(VLOOKUP('A2 (Öhdəliklər)'!K68,List!E:F,2,0),"")</f>
      </c>
      <c r="M68" s="1" t="s">
        <v>122</v>
      </c>
      <c r="N68" s="36" t="str">
        <f>IFERROR(VLOOKUP('A2 (Öhdəliklər)'!M68,List!M:N,2,0),"")</f>
      </c>
      <c r="O68" s="1"/>
      <c r="P68" s="36" t="str">
        <f>IFERROR(VLOOKUP('A2 (Öhdəliklər)'!O68,List!S:T,2,0),"")</f>
      </c>
      <c r="Q68" s="1"/>
      <c r="R68" s="36" t="str">
        <f>IFERROR(VLOOKUP('A2 (Öhdəliklər)'!Q68,List!K:L,2,0),"")</f>
      </c>
      <c r="S68" s="16" t="s">
        <v>123</v>
      </c>
      <c r="T68" s="16" t="s">
        <v>123</v>
      </c>
      <c r="U68" s="17" t="s">
        <v>256</v>
      </c>
      <c r="V68" s="17"/>
      <c r="W68" s="20"/>
      <c r="X68" s="18" t="s">
        <v>125</v>
      </c>
      <c r="Y68" s="1" t="s">
        <v>126</v>
      </c>
      <c r="Z68" s="36" t="str">
        <f>IFERROR(VLOOKUP('A2 (Öhdəliklər)'!Y68,List!O:P,2,0),"")</f>
      </c>
      <c r="AA68" s="19">
        <v>0</v>
      </c>
      <c r="AB68" s="19">
        <v>0</v>
      </c>
      <c r="AC68" s="37">
        <f t="shared" si="17"/>
        <v>0</v>
      </c>
      <c r="AD68" s="19" t="s">
        <v>128</v>
      </c>
      <c r="AE68" s="19">
        <v>0</v>
      </c>
      <c r="AF68" s="19">
        <v>0</v>
      </c>
      <c r="AG68" s="19">
        <v>0</v>
      </c>
      <c r="AH68" s="19">
        <v>0</v>
      </c>
      <c r="AI68" s="19" t="s">
        <v>128</v>
      </c>
      <c r="AJ68" s="19">
        <v>0</v>
      </c>
      <c r="AK68" s="19">
        <v>0</v>
      </c>
      <c r="AL68" s="19">
        <v>0</v>
      </c>
      <c r="AM68" s="19"/>
      <c r="AN68" s="19" t="s">
        <v>128</v>
      </c>
      <c r="AO68" s="19">
        <v>0</v>
      </c>
      <c r="AP68" s="19">
        <v>0</v>
      </c>
      <c r="AQ68" s="19">
        <v>0</v>
      </c>
      <c r="AR68" s="19">
        <v>0</v>
      </c>
      <c r="AS68" s="19">
        <v>0</v>
      </c>
      <c r="AT68" s="19">
        <v>0</v>
      </c>
      <c r="AU68" s="19">
        <v>0</v>
      </c>
      <c r="AV68" s="19">
        <v>0</v>
      </c>
      <c r="AW68" s="19">
        <v>0</v>
      </c>
      <c r="AX68" s="19">
        <v>0</v>
      </c>
      <c r="AY68" s="21" t="s">
        <v>129</v>
      </c>
      <c r="AZ68" s="36" t="str">
        <f>IFERROR(VLOOKUP('A2 (Öhdəliklər)'!AY68,List!Q:R,2,0),"")</f>
      </c>
      <c r="BA68" s="38">
        <f t="shared" si="18"/>
        <v>0</v>
      </c>
      <c r="BB68" s="38">
        <f t="shared" si="19"/>
        <v>0</v>
      </c>
      <c r="BC68" s="39">
        <f t="shared" si="20"/>
        <v>0</v>
      </c>
      <c r="BD68" s="39">
        <f t="shared" si="21"/>
        <v>0</v>
      </c>
      <c r="BE68" s="39">
        <f t="shared" si="22"/>
        <v>0</v>
      </c>
      <c r="BF68" s="39">
        <f t="shared" si="23"/>
        <v>0</v>
      </c>
      <c r="BG68" s="19">
        <v>0</v>
      </c>
      <c r="BH68" s="19">
        <v>0</v>
      </c>
      <c r="BI68" s="19">
        <v>0</v>
      </c>
      <c r="BJ68" s="19">
        <v>0</v>
      </c>
      <c r="BK68" s="19">
        <v>0</v>
      </c>
      <c r="BL68" s="19">
        <v>0</v>
      </c>
      <c r="BM68" s="19">
        <v>0</v>
      </c>
      <c r="BN68" s="19">
        <v>0</v>
      </c>
      <c r="BO68" s="19">
        <v>0</v>
      </c>
      <c r="BP68" s="19">
        <v>0</v>
      </c>
      <c r="BQ68" s="19">
        <v>0</v>
      </c>
      <c r="BR68" s="19">
        <v>0</v>
      </c>
      <c r="BS68" s="19">
        <v>0</v>
      </c>
      <c r="BT68" s="19">
        <v>0</v>
      </c>
      <c r="BU68" s="19">
        <v>0</v>
      </c>
      <c r="BV68" s="19">
        <v>0</v>
      </c>
      <c r="BW68" s="19">
        <v>0</v>
      </c>
      <c r="BX68" s="19">
        <v>0</v>
      </c>
      <c r="BY68" s="19">
        <v>0</v>
      </c>
      <c r="BZ68" s="34">
        <v>0</v>
      </c>
      <c r="CA68" s="18">
        <v>0</v>
      </c>
      <c r="CB68" s="20"/>
      <c r="CC68" s="36">
        <v>0</v>
      </c>
      <c r="CD68" s="34"/>
    </row>
    <row r="69" ht="19.5" customHeight="1" s="112" customFormat="1">
      <c r="A69" s="111">
        <v>55</v>
      </c>
      <c r="B69" s="35" t="str">
        <f t="shared" si="16"/>
      </c>
      <c r="C69" s="32">
        <v>13026</v>
      </c>
      <c r="D69" s="15" t="s">
        <v>182</v>
      </c>
      <c r="E69" s="1" t="s">
        <v>118</v>
      </c>
      <c r="F69" s="36" t="str">
        <f>IFERROR(VLOOKUP('A2 (Öhdəliklər)'!E69,List!A:B,2,0),"")</f>
      </c>
      <c r="G69" s="1" t="s">
        <v>119</v>
      </c>
      <c r="H69" s="36" t="str">
        <f>IFERROR(VLOOKUP('A2 (Öhdəliklər)'!G69,List!G:H,2,0),"")</f>
      </c>
      <c r="I69" s="1" t="s">
        <v>120</v>
      </c>
      <c r="J69" s="36" t="str">
        <f>IFERROR(VLOOKUP('A2 (Öhdəliklər)'!I69,List!C:D,2,0),"")</f>
      </c>
      <c r="K69" s="1" t="s">
        <v>175</v>
      </c>
      <c r="L69" s="36" t="str">
        <f>IFERROR(VLOOKUP('A2 (Öhdəliklər)'!K69,List!E:F,2,0),"")</f>
      </c>
      <c r="M69" s="1" t="s">
        <v>122</v>
      </c>
      <c r="N69" s="36" t="str">
        <f>IFERROR(VLOOKUP('A2 (Öhdəliklər)'!M69,List!M:N,2,0),"")</f>
      </c>
      <c r="O69" s="1"/>
      <c r="P69" s="36" t="str">
        <f>IFERROR(VLOOKUP('A2 (Öhdəliklər)'!O69,List!S:T,2,0),"")</f>
      </c>
      <c r="Q69" s="1"/>
      <c r="R69" s="36" t="str">
        <f>IFERROR(VLOOKUP('A2 (Öhdəliklər)'!Q69,List!K:L,2,0),"")</f>
      </c>
      <c r="S69" s="16" t="s">
        <v>123</v>
      </c>
      <c r="T69" s="16" t="s">
        <v>123</v>
      </c>
      <c r="U69" s="17" t="s">
        <v>256</v>
      </c>
      <c r="V69" s="17"/>
      <c r="W69" s="20"/>
      <c r="X69" s="18" t="s">
        <v>125</v>
      </c>
      <c r="Y69" s="1" t="s">
        <v>126</v>
      </c>
      <c r="Z69" s="36" t="str">
        <f>IFERROR(VLOOKUP('A2 (Öhdəliklər)'!Y69,List!O:P,2,0),"")</f>
      </c>
      <c r="AA69" s="19">
        <v>0</v>
      </c>
      <c r="AB69" s="19">
        <v>0</v>
      </c>
      <c r="AC69" s="37">
        <f t="shared" si="17"/>
        <v>0</v>
      </c>
      <c r="AD69" s="19" t="s">
        <v>128</v>
      </c>
      <c r="AE69" s="19">
        <v>0</v>
      </c>
      <c r="AF69" s="19">
        <v>0</v>
      </c>
      <c r="AG69" s="19">
        <v>0</v>
      </c>
      <c r="AH69" s="19">
        <v>0</v>
      </c>
      <c r="AI69" s="19" t="s">
        <v>257</v>
      </c>
      <c r="AJ69" s="19">
        <v>0</v>
      </c>
      <c r="AK69" s="19">
        <v>0</v>
      </c>
      <c r="AL69" s="19">
        <v>0</v>
      </c>
      <c r="AM69" s="19"/>
      <c r="AN69" s="19" t="s">
        <v>257</v>
      </c>
      <c r="AO69" s="19">
        <v>0</v>
      </c>
      <c r="AP69" s="19">
        <v>0</v>
      </c>
      <c r="AQ69" s="19">
        <v>0</v>
      </c>
      <c r="AR69" s="19">
        <v>0</v>
      </c>
      <c r="AS69" s="19">
        <v>0</v>
      </c>
      <c r="AT69" s="19">
        <v>0</v>
      </c>
      <c r="AU69" s="19">
        <v>0</v>
      </c>
      <c r="AV69" s="19">
        <v>0</v>
      </c>
      <c r="AW69" s="19">
        <v>0</v>
      </c>
      <c r="AX69" s="19">
        <v>0</v>
      </c>
      <c r="AY69" s="21" t="s">
        <v>129</v>
      </c>
      <c r="AZ69" s="36" t="str">
        <f>IFERROR(VLOOKUP('A2 (Öhdəliklər)'!AY69,List!Q:R,2,0),"")</f>
      </c>
      <c r="BA69" s="38">
        <f t="shared" si="18"/>
        <v>0</v>
      </c>
      <c r="BB69" s="38">
        <f t="shared" si="19"/>
        <v>0</v>
      </c>
      <c r="BC69" s="39">
        <f t="shared" si="20"/>
        <v>0</v>
      </c>
      <c r="BD69" s="39">
        <f t="shared" si="21"/>
        <v>0</v>
      </c>
      <c r="BE69" s="39">
        <f t="shared" si="22"/>
        <v>0</v>
      </c>
      <c r="BF69" s="39">
        <f t="shared" si="23"/>
        <v>0</v>
      </c>
      <c r="BG69" s="19">
        <v>0</v>
      </c>
      <c r="BH69" s="19">
        <v>0</v>
      </c>
      <c r="BI69" s="19">
        <v>0</v>
      </c>
      <c r="BJ69" s="19">
        <v>0</v>
      </c>
      <c r="BK69" s="19">
        <v>0</v>
      </c>
      <c r="BL69" s="19">
        <v>0</v>
      </c>
      <c r="BM69" s="19">
        <v>0</v>
      </c>
      <c r="BN69" s="19">
        <v>0</v>
      </c>
      <c r="BO69" s="19">
        <v>0</v>
      </c>
      <c r="BP69" s="19">
        <v>0</v>
      </c>
      <c r="BQ69" s="19">
        <v>0</v>
      </c>
      <c r="BR69" s="19">
        <v>0</v>
      </c>
      <c r="BS69" s="19">
        <v>0</v>
      </c>
      <c r="BT69" s="19">
        <v>0</v>
      </c>
      <c r="BU69" s="19">
        <v>0</v>
      </c>
      <c r="BV69" s="19">
        <v>0</v>
      </c>
      <c r="BW69" s="19">
        <v>0</v>
      </c>
      <c r="BX69" s="19">
        <v>0</v>
      </c>
      <c r="BY69" s="19">
        <v>0</v>
      </c>
      <c r="BZ69" s="34">
        <v>0</v>
      </c>
      <c r="CA69" s="18">
        <v>0</v>
      </c>
      <c r="CB69" s="20"/>
      <c r="CC69" s="36">
        <v>0</v>
      </c>
      <c r="CD69" s="34"/>
    </row>
    <row r="70" ht="19.5" customHeight="1" s="112" customFormat="1">
      <c r="A70" s="111">
        <v>56</v>
      </c>
      <c r="B70" s="35" t="str">
        <f t="shared" si="16"/>
      </c>
      <c r="C70" s="32">
        <v>11362</v>
      </c>
      <c r="D70" s="15" t="s">
        <v>182</v>
      </c>
      <c r="E70" s="1" t="s">
        <v>118</v>
      </c>
      <c r="F70" s="36" t="str">
        <f>IFERROR(VLOOKUP('A2 (Öhdəliklər)'!E70,List!A:B,2,0),"")</f>
      </c>
      <c r="G70" s="1" t="s">
        <v>119</v>
      </c>
      <c r="H70" s="36" t="str">
        <f>IFERROR(VLOOKUP('A2 (Öhdəliklər)'!G70,List!G:H,2,0),"")</f>
      </c>
      <c r="I70" s="1" t="s">
        <v>120</v>
      </c>
      <c r="J70" s="36" t="str">
        <f>IFERROR(VLOOKUP('A2 (Öhdəliklər)'!I70,List!C:D,2,0),"")</f>
      </c>
      <c r="K70" s="1" t="s">
        <v>175</v>
      </c>
      <c r="L70" s="36" t="str">
        <f>IFERROR(VLOOKUP('A2 (Öhdəliklər)'!K70,List!E:F,2,0),"")</f>
      </c>
      <c r="M70" s="1" t="s">
        <v>122</v>
      </c>
      <c r="N70" s="36" t="str">
        <f>IFERROR(VLOOKUP('A2 (Öhdəliklər)'!M70,List!M:N,2,0),"")</f>
      </c>
      <c r="O70" s="1"/>
      <c r="P70" s="36" t="str">
        <f>IFERROR(VLOOKUP('A2 (Öhdəliklər)'!O70,List!S:T,2,0),"")</f>
      </c>
      <c r="Q70" s="1"/>
      <c r="R70" s="36" t="str">
        <f>IFERROR(VLOOKUP('A2 (Öhdəliklər)'!Q70,List!K:L,2,0),"")</f>
      </c>
      <c r="S70" s="16" t="s">
        <v>123</v>
      </c>
      <c r="T70" s="16" t="s">
        <v>123</v>
      </c>
      <c r="U70" s="17" t="s">
        <v>258</v>
      </c>
      <c r="V70" s="17"/>
      <c r="W70" s="20"/>
      <c r="X70" s="18" t="s">
        <v>125</v>
      </c>
      <c r="Y70" s="1" t="s">
        <v>126</v>
      </c>
      <c r="Z70" s="36" t="str">
        <f>IFERROR(VLOOKUP('A2 (Öhdəliklər)'!Y70,List!O:P,2,0),"")</f>
      </c>
      <c r="AA70" s="19">
        <v>0</v>
      </c>
      <c r="AB70" s="19">
        <v>0</v>
      </c>
      <c r="AC70" s="37">
        <f t="shared" si="17"/>
        <v>0</v>
      </c>
      <c r="AD70" s="19" t="s">
        <v>259</v>
      </c>
      <c r="AE70" s="19">
        <v>0</v>
      </c>
      <c r="AF70" s="19">
        <v>0</v>
      </c>
      <c r="AG70" s="19">
        <v>0</v>
      </c>
      <c r="AH70" s="19">
        <v>0</v>
      </c>
      <c r="AI70" s="19" t="s">
        <v>128</v>
      </c>
      <c r="AJ70" s="19">
        <v>0</v>
      </c>
      <c r="AK70" s="19">
        <v>0</v>
      </c>
      <c r="AL70" s="19">
        <v>0</v>
      </c>
      <c r="AM70" s="19"/>
      <c r="AN70" s="19" t="s">
        <v>128</v>
      </c>
      <c r="AO70" s="19">
        <v>0</v>
      </c>
      <c r="AP70" s="19">
        <v>0</v>
      </c>
      <c r="AQ70" s="19">
        <v>0</v>
      </c>
      <c r="AR70" s="19">
        <v>0</v>
      </c>
      <c r="AS70" s="19">
        <v>0</v>
      </c>
      <c r="AT70" s="19">
        <v>0</v>
      </c>
      <c r="AU70" s="19">
        <v>0</v>
      </c>
      <c r="AV70" s="19">
        <v>0</v>
      </c>
      <c r="AW70" s="19">
        <v>0</v>
      </c>
      <c r="AX70" s="19">
        <v>0</v>
      </c>
      <c r="AY70" s="21" t="s">
        <v>129</v>
      </c>
      <c r="AZ70" s="36" t="str">
        <f>IFERROR(VLOOKUP('A2 (Öhdəliklər)'!AY70,List!Q:R,2,0),"")</f>
      </c>
      <c r="BA70" s="38">
        <f t="shared" si="18"/>
        <v>0</v>
      </c>
      <c r="BB70" s="38">
        <f t="shared" si="19"/>
        <v>0</v>
      </c>
      <c r="BC70" s="39">
        <f t="shared" si="20"/>
        <v>0.01318</v>
      </c>
      <c r="BD70" s="39">
        <f t="shared" si="21"/>
        <v>0</v>
      </c>
      <c r="BE70" s="39">
        <f t="shared" si="22"/>
        <v>0</v>
      </c>
      <c r="BF70" s="39">
        <f t="shared" si="23"/>
        <v>0</v>
      </c>
      <c r="BG70" s="19">
        <v>0</v>
      </c>
      <c r="BH70" s="19">
        <v>0</v>
      </c>
      <c r="BI70" s="19">
        <v>0</v>
      </c>
      <c r="BJ70" s="19">
        <v>0.01318</v>
      </c>
      <c r="BK70" s="19">
        <v>0</v>
      </c>
      <c r="BL70" s="19">
        <v>0</v>
      </c>
      <c r="BM70" s="19">
        <v>0</v>
      </c>
      <c r="BN70" s="19">
        <v>0</v>
      </c>
      <c r="BO70" s="19">
        <v>0</v>
      </c>
      <c r="BP70" s="19">
        <v>0</v>
      </c>
      <c r="BQ70" s="19">
        <v>0</v>
      </c>
      <c r="BR70" s="19">
        <v>0</v>
      </c>
      <c r="BS70" s="19">
        <v>0</v>
      </c>
      <c r="BT70" s="19">
        <v>0</v>
      </c>
      <c r="BU70" s="19">
        <v>0</v>
      </c>
      <c r="BV70" s="19">
        <v>0</v>
      </c>
      <c r="BW70" s="19">
        <v>0</v>
      </c>
      <c r="BX70" s="19">
        <v>0</v>
      </c>
      <c r="BY70" s="19">
        <v>0</v>
      </c>
      <c r="BZ70" s="34">
        <v>0</v>
      </c>
      <c r="CA70" s="18">
        <v>0</v>
      </c>
      <c r="CB70" s="20"/>
      <c r="CC70" s="36">
        <v>0</v>
      </c>
      <c r="CD70" s="34"/>
    </row>
    <row r="71" ht="19.5" customHeight="1" s="112" customFormat="1">
      <c r="A71" s="111">
        <v>57</v>
      </c>
      <c r="B71" s="35" t="str">
        <f t="shared" si="16"/>
      </c>
      <c r="C71" s="32">
        <v>11079</v>
      </c>
      <c r="D71" s="15" t="s">
        <v>182</v>
      </c>
      <c r="E71" s="1" t="s">
        <v>118</v>
      </c>
      <c r="F71" s="36" t="str">
        <f>IFERROR(VLOOKUP('A2 (Öhdəliklər)'!E71,List!A:B,2,0),"")</f>
      </c>
      <c r="G71" s="1" t="s">
        <v>119</v>
      </c>
      <c r="H71" s="36" t="str">
        <f>IFERROR(VLOOKUP('A2 (Öhdəliklər)'!G71,List!G:H,2,0),"")</f>
      </c>
      <c r="I71" s="1" t="s">
        <v>120</v>
      </c>
      <c r="J71" s="36" t="str">
        <f>IFERROR(VLOOKUP('A2 (Öhdəliklər)'!I71,List!C:D,2,0),"")</f>
      </c>
      <c r="K71" s="1" t="s">
        <v>175</v>
      </c>
      <c r="L71" s="36" t="str">
        <f>IFERROR(VLOOKUP('A2 (Öhdəliklər)'!K71,List!E:F,2,0),"")</f>
      </c>
      <c r="M71" s="1" t="s">
        <v>122</v>
      </c>
      <c r="N71" s="36" t="str">
        <f>IFERROR(VLOOKUP('A2 (Öhdəliklər)'!M71,List!M:N,2,0),"")</f>
      </c>
      <c r="O71" s="1"/>
      <c r="P71" s="36" t="str">
        <f>IFERROR(VLOOKUP('A2 (Öhdəliklər)'!O71,List!S:T,2,0),"")</f>
      </c>
      <c r="Q71" s="1"/>
      <c r="R71" s="36" t="str">
        <f>IFERROR(VLOOKUP('A2 (Öhdəliklər)'!Q71,List!K:L,2,0),"")</f>
      </c>
      <c r="S71" s="16" t="s">
        <v>123</v>
      </c>
      <c r="T71" s="16" t="s">
        <v>123</v>
      </c>
      <c r="U71" s="17" t="s">
        <v>260</v>
      </c>
      <c r="V71" s="17"/>
      <c r="W71" s="20"/>
      <c r="X71" s="18" t="s">
        <v>125</v>
      </c>
      <c r="Y71" s="1" t="s">
        <v>126</v>
      </c>
      <c r="Z71" s="36" t="str">
        <f>IFERROR(VLOOKUP('A2 (Öhdəliklər)'!Y71,List!O:P,2,0),"")</f>
      </c>
      <c r="AA71" s="19">
        <v>0</v>
      </c>
      <c r="AB71" s="19">
        <v>0</v>
      </c>
      <c r="AC71" s="37">
        <f t="shared" si="17"/>
        <v>0</v>
      </c>
      <c r="AD71" s="19" t="s">
        <v>128</v>
      </c>
      <c r="AE71" s="19">
        <v>0</v>
      </c>
      <c r="AF71" s="19">
        <v>0</v>
      </c>
      <c r="AG71" s="19">
        <v>0</v>
      </c>
      <c r="AH71" s="19">
        <v>0</v>
      </c>
      <c r="AI71" s="19" t="s">
        <v>183</v>
      </c>
      <c r="AJ71" s="19">
        <v>0</v>
      </c>
      <c r="AK71" s="19">
        <v>0</v>
      </c>
      <c r="AL71" s="19">
        <v>0</v>
      </c>
      <c r="AM71" s="19"/>
      <c r="AN71" s="19" t="s">
        <v>183</v>
      </c>
      <c r="AO71" s="19">
        <v>0</v>
      </c>
      <c r="AP71" s="19">
        <v>0</v>
      </c>
      <c r="AQ71" s="19">
        <v>0</v>
      </c>
      <c r="AR71" s="19">
        <v>0</v>
      </c>
      <c r="AS71" s="19">
        <v>0</v>
      </c>
      <c r="AT71" s="19">
        <v>0</v>
      </c>
      <c r="AU71" s="19">
        <v>0</v>
      </c>
      <c r="AV71" s="19">
        <v>0</v>
      </c>
      <c r="AW71" s="19">
        <v>0</v>
      </c>
      <c r="AX71" s="19">
        <v>0</v>
      </c>
      <c r="AY71" s="21" t="s">
        <v>129</v>
      </c>
      <c r="AZ71" s="36" t="str">
        <f>IFERROR(VLOOKUP('A2 (Öhdəliklər)'!AY71,List!Q:R,2,0),"")</f>
      </c>
      <c r="BA71" s="38">
        <f t="shared" si="18"/>
        <v>0</v>
      </c>
      <c r="BB71" s="38">
        <f t="shared" si="19"/>
        <v>0</v>
      </c>
      <c r="BC71" s="39">
        <f t="shared" si="20"/>
        <v>0</v>
      </c>
      <c r="BD71" s="39">
        <f t="shared" si="21"/>
        <v>0</v>
      </c>
      <c r="BE71" s="39">
        <f t="shared" si="22"/>
        <v>0</v>
      </c>
      <c r="BF71" s="39">
        <f t="shared" si="23"/>
        <v>0</v>
      </c>
      <c r="BG71" s="19">
        <v>0</v>
      </c>
      <c r="BH71" s="19">
        <v>0</v>
      </c>
      <c r="BI71" s="19">
        <v>0</v>
      </c>
      <c r="BJ71" s="19">
        <v>0</v>
      </c>
      <c r="BK71" s="19">
        <v>0</v>
      </c>
      <c r="BL71" s="19">
        <v>0</v>
      </c>
      <c r="BM71" s="19">
        <v>0</v>
      </c>
      <c r="BN71" s="19">
        <v>0</v>
      </c>
      <c r="BO71" s="19">
        <v>0</v>
      </c>
      <c r="BP71" s="19">
        <v>0</v>
      </c>
      <c r="BQ71" s="19">
        <v>0</v>
      </c>
      <c r="BR71" s="19">
        <v>0</v>
      </c>
      <c r="BS71" s="19">
        <v>0</v>
      </c>
      <c r="BT71" s="19">
        <v>0</v>
      </c>
      <c r="BU71" s="19">
        <v>0</v>
      </c>
      <c r="BV71" s="19">
        <v>0</v>
      </c>
      <c r="BW71" s="19">
        <v>0</v>
      </c>
      <c r="BX71" s="19">
        <v>0</v>
      </c>
      <c r="BY71" s="19">
        <v>0</v>
      </c>
      <c r="BZ71" s="34">
        <v>0</v>
      </c>
      <c r="CA71" s="18">
        <v>0</v>
      </c>
      <c r="CB71" s="20"/>
      <c r="CC71" s="36">
        <v>0</v>
      </c>
      <c r="CD71" s="34"/>
    </row>
    <row r="72" ht="19.5" customHeight="1" s="112" customFormat="1">
      <c r="A72" s="111">
        <v>58</v>
      </c>
      <c r="B72" s="35" t="str">
        <f t="shared" si="16"/>
      </c>
      <c r="C72" s="32">
        <v>10043</v>
      </c>
      <c r="D72" s="15" t="s">
        <v>182</v>
      </c>
      <c r="E72" s="1" t="s">
        <v>118</v>
      </c>
      <c r="F72" s="36" t="str">
        <f>IFERROR(VLOOKUP('A2 (Öhdəliklər)'!E72,List!A:B,2,0),"")</f>
      </c>
      <c r="G72" s="1" t="s">
        <v>119</v>
      </c>
      <c r="H72" s="36" t="str">
        <f>IFERROR(VLOOKUP('A2 (Öhdəliklər)'!G72,List!G:H,2,0),"")</f>
      </c>
      <c r="I72" s="1" t="s">
        <v>120</v>
      </c>
      <c r="J72" s="36" t="str">
        <f>IFERROR(VLOOKUP('A2 (Öhdəliklər)'!I72,List!C:D,2,0),"")</f>
      </c>
      <c r="K72" s="1" t="s">
        <v>175</v>
      </c>
      <c r="L72" s="36" t="str">
        <f>IFERROR(VLOOKUP('A2 (Öhdəliklər)'!K72,List!E:F,2,0),"")</f>
      </c>
      <c r="M72" s="1" t="s">
        <v>261</v>
      </c>
      <c r="N72" s="36" t="str">
        <f>IFERROR(VLOOKUP('A2 (Öhdəliklər)'!M72,List!M:N,2,0),"")</f>
      </c>
      <c r="O72" s="1"/>
      <c r="P72" s="36" t="str">
        <f>IFERROR(VLOOKUP('A2 (Öhdəliklər)'!O72,List!S:T,2,0),"")</f>
      </c>
      <c r="Q72" s="1"/>
      <c r="R72" s="36" t="str">
        <f>IFERROR(VLOOKUP('A2 (Öhdəliklər)'!Q72,List!K:L,2,0),"")</f>
      </c>
      <c r="S72" s="16" t="s">
        <v>123</v>
      </c>
      <c r="T72" s="16" t="s">
        <v>123</v>
      </c>
      <c r="U72" s="17" t="s">
        <v>124</v>
      </c>
      <c r="V72" s="17"/>
      <c r="W72" s="20"/>
      <c r="X72" s="18" t="s">
        <v>125</v>
      </c>
      <c r="Y72" s="1" t="s">
        <v>126</v>
      </c>
      <c r="Z72" s="36" t="str">
        <f>IFERROR(VLOOKUP('A2 (Öhdəliklər)'!Y72,List!O:P,2,0),"")</f>
      </c>
      <c r="AA72" s="19">
        <v>0</v>
      </c>
      <c r="AB72" s="19">
        <v>0</v>
      </c>
      <c r="AC72" s="37">
        <f t="shared" si="17"/>
        <v>0</v>
      </c>
      <c r="AD72" s="19" t="s">
        <v>128</v>
      </c>
      <c r="AE72" s="19">
        <v>0</v>
      </c>
      <c r="AF72" s="19">
        <v>0</v>
      </c>
      <c r="AG72" s="19">
        <v>0</v>
      </c>
      <c r="AH72" s="19">
        <v>0</v>
      </c>
      <c r="AI72" s="19" t="s">
        <v>262</v>
      </c>
      <c r="AJ72" s="19">
        <v>0</v>
      </c>
      <c r="AK72" s="19">
        <v>0</v>
      </c>
      <c r="AL72" s="19">
        <v>0</v>
      </c>
      <c r="AM72" s="19"/>
      <c r="AN72" s="19" t="s">
        <v>262</v>
      </c>
      <c r="AO72" s="19">
        <v>0</v>
      </c>
      <c r="AP72" s="19">
        <v>0</v>
      </c>
      <c r="AQ72" s="19">
        <v>0</v>
      </c>
      <c r="AR72" s="19">
        <v>0</v>
      </c>
      <c r="AS72" s="19">
        <v>0</v>
      </c>
      <c r="AT72" s="19">
        <v>0</v>
      </c>
      <c r="AU72" s="19">
        <v>0</v>
      </c>
      <c r="AV72" s="19">
        <v>0</v>
      </c>
      <c r="AW72" s="19">
        <v>0</v>
      </c>
      <c r="AX72" s="19">
        <v>0</v>
      </c>
      <c r="AY72" s="21" t="s">
        <v>129</v>
      </c>
      <c r="AZ72" s="36" t="str">
        <f>IFERROR(VLOOKUP('A2 (Öhdəliklər)'!AY72,List!Q:R,2,0),"")</f>
      </c>
      <c r="BA72" s="38">
        <f t="shared" si="18"/>
        <v>0</v>
      </c>
      <c r="BB72" s="38">
        <f t="shared" si="19"/>
        <v>0</v>
      </c>
      <c r="BC72" s="39">
        <f t="shared" si="20"/>
        <v>0</v>
      </c>
      <c r="BD72" s="39">
        <f t="shared" si="21"/>
        <v>0</v>
      </c>
      <c r="BE72" s="39">
        <f t="shared" si="22"/>
        <v>0</v>
      </c>
      <c r="BF72" s="39">
        <f t="shared" si="23"/>
        <v>0</v>
      </c>
      <c r="BG72" s="19">
        <v>0</v>
      </c>
      <c r="BH72" s="19">
        <v>0</v>
      </c>
      <c r="BI72" s="19">
        <v>0</v>
      </c>
      <c r="BJ72" s="19">
        <v>0</v>
      </c>
      <c r="BK72" s="19">
        <v>0</v>
      </c>
      <c r="BL72" s="19">
        <v>0</v>
      </c>
      <c r="BM72" s="19">
        <v>0</v>
      </c>
      <c r="BN72" s="19">
        <v>0</v>
      </c>
      <c r="BO72" s="19">
        <v>0</v>
      </c>
      <c r="BP72" s="19">
        <v>0</v>
      </c>
      <c r="BQ72" s="19">
        <v>0</v>
      </c>
      <c r="BR72" s="19">
        <v>0</v>
      </c>
      <c r="BS72" s="19">
        <v>0</v>
      </c>
      <c r="BT72" s="19">
        <v>0</v>
      </c>
      <c r="BU72" s="19">
        <v>0</v>
      </c>
      <c r="BV72" s="19">
        <v>0</v>
      </c>
      <c r="BW72" s="19">
        <v>0</v>
      </c>
      <c r="BX72" s="19">
        <v>0</v>
      </c>
      <c r="BY72" s="19">
        <v>0</v>
      </c>
      <c r="BZ72" s="34">
        <v>0</v>
      </c>
      <c r="CA72" s="18">
        <v>0</v>
      </c>
      <c r="CB72" s="20"/>
      <c r="CC72" s="36">
        <v>0</v>
      </c>
      <c r="CD72" s="34"/>
    </row>
    <row r="73" ht="19.5" customHeight="1" s="112" customFormat="1">
      <c r="A73" s="111">
        <v>59</v>
      </c>
      <c r="B73" s="35" t="str">
        <f t="shared" si="16"/>
      </c>
      <c r="C73" s="32">
        <v>2982</v>
      </c>
      <c r="D73" s="15" t="s">
        <v>174</v>
      </c>
      <c r="E73" s="1" t="s">
        <v>118</v>
      </c>
      <c r="F73" s="36" t="str">
        <f>IFERROR(VLOOKUP('A2 (Öhdəliklər)'!E73,List!A:B,2,0),"")</f>
      </c>
      <c r="G73" s="1" t="s">
        <v>119</v>
      </c>
      <c r="H73" s="36" t="str">
        <f>IFERROR(VLOOKUP('A2 (Öhdəliklər)'!G73,List!G:H,2,0),"")</f>
      </c>
      <c r="I73" s="1" t="s">
        <v>120</v>
      </c>
      <c r="J73" s="36" t="str">
        <f>IFERROR(VLOOKUP('A2 (Öhdəliklər)'!I73,List!C:D,2,0),"")</f>
      </c>
      <c r="K73" s="1" t="s">
        <v>175</v>
      </c>
      <c r="L73" s="36" t="str">
        <f>IFERROR(VLOOKUP('A2 (Öhdəliklər)'!K73,List!E:F,2,0),"")</f>
      </c>
      <c r="M73" s="1" t="s">
        <v>122</v>
      </c>
      <c r="N73" s="36" t="str">
        <f>IFERROR(VLOOKUP('A2 (Öhdəliklər)'!M73,List!M:N,2,0),"")</f>
      </c>
      <c r="O73" s="1"/>
      <c r="P73" s="36" t="str">
        <f>IFERROR(VLOOKUP('A2 (Öhdəliklər)'!O73,List!S:T,2,0),"")</f>
      </c>
      <c r="Q73" s="1"/>
      <c r="R73" s="36" t="str">
        <f>IFERROR(VLOOKUP('A2 (Öhdəliklər)'!Q73,List!K:L,2,0),"")</f>
      </c>
      <c r="S73" s="16" t="s">
        <v>123</v>
      </c>
      <c r="T73" s="16" t="s">
        <v>123</v>
      </c>
      <c r="U73" s="17" t="s">
        <v>263</v>
      </c>
      <c r="V73" s="17"/>
      <c r="W73" s="20"/>
      <c r="X73" s="18" t="s">
        <v>125</v>
      </c>
      <c r="Y73" s="1" t="s">
        <v>126</v>
      </c>
      <c r="Z73" s="36" t="str">
        <f>IFERROR(VLOOKUP('A2 (Öhdəliklər)'!Y73,List!O:P,2,0),"")</f>
      </c>
      <c r="AA73" s="19">
        <v>0</v>
      </c>
      <c r="AB73" s="19">
        <v>0</v>
      </c>
      <c r="AC73" s="37">
        <f t="shared" si="17"/>
        <v>0</v>
      </c>
      <c r="AD73" s="19" t="s">
        <v>264</v>
      </c>
      <c r="AE73" s="19">
        <v>0</v>
      </c>
      <c r="AF73" s="19">
        <v>0</v>
      </c>
      <c r="AG73" s="19">
        <v>0</v>
      </c>
      <c r="AH73" s="19">
        <v>0</v>
      </c>
      <c r="AI73" s="19" t="s">
        <v>128</v>
      </c>
      <c r="AJ73" s="19">
        <v>0</v>
      </c>
      <c r="AK73" s="19">
        <v>0</v>
      </c>
      <c r="AL73" s="19">
        <v>0</v>
      </c>
      <c r="AM73" s="19"/>
      <c r="AN73" s="19" t="s">
        <v>128</v>
      </c>
      <c r="AO73" s="19">
        <v>0</v>
      </c>
      <c r="AP73" s="19">
        <v>0</v>
      </c>
      <c r="AQ73" s="19">
        <v>0</v>
      </c>
      <c r="AR73" s="19">
        <v>0</v>
      </c>
      <c r="AS73" s="19">
        <v>0</v>
      </c>
      <c r="AT73" s="19">
        <v>0</v>
      </c>
      <c r="AU73" s="19">
        <v>0</v>
      </c>
      <c r="AV73" s="19">
        <v>0</v>
      </c>
      <c r="AW73" s="19">
        <v>0</v>
      </c>
      <c r="AX73" s="19">
        <v>0</v>
      </c>
      <c r="AY73" s="21" t="s">
        <v>129</v>
      </c>
      <c r="AZ73" s="36" t="str">
        <f>IFERROR(VLOOKUP('A2 (Öhdəliklər)'!AY73,List!Q:R,2,0),"")</f>
      </c>
      <c r="BA73" s="38">
        <f t="shared" si="18"/>
        <v>0</v>
      </c>
      <c r="BB73" s="38">
        <f t="shared" si="19"/>
        <v>0</v>
      </c>
      <c r="BC73" s="39">
        <f t="shared" si="20"/>
        <v>0.01505</v>
      </c>
      <c r="BD73" s="39">
        <f t="shared" si="21"/>
        <v>0</v>
      </c>
      <c r="BE73" s="39">
        <f t="shared" si="22"/>
        <v>0</v>
      </c>
      <c r="BF73" s="39">
        <f t="shared" si="23"/>
        <v>0</v>
      </c>
      <c r="BG73" s="19">
        <v>0</v>
      </c>
      <c r="BH73" s="19">
        <v>0</v>
      </c>
      <c r="BI73" s="19">
        <v>0</v>
      </c>
      <c r="BJ73" s="19">
        <v>0.01505</v>
      </c>
      <c r="BK73" s="19">
        <v>0</v>
      </c>
      <c r="BL73" s="19">
        <v>0</v>
      </c>
      <c r="BM73" s="19">
        <v>0</v>
      </c>
      <c r="BN73" s="19">
        <v>0</v>
      </c>
      <c r="BO73" s="19">
        <v>0</v>
      </c>
      <c r="BP73" s="19">
        <v>0</v>
      </c>
      <c r="BQ73" s="19">
        <v>0</v>
      </c>
      <c r="BR73" s="19">
        <v>0</v>
      </c>
      <c r="BS73" s="19">
        <v>0</v>
      </c>
      <c r="BT73" s="19">
        <v>0</v>
      </c>
      <c r="BU73" s="19">
        <v>0</v>
      </c>
      <c r="BV73" s="19">
        <v>0</v>
      </c>
      <c r="BW73" s="19">
        <v>0</v>
      </c>
      <c r="BX73" s="19">
        <v>0</v>
      </c>
      <c r="BY73" s="19">
        <v>0</v>
      </c>
      <c r="BZ73" s="34">
        <v>0</v>
      </c>
      <c r="CA73" s="18">
        <v>0</v>
      </c>
      <c r="CB73" s="20"/>
      <c r="CC73" s="36">
        <v>0</v>
      </c>
      <c r="CD73" s="34"/>
    </row>
    <row r="74" ht="19.5" customHeight="1" s="112" customFormat="1">
      <c r="A74" s="111">
        <v>60</v>
      </c>
      <c r="B74" s="35" t="str">
        <f t="shared" si="16"/>
      </c>
      <c r="C74" s="32">
        <v>2806</v>
      </c>
      <c r="D74" s="15" t="s">
        <v>265</v>
      </c>
      <c r="E74" s="1" t="s">
        <v>118</v>
      </c>
      <c r="F74" s="36" t="str">
        <f>IFERROR(VLOOKUP('A2 (Öhdəliklər)'!E74,List!A:B,2,0),"")</f>
      </c>
      <c r="G74" s="1" t="s">
        <v>119</v>
      </c>
      <c r="H74" s="36" t="str">
        <f>IFERROR(VLOOKUP('A2 (Öhdəliklər)'!G74,List!G:H,2,0),"")</f>
      </c>
      <c r="I74" s="1" t="s">
        <v>120</v>
      </c>
      <c r="J74" s="36" t="str">
        <f>IFERROR(VLOOKUP('A2 (Öhdəliklər)'!I74,List!C:D,2,0),"")</f>
      </c>
      <c r="K74" s="1" t="s">
        <v>175</v>
      </c>
      <c r="L74" s="36" t="str">
        <f>IFERROR(VLOOKUP('A2 (Öhdəliklər)'!K74,List!E:F,2,0),"")</f>
      </c>
      <c r="M74" s="1" t="s">
        <v>122</v>
      </c>
      <c r="N74" s="36" t="str">
        <f>IFERROR(VLOOKUP('A2 (Öhdəliklər)'!M74,List!M:N,2,0),"")</f>
      </c>
      <c r="O74" s="1"/>
      <c r="P74" s="36" t="str">
        <f>IFERROR(VLOOKUP('A2 (Öhdəliklər)'!O74,List!S:T,2,0),"")</f>
      </c>
      <c r="Q74" s="1"/>
      <c r="R74" s="36" t="str">
        <f>IFERROR(VLOOKUP('A2 (Öhdəliklər)'!Q74,List!K:L,2,0),"")</f>
      </c>
      <c r="S74" s="16" t="s">
        <v>123</v>
      </c>
      <c r="T74" s="16" t="s">
        <v>123</v>
      </c>
      <c r="U74" s="17" t="s">
        <v>266</v>
      </c>
      <c r="V74" s="17"/>
      <c r="W74" s="20"/>
      <c r="X74" s="18" t="s">
        <v>125</v>
      </c>
      <c r="Y74" s="1" t="s">
        <v>126</v>
      </c>
      <c r="Z74" s="36" t="str">
        <f>IFERROR(VLOOKUP('A2 (Öhdəliklər)'!Y74,List!O:P,2,0),"")</f>
      </c>
      <c r="AA74" s="19">
        <v>0</v>
      </c>
      <c r="AB74" s="19">
        <v>0</v>
      </c>
      <c r="AC74" s="37">
        <f t="shared" si="17"/>
        <v>0</v>
      </c>
      <c r="AD74" s="19" t="s">
        <v>252</v>
      </c>
      <c r="AE74" s="19">
        <v>0</v>
      </c>
      <c r="AF74" s="19">
        <v>0</v>
      </c>
      <c r="AG74" s="19">
        <v>0</v>
      </c>
      <c r="AH74" s="19">
        <v>0</v>
      </c>
      <c r="AI74" s="19" t="s">
        <v>128</v>
      </c>
      <c r="AJ74" s="19">
        <v>0</v>
      </c>
      <c r="AK74" s="19">
        <v>0</v>
      </c>
      <c r="AL74" s="19">
        <v>0</v>
      </c>
      <c r="AM74" s="19"/>
      <c r="AN74" s="19" t="s">
        <v>128</v>
      </c>
      <c r="AO74" s="19">
        <v>0</v>
      </c>
      <c r="AP74" s="19">
        <v>0</v>
      </c>
      <c r="AQ74" s="19">
        <v>0</v>
      </c>
      <c r="AR74" s="19">
        <v>0</v>
      </c>
      <c r="AS74" s="19">
        <v>0</v>
      </c>
      <c r="AT74" s="19">
        <v>0</v>
      </c>
      <c r="AU74" s="19">
        <v>0</v>
      </c>
      <c r="AV74" s="19">
        <v>0</v>
      </c>
      <c r="AW74" s="19">
        <v>0</v>
      </c>
      <c r="AX74" s="19">
        <v>0</v>
      </c>
      <c r="AY74" s="21" t="s">
        <v>129</v>
      </c>
      <c r="AZ74" s="36" t="str">
        <f>IFERROR(VLOOKUP('A2 (Öhdəliklər)'!AY74,List!Q:R,2,0),"")</f>
      </c>
      <c r="BA74" s="38">
        <f t="shared" si="18"/>
        <v>0</v>
      </c>
      <c r="BB74" s="38">
        <f t="shared" si="19"/>
        <v>0</v>
      </c>
      <c r="BC74" s="39">
        <f t="shared" si="20"/>
        <v>0.1</v>
      </c>
      <c r="BD74" s="39">
        <f t="shared" si="21"/>
        <v>0</v>
      </c>
      <c r="BE74" s="39">
        <f t="shared" si="22"/>
        <v>0</v>
      </c>
      <c r="BF74" s="39">
        <f t="shared" si="23"/>
        <v>0</v>
      </c>
      <c r="BG74" s="19">
        <v>0</v>
      </c>
      <c r="BH74" s="19">
        <v>0</v>
      </c>
      <c r="BI74" s="19">
        <v>0</v>
      </c>
      <c r="BJ74" s="19">
        <v>0.1</v>
      </c>
      <c r="BK74" s="19">
        <v>0</v>
      </c>
      <c r="BL74" s="19">
        <v>0</v>
      </c>
      <c r="BM74" s="19">
        <v>0</v>
      </c>
      <c r="BN74" s="19">
        <v>0</v>
      </c>
      <c r="BO74" s="19">
        <v>0</v>
      </c>
      <c r="BP74" s="19">
        <v>0</v>
      </c>
      <c r="BQ74" s="19">
        <v>0</v>
      </c>
      <c r="BR74" s="19">
        <v>0</v>
      </c>
      <c r="BS74" s="19">
        <v>0</v>
      </c>
      <c r="BT74" s="19">
        <v>0</v>
      </c>
      <c r="BU74" s="19">
        <v>0</v>
      </c>
      <c r="BV74" s="19">
        <v>0</v>
      </c>
      <c r="BW74" s="19">
        <v>0</v>
      </c>
      <c r="BX74" s="19">
        <v>0</v>
      </c>
      <c r="BY74" s="19">
        <v>0</v>
      </c>
      <c r="BZ74" s="34">
        <v>0</v>
      </c>
      <c r="CA74" s="18">
        <v>0</v>
      </c>
      <c r="CB74" s="20"/>
      <c r="CC74" s="36">
        <v>0</v>
      </c>
      <c r="CD74" s="34"/>
    </row>
    <row r="75" ht="19.5" customHeight="1" s="112" customFormat="1">
      <c r="A75" s="111">
        <v>61</v>
      </c>
      <c r="B75" s="35" t="str">
        <f t="shared" si="16"/>
      </c>
      <c r="C75" s="32">
        <v>2926</v>
      </c>
      <c r="D75" s="15" t="s">
        <v>265</v>
      </c>
      <c r="E75" s="1" t="s">
        <v>118</v>
      </c>
      <c r="F75" s="36" t="str">
        <f>IFERROR(VLOOKUP('A2 (Öhdəliklər)'!E75,List!A:B,2,0),"")</f>
      </c>
      <c r="G75" s="1" t="s">
        <v>119</v>
      </c>
      <c r="H75" s="36" t="str">
        <f>IFERROR(VLOOKUP('A2 (Öhdəliklər)'!G75,List!G:H,2,0),"")</f>
      </c>
      <c r="I75" s="1" t="s">
        <v>120</v>
      </c>
      <c r="J75" s="36" t="str">
        <f>IFERROR(VLOOKUP('A2 (Öhdəliklər)'!I75,List!C:D,2,0),"")</f>
      </c>
      <c r="K75" s="1" t="s">
        <v>175</v>
      </c>
      <c r="L75" s="36" t="str">
        <f>IFERROR(VLOOKUP('A2 (Öhdəliklər)'!K75,List!E:F,2,0),"")</f>
      </c>
      <c r="M75" s="1" t="s">
        <v>122</v>
      </c>
      <c r="N75" s="36" t="str">
        <f>IFERROR(VLOOKUP('A2 (Öhdəliklər)'!M75,List!M:N,2,0),"")</f>
      </c>
      <c r="O75" s="1"/>
      <c r="P75" s="36" t="str">
        <f>IFERROR(VLOOKUP('A2 (Öhdəliklər)'!O75,List!S:T,2,0),"")</f>
      </c>
      <c r="Q75" s="1"/>
      <c r="R75" s="36" t="str">
        <f>IFERROR(VLOOKUP('A2 (Öhdəliklər)'!Q75,List!K:L,2,0),"")</f>
      </c>
      <c r="S75" s="16" t="s">
        <v>123</v>
      </c>
      <c r="T75" s="16" t="s">
        <v>123</v>
      </c>
      <c r="U75" s="17" t="s">
        <v>267</v>
      </c>
      <c r="V75" s="17"/>
      <c r="W75" s="20"/>
      <c r="X75" s="18" t="s">
        <v>125</v>
      </c>
      <c r="Y75" s="1" t="s">
        <v>126</v>
      </c>
      <c r="Z75" s="36" t="str">
        <f>IFERROR(VLOOKUP('A2 (Öhdəliklər)'!Y75,List!O:P,2,0),"")</f>
      </c>
      <c r="AA75" s="19">
        <v>0</v>
      </c>
      <c r="AB75" s="19">
        <v>0</v>
      </c>
      <c r="AC75" s="37">
        <f t="shared" si="17"/>
        <v>0</v>
      </c>
      <c r="AD75" s="19" t="s">
        <v>268</v>
      </c>
      <c r="AE75" s="19">
        <v>0</v>
      </c>
      <c r="AF75" s="19">
        <v>0</v>
      </c>
      <c r="AG75" s="19">
        <v>0</v>
      </c>
      <c r="AH75" s="19">
        <v>0</v>
      </c>
      <c r="AI75" s="19" t="s">
        <v>128</v>
      </c>
      <c r="AJ75" s="19">
        <v>0</v>
      </c>
      <c r="AK75" s="19">
        <v>0</v>
      </c>
      <c r="AL75" s="19">
        <v>0</v>
      </c>
      <c r="AM75" s="19"/>
      <c r="AN75" s="19" t="s">
        <v>128</v>
      </c>
      <c r="AO75" s="19">
        <v>0</v>
      </c>
      <c r="AP75" s="19">
        <v>0</v>
      </c>
      <c r="AQ75" s="19">
        <v>0</v>
      </c>
      <c r="AR75" s="19">
        <v>0</v>
      </c>
      <c r="AS75" s="19">
        <v>0</v>
      </c>
      <c r="AT75" s="19">
        <v>0</v>
      </c>
      <c r="AU75" s="19">
        <v>0</v>
      </c>
      <c r="AV75" s="19">
        <v>0</v>
      </c>
      <c r="AW75" s="19">
        <v>0</v>
      </c>
      <c r="AX75" s="19">
        <v>0</v>
      </c>
      <c r="AY75" s="21" t="s">
        <v>129</v>
      </c>
      <c r="AZ75" s="36" t="str">
        <f>IFERROR(VLOOKUP('A2 (Öhdəliklər)'!AY75,List!Q:R,2,0),"")</f>
      </c>
      <c r="BA75" s="38">
        <f t="shared" si="18"/>
        <v>0</v>
      </c>
      <c r="BB75" s="38">
        <f t="shared" si="19"/>
        <v>0</v>
      </c>
      <c r="BC75" s="39">
        <f t="shared" si="20"/>
        <v>60.64384</v>
      </c>
      <c r="BD75" s="39">
        <f t="shared" si="21"/>
        <v>0</v>
      </c>
      <c r="BE75" s="39">
        <f t="shared" si="22"/>
        <v>0</v>
      </c>
      <c r="BF75" s="39">
        <f t="shared" si="23"/>
        <v>0</v>
      </c>
      <c r="BG75" s="19">
        <v>0</v>
      </c>
      <c r="BH75" s="19">
        <v>0</v>
      </c>
      <c r="BI75" s="19">
        <v>0</v>
      </c>
      <c r="BJ75" s="19">
        <v>60.64384</v>
      </c>
      <c r="BK75" s="19">
        <v>0</v>
      </c>
      <c r="BL75" s="19">
        <v>0</v>
      </c>
      <c r="BM75" s="19">
        <v>0</v>
      </c>
      <c r="BN75" s="19">
        <v>0</v>
      </c>
      <c r="BO75" s="19">
        <v>0</v>
      </c>
      <c r="BP75" s="19">
        <v>0</v>
      </c>
      <c r="BQ75" s="19">
        <v>0</v>
      </c>
      <c r="BR75" s="19">
        <v>0</v>
      </c>
      <c r="BS75" s="19">
        <v>0</v>
      </c>
      <c r="BT75" s="19">
        <v>0</v>
      </c>
      <c r="BU75" s="19">
        <v>0</v>
      </c>
      <c r="BV75" s="19">
        <v>0</v>
      </c>
      <c r="BW75" s="19">
        <v>0</v>
      </c>
      <c r="BX75" s="19">
        <v>0</v>
      </c>
      <c r="BY75" s="19">
        <v>0</v>
      </c>
      <c r="BZ75" s="34">
        <v>0</v>
      </c>
      <c r="CA75" s="18">
        <v>0</v>
      </c>
      <c r="CB75" s="20"/>
      <c r="CC75" s="36">
        <v>0</v>
      </c>
      <c r="CD75" s="34"/>
    </row>
    <row r="76" ht="19.5" customHeight="1" s="112" customFormat="1">
      <c r="A76" s="111">
        <v>62</v>
      </c>
      <c r="B76" s="35" t="str">
        <f t="shared" si="16"/>
      </c>
      <c r="C76" s="32">
        <v>3302</v>
      </c>
      <c r="D76" s="15" t="s">
        <v>265</v>
      </c>
      <c r="E76" s="1" t="s">
        <v>118</v>
      </c>
      <c r="F76" s="36" t="str">
        <f>IFERROR(VLOOKUP('A2 (Öhdəliklər)'!E76,List!A:B,2,0),"")</f>
      </c>
      <c r="G76" s="1" t="s">
        <v>119</v>
      </c>
      <c r="H76" s="36" t="str">
        <f>IFERROR(VLOOKUP('A2 (Öhdəliklər)'!G76,List!G:H,2,0),"")</f>
      </c>
      <c r="I76" s="1" t="s">
        <v>120</v>
      </c>
      <c r="J76" s="36" t="str">
        <f>IFERROR(VLOOKUP('A2 (Öhdəliklər)'!I76,List!C:D,2,0),"")</f>
      </c>
      <c r="K76" s="1" t="s">
        <v>175</v>
      </c>
      <c r="L76" s="36" t="str">
        <f>IFERROR(VLOOKUP('A2 (Öhdəliklər)'!K76,List!E:F,2,0),"")</f>
      </c>
      <c r="M76" s="1" t="s">
        <v>122</v>
      </c>
      <c r="N76" s="36" t="str">
        <f>IFERROR(VLOOKUP('A2 (Öhdəliklər)'!M76,List!M:N,2,0),"")</f>
      </c>
      <c r="O76" s="1"/>
      <c r="P76" s="36" t="str">
        <f>IFERROR(VLOOKUP('A2 (Öhdəliklər)'!O76,List!S:T,2,0),"")</f>
      </c>
      <c r="Q76" s="1"/>
      <c r="R76" s="36" t="str">
        <f>IFERROR(VLOOKUP('A2 (Öhdəliklər)'!Q76,List!K:L,2,0),"")</f>
      </c>
      <c r="S76" s="16" t="s">
        <v>123</v>
      </c>
      <c r="T76" s="16" t="s">
        <v>123</v>
      </c>
      <c r="U76" s="17" t="s">
        <v>124</v>
      </c>
      <c r="V76" s="17"/>
      <c r="W76" s="20"/>
      <c r="X76" s="18" t="s">
        <v>125</v>
      </c>
      <c r="Y76" s="1" t="s">
        <v>126</v>
      </c>
      <c r="Z76" s="36" t="str">
        <f>IFERROR(VLOOKUP('A2 (Öhdəliklər)'!Y76,List!O:P,2,0),"")</f>
      </c>
      <c r="AA76" s="19">
        <v>0</v>
      </c>
      <c r="AB76" s="19">
        <v>0</v>
      </c>
      <c r="AC76" s="37">
        <f t="shared" si="17"/>
        <v>0</v>
      </c>
      <c r="AD76" s="19" t="s">
        <v>252</v>
      </c>
      <c r="AE76" s="19">
        <v>0</v>
      </c>
      <c r="AF76" s="19">
        <v>0</v>
      </c>
      <c r="AG76" s="19">
        <v>0</v>
      </c>
      <c r="AH76" s="19">
        <v>0</v>
      </c>
      <c r="AI76" s="19" t="s">
        <v>128</v>
      </c>
      <c r="AJ76" s="19">
        <v>0</v>
      </c>
      <c r="AK76" s="19">
        <v>0</v>
      </c>
      <c r="AL76" s="19">
        <v>0</v>
      </c>
      <c r="AM76" s="19"/>
      <c r="AN76" s="19" t="s">
        <v>128</v>
      </c>
      <c r="AO76" s="19">
        <v>0</v>
      </c>
      <c r="AP76" s="19">
        <v>0</v>
      </c>
      <c r="AQ76" s="19">
        <v>0</v>
      </c>
      <c r="AR76" s="19">
        <v>0</v>
      </c>
      <c r="AS76" s="19">
        <v>0</v>
      </c>
      <c r="AT76" s="19">
        <v>0</v>
      </c>
      <c r="AU76" s="19">
        <v>0</v>
      </c>
      <c r="AV76" s="19">
        <v>0</v>
      </c>
      <c r="AW76" s="19">
        <v>0</v>
      </c>
      <c r="AX76" s="19">
        <v>0</v>
      </c>
      <c r="AY76" s="21" t="s">
        <v>129</v>
      </c>
      <c r="AZ76" s="36" t="str">
        <f>IFERROR(VLOOKUP('A2 (Öhdəliklər)'!AY76,List!Q:R,2,0),"")</f>
      </c>
      <c r="BA76" s="38">
        <f t="shared" si="18"/>
        <v>0</v>
      </c>
      <c r="BB76" s="38">
        <f t="shared" si="19"/>
        <v>0</v>
      </c>
      <c r="BC76" s="39">
        <f t="shared" si="20"/>
        <v>0.1</v>
      </c>
      <c r="BD76" s="39">
        <f t="shared" si="21"/>
        <v>0</v>
      </c>
      <c r="BE76" s="39">
        <f t="shared" si="22"/>
        <v>0</v>
      </c>
      <c r="BF76" s="39">
        <f t="shared" si="23"/>
        <v>0</v>
      </c>
      <c r="BG76" s="19">
        <v>0</v>
      </c>
      <c r="BH76" s="19">
        <v>0</v>
      </c>
      <c r="BI76" s="19">
        <v>0</v>
      </c>
      <c r="BJ76" s="19">
        <v>0.1</v>
      </c>
      <c r="BK76" s="19">
        <v>0</v>
      </c>
      <c r="BL76" s="19">
        <v>0</v>
      </c>
      <c r="BM76" s="19">
        <v>0</v>
      </c>
      <c r="BN76" s="19">
        <v>0</v>
      </c>
      <c r="BO76" s="19">
        <v>0</v>
      </c>
      <c r="BP76" s="19">
        <v>0</v>
      </c>
      <c r="BQ76" s="19">
        <v>0</v>
      </c>
      <c r="BR76" s="19">
        <v>0</v>
      </c>
      <c r="BS76" s="19">
        <v>0</v>
      </c>
      <c r="BT76" s="19">
        <v>0</v>
      </c>
      <c r="BU76" s="19">
        <v>0</v>
      </c>
      <c r="BV76" s="19">
        <v>0</v>
      </c>
      <c r="BW76" s="19">
        <v>0</v>
      </c>
      <c r="BX76" s="19">
        <v>0</v>
      </c>
      <c r="BY76" s="19">
        <v>0</v>
      </c>
      <c r="BZ76" s="34">
        <v>0</v>
      </c>
      <c r="CA76" s="18">
        <v>0</v>
      </c>
      <c r="CB76" s="20"/>
      <c r="CC76" s="36">
        <v>0</v>
      </c>
      <c r="CD76" s="34"/>
    </row>
    <row r="77" ht="19.5" customHeight="1" s="112" customFormat="1">
      <c r="A77" s="111">
        <v>63</v>
      </c>
      <c r="B77" s="35" t="str">
        <f t="shared" si="16"/>
      </c>
      <c r="C77" s="32">
        <v>3484</v>
      </c>
      <c r="D77" s="15" t="s">
        <v>265</v>
      </c>
      <c r="E77" s="1" t="s">
        <v>118</v>
      </c>
      <c r="F77" s="36" t="str">
        <f>IFERROR(VLOOKUP('A2 (Öhdəliklər)'!E77,List!A:B,2,0),"")</f>
      </c>
      <c r="G77" s="1" t="s">
        <v>119</v>
      </c>
      <c r="H77" s="36" t="str">
        <f>IFERROR(VLOOKUP('A2 (Öhdəliklər)'!G77,List!G:H,2,0),"")</f>
      </c>
      <c r="I77" s="1" t="s">
        <v>120</v>
      </c>
      <c r="J77" s="36" t="str">
        <f>IFERROR(VLOOKUP('A2 (Öhdəliklər)'!I77,List!C:D,2,0),"")</f>
      </c>
      <c r="K77" s="1" t="s">
        <v>175</v>
      </c>
      <c r="L77" s="36" t="str">
        <f>IFERROR(VLOOKUP('A2 (Öhdəliklər)'!K77,List!E:F,2,0),"")</f>
      </c>
      <c r="M77" s="1" t="s">
        <v>122</v>
      </c>
      <c r="N77" s="36" t="str">
        <f>IFERROR(VLOOKUP('A2 (Öhdəliklər)'!M77,List!M:N,2,0),"")</f>
      </c>
      <c r="O77" s="1"/>
      <c r="P77" s="36" t="str">
        <f>IFERROR(VLOOKUP('A2 (Öhdəliklər)'!O77,List!S:T,2,0),"")</f>
      </c>
      <c r="Q77" s="1"/>
      <c r="R77" s="36" t="str">
        <f>IFERROR(VLOOKUP('A2 (Öhdəliklər)'!Q77,List!K:L,2,0),"")</f>
      </c>
      <c r="S77" s="16" t="s">
        <v>123</v>
      </c>
      <c r="T77" s="16" t="s">
        <v>123</v>
      </c>
      <c r="U77" s="17" t="s">
        <v>124</v>
      </c>
      <c r="V77" s="17"/>
      <c r="W77" s="20"/>
      <c r="X77" s="18" t="s">
        <v>125</v>
      </c>
      <c r="Y77" s="1" t="s">
        <v>126</v>
      </c>
      <c r="Z77" s="36" t="str">
        <f>IFERROR(VLOOKUP('A2 (Öhdəliklər)'!Y77,List!O:P,2,0),"")</f>
      </c>
      <c r="AA77" s="19">
        <v>0</v>
      </c>
      <c r="AB77" s="19">
        <v>0</v>
      </c>
      <c r="AC77" s="37">
        <f t="shared" si="17"/>
        <v>0</v>
      </c>
      <c r="AD77" s="19" t="s">
        <v>269</v>
      </c>
      <c r="AE77" s="19">
        <v>0</v>
      </c>
      <c r="AF77" s="19">
        <v>0</v>
      </c>
      <c r="AG77" s="19">
        <v>0</v>
      </c>
      <c r="AH77" s="19">
        <v>0</v>
      </c>
      <c r="AI77" s="19" t="s">
        <v>128</v>
      </c>
      <c r="AJ77" s="19">
        <v>0</v>
      </c>
      <c r="AK77" s="19">
        <v>0</v>
      </c>
      <c r="AL77" s="19">
        <v>0</v>
      </c>
      <c r="AM77" s="19"/>
      <c r="AN77" s="19" t="s">
        <v>128</v>
      </c>
      <c r="AO77" s="19">
        <v>0</v>
      </c>
      <c r="AP77" s="19">
        <v>0</v>
      </c>
      <c r="AQ77" s="19">
        <v>0</v>
      </c>
      <c r="AR77" s="19">
        <v>0</v>
      </c>
      <c r="AS77" s="19">
        <v>0</v>
      </c>
      <c r="AT77" s="19">
        <v>0</v>
      </c>
      <c r="AU77" s="19">
        <v>0</v>
      </c>
      <c r="AV77" s="19">
        <v>0</v>
      </c>
      <c r="AW77" s="19">
        <v>0</v>
      </c>
      <c r="AX77" s="19">
        <v>0</v>
      </c>
      <c r="AY77" s="21" t="s">
        <v>129</v>
      </c>
      <c r="AZ77" s="36" t="str">
        <f>IFERROR(VLOOKUP('A2 (Öhdəliklər)'!AY77,List!Q:R,2,0),"")</f>
      </c>
      <c r="BA77" s="38">
        <f t="shared" si="18"/>
        <v>0</v>
      </c>
      <c r="BB77" s="38">
        <f t="shared" si="19"/>
        <v>0</v>
      </c>
      <c r="BC77" s="39">
        <f t="shared" si="20"/>
        <v>2</v>
      </c>
      <c r="BD77" s="39">
        <f t="shared" si="21"/>
        <v>0</v>
      </c>
      <c r="BE77" s="39">
        <f t="shared" si="22"/>
        <v>0</v>
      </c>
      <c r="BF77" s="39">
        <f t="shared" si="23"/>
        <v>0</v>
      </c>
      <c r="BG77" s="19">
        <v>0</v>
      </c>
      <c r="BH77" s="19">
        <v>0</v>
      </c>
      <c r="BI77" s="19">
        <v>0</v>
      </c>
      <c r="BJ77" s="19">
        <v>2</v>
      </c>
      <c r="BK77" s="19">
        <v>0</v>
      </c>
      <c r="BL77" s="19">
        <v>0</v>
      </c>
      <c r="BM77" s="19">
        <v>0</v>
      </c>
      <c r="BN77" s="19">
        <v>0</v>
      </c>
      <c r="BO77" s="19">
        <v>0</v>
      </c>
      <c r="BP77" s="19">
        <v>0</v>
      </c>
      <c r="BQ77" s="19">
        <v>0</v>
      </c>
      <c r="BR77" s="19">
        <v>0</v>
      </c>
      <c r="BS77" s="19">
        <v>0</v>
      </c>
      <c r="BT77" s="19">
        <v>0</v>
      </c>
      <c r="BU77" s="19">
        <v>0</v>
      </c>
      <c r="BV77" s="19">
        <v>0</v>
      </c>
      <c r="BW77" s="19">
        <v>0</v>
      </c>
      <c r="BX77" s="19">
        <v>0</v>
      </c>
      <c r="BY77" s="19">
        <v>0</v>
      </c>
      <c r="BZ77" s="34">
        <v>0</v>
      </c>
      <c r="CA77" s="18">
        <v>0</v>
      </c>
      <c r="CB77" s="20"/>
      <c r="CC77" s="36">
        <v>0</v>
      </c>
      <c r="CD77" s="34"/>
    </row>
    <row r="78" ht="19.5" customHeight="1" s="112" customFormat="1">
      <c r="A78" s="111">
        <v>64</v>
      </c>
      <c r="B78" s="35" t="str">
        <f t="shared" si="16"/>
      </c>
      <c r="C78" s="32">
        <v>3626</v>
      </c>
      <c r="D78" s="15" t="s">
        <v>265</v>
      </c>
      <c r="E78" s="1" t="s">
        <v>118</v>
      </c>
      <c r="F78" s="36" t="str">
        <f>IFERROR(VLOOKUP('A2 (Öhdəliklər)'!E78,List!A:B,2,0),"")</f>
      </c>
      <c r="G78" s="1" t="s">
        <v>119</v>
      </c>
      <c r="H78" s="36" t="str">
        <f>IFERROR(VLOOKUP('A2 (Öhdəliklər)'!G78,List!G:H,2,0),"")</f>
      </c>
      <c r="I78" s="1" t="s">
        <v>120</v>
      </c>
      <c r="J78" s="36" t="str">
        <f>IFERROR(VLOOKUP('A2 (Öhdəliklər)'!I78,List!C:D,2,0),"")</f>
      </c>
      <c r="K78" s="1" t="s">
        <v>175</v>
      </c>
      <c r="L78" s="36" t="str">
        <f>IFERROR(VLOOKUP('A2 (Öhdəliklər)'!K78,List!E:F,2,0),"")</f>
      </c>
      <c r="M78" s="1" t="s">
        <v>122</v>
      </c>
      <c r="N78" s="36" t="str">
        <f>IFERROR(VLOOKUP('A2 (Öhdəliklər)'!M78,List!M:N,2,0),"")</f>
      </c>
      <c r="O78" s="1"/>
      <c r="P78" s="36" t="str">
        <f>IFERROR(VLOOKUP('A2 (Öhdəliklər)'!O78,List!S:T,2,0),"")</f>
      </c>
      <c r="Q78" s="1"/>
      <c r="R78" s="36" t="str">
        <f>IFERROR(VLOOKUP('A2 (Öhdəliklər)'!Q78,List!K:L,2,0),"")</f>
      </c>
      <c r="S78" s="16" t="s">
        <v>123</v>
      </c>
      <c r="T78" s="16" t="s">
        <v>123</v>
      </c>
      <c r="U78" s="17" t="s">
        <v>270</v>
      </c>
      <c r="V78" s="17"/>
      <c r="W78" s="20"/>
      <c r="X78" s="18" t="s">
        <v>125</v>
      </c>
      <c r="Y78" s="1" t="s">
        <v>126</v>
      </c>
      <c r="Z78" s="36" t="str">
        <f>IFERROR(VLOOKUP('A2 (Öhdəliklər)'!Y78,List!O:P,2,0),"")</f>
      </c>
      <c r="AA78" s="19">
        <v>0</v>
      </c>
      <c r="AB78" s="19">
        <v>0</v>
      </c>
      <c r="AC78" s="37">
        <f t="shared" si="17"/>
        <v>0</v>
      </c>
      <c r="AD78" s="19" t="s">
        <v>271</v>
      </c>
      <c r="AE78" s="19">
        <v>0</v>
      </c>
      <c r="AF78" s="19">
        <v>0</v>
      </c>
      <c r="AG78" s="19">
        <v>0</v>
      </c>
      <c r="AH78" s="19">
        <v>0</v>
      </c>
      <c r="AI78" s="19" t="s">
        <v>128</v>
      </c>
      <c r="AJ78" s="19">
        <v>0</v>
      </c>
      <c r="AK78" s="19">
        <v>0</v>
      </c>
      <c r="AL78" s="19">
        <v>0</v>
      </c>
      <c r="AM78" s="19"/>
      <c r="AN78" s="19" t="s">
        <v>128</v>
      </c>
      <c r="AO78" s="19">
        <v>0</v>
      </c>
      <c r="AP78" s="19">
        <v>0</v>
      </c>
      <c r="AQ78" s="19">
        <v>0</v>
      </c>
      <c r="AR78" s="19">
        <v>0</v>
      </c>
      <c r="AS78" s="19">
        <v>0</v>
      </c>
      <c r="AT78" s="19">
        <v>0</v>
      </c>
      <c r="AU78" s="19">
        <v>0</v>
      </c>
      <c r="AV78" s="19">
        <v>0</v>
      </c>
      <c r="AW78" s="19">
        <v>0</v>
      </c>
      <c r="AX78" s="19">
        <v>0</v>
      </c>
      <c r="AY78" s="21" t="s">
        <v>129</v>
      </c>
      <c r="AZ78" s="36" t="str">
        <f>IFERROR(VLOOKUP('A2 (Öhdəliklər)'!AY78,List!Q:R,2,0),"")</f>
      </c>
      <c r="BA78" s="38">
        <f t="shared" si="18"/>
        <v>0</v>
      </c>
      <c r="BB78" s="38">
        <f t="shared" si="19"/>
        <v>0</v>
      </c>
      <c r="BC78" s="39">
        <f t="shared" si="20"/>
        <v>0.051</v>
      </c>
      <c r="BD78" s="39">
        <f t="shared" si="21"/>
        <v>0</v>
      </c>
      <c r="BE78" s="39">
        <f t="shared" si="22"/>
        <v>0</v>
      </c>
      <c r="BF78" s="39">
        <f t="shared" si="23"/>
        <v>0</v>
      </c>
      <c r="BG78" s="19">
        <v>0</v>
      </c>
      <c r="BH78" s="19">
        <v>0</v>
      </c>
      <c r="BI78" s="19">
        <v>0</v>
      </c>
      <c r="BJ78" s="19">
        <v>0.051</v>
      </c>
      <c r="BK78" s="19">
        <v>0</v>
      </c>
      <c r="BL78" s="19">
        <v>0</v>
      </c>
      <c r="BM78" s="19">
        <v>0</v>
      </c>
      <c r="BN78" s="19">
        <v>0</v>
      </c>
      <c r="BO78" s="19">
        <v>0</v>
      </c>
      <c r="BP78" s="19">
        <v>0</v>
      </c>
      <c r="BQ78" s="19">
        <v>0</v>
      </c>
      <c r="BR78" s="19">
        <v>0</v>
      </c>
      <c r="BS78" s="19">
        <v>0</v>
      </c>
      <c r="BT78" s="19">
        <v>0</v>
      </c>
      <c r="BU78" s="19">
        <v>0</v>
      </c>
      <c r="BV78" s="19">
        <v>0</v>
      </c>
      <c r="BW78" s="19">
        <v>0</v>
      </c>
      <c r="BX78" s="19">
        <v>0</v>
      </c>
      <c r="BY78" s="19">
        <v>0</v>
      </c>
      <c r="BZ78" s="34">
        <v>0</v>
      </c>
      <c r="CA78" s="18">
        <v>0</v>
      </c>
      <c r="CB78" s="20"/>
      <c r="CC78" s="36">
        <v>0</v>
      </c>
      <c r="CD78" s="34"/>
    </row>
    <row r="79" ht="19.5" customHeight="1" s="112" customFormat="1">
      <c r="A79" s="111">
        <v>65</v>
      </c>
      <c r="B79" s="35" t="str">
        <f t="shared" si="16"/>
      </c>
      <c r="C79" s="32">
        <v>3934</v>
      </c>
      <c r="D79" s="15" t="s">
        <v>265</v>
      </c>
      <c r="E79" s="1" t="s">
        <v>118</v>
      </c>
      <c r="F79" s="36" t="str">
        <f>IFERROR(VLOOKUP('A2 (Öhdəliklər)'!E79,List!A:B,2,0),"")</f>
      </c>
      <c r="G79" s="1" t="s">
        <v>119</v>
      </c>
      <c r="H79" s="36" t="str">
        <f>IFERROR(VLOOKUP('A2 (Öhdəliklər)'!G79,List!G:H,2,0),"")</f>
      </c>
      <c r="I79" s="1" t="s">
        <v>120</v>
      </c>
      <c r="J79" s="36" t="str">
        <f>IFERROR(VLOOKUP('A2 (Öhdəliklər)'!I79,List!C:D,2,0),"")</f>
      </c>
      <c r="K79" s="1" t="s">
        <v>175</v>
      </c>
      <c r="L79" s="36" t="str">
        <f>IFERROR(VLOOKUP('A2 (Öhdəliklər)'!K79,List!E:F,2,0),"")</f>
      </c>
      <c r="M79" s="1" t="s">
        <v>122</v>
      </c>
      <c r="N79" s="36" t="str">
        <f>IFERROR(VLOOKUP('A2 (Öhdəliklər)'!M79,List!M:N,2,0),"")</f>
      </c>
      <c r="O79" s="1"/>
      <c r="P79" s="36" t="str">
        <f>IFERROR(VLOOKUP('A2 (Öhdəliklər)'!O79,List!S:T,2,0),"")</f>
      </c>
      <c r="Q79" s="1"/>
      <c r="R79" s="36" t="str">
        <f>IFERROR(VLOOKUP('A2 (Öhdəliklər)'!Q79,List!K:L,2,0),"")</f>
      </c>
      <c r="S79" s="16" t="s">
        <v>123</v>
      </c>
      <c r="T79" s="16" t="s">
        <v>123</v>
      </c>
      <c r="U79" s="17" t="s">
        <v>272</v>
      </c>
      <c r="V79" s="17"/>
      <c r="W79" s="20"/>
      <c r="X79" s="18" t="s">
        <v>125</v>
      </c>
      <c r="Y79" s="1" t="s">
        <v>126</v>
      </c>
      <c r="Z79" s="36" t="str">
        <f>IFERROR(VLOOKUP('A2 (Öhdəliklər)'!Y79,List!O:P,2,0),"")</f>
      </c>
      <c r="AA79" s="19">
        <v>0</v>
      </c>
      <c r="AB79" s="19">
        <v>0</v>
      </c>
      <c r="AC79" s="37">
        <f t="shared" si="17"/>
        <v>0</v>
      </c>
      <c r="AD79" s="19" t="s">
        <v>273</v>
      </c>
      <c r="AE79" s="19">
        <v>0</v>
      </c>
      <c r="AF79" s="19">
        <v>0</v>
      </c>
      <c r="AG79" s="19">
        <v>0</v>
      </c>
      <c r="AH79" s="19">
        <v>0</v>
      </c>
      <c r="AI79" s="19" t="s">
        <v>128</v>
      </c>
      <c r="AJ79" s="19">
        <v>0</v>
      </c>
      <c r="AK79" s="19">
        <v>0</v>
      </c>
      <c r="AL79" s="19">
        <v>0</v>
      </c>
      <c r="AM79" s="19"/>
      <c r="AN79" s="19" t="s">
        <v>128</v>
      </c>
      <c r="AO79" s="19">
        <v>0</v>
      </c>
      <c r="AP79" s="19">
        <v>0</v>
      </c>
      <c r="AQ79" s="19">
        <v>0</v>
      </c>
      <c r="AR79" s="19">
        <v>0</v>
      </c>
      <c r="AS79" s="19">
        <v>0</v>
      </c>
      <c r="AT79" s="19">
        <v>0</v>
      </c>
      <c r="AU79" s="19">
        <v>0</v>
      </c>
      <c r="AV79" s="19">
        <v>0</v>
      </c>
      <c r="AW79" s="19">
        <v>0</v>
      </c>
      <c r="AX79" s="19">
        <v>0</v>
      </c>
      <c r="AY79" s="21" t="s">
        <v>129</v>
      </c>
      <c r="AZ79" s="36" t="str">
        <f>IFERROR(VLOOKUP('A2 (Öhdəliklər)'!AY79,List!Q:R,2,0),"")</f>
      </c>
      <c r="BA79" s="38">
        <f t="shared" si="18"/>
        <v>0</v>
      </c>
      <c r="BB79" s="38">
        <f t="shared" si="19"/>
        <v>0</v>
      </c>
      <c r="BC79" s="39">
        <f t="shared" si="20"/>
        <v>0.0914</v>
      </c>
      <c r="BD79" s="39">
        <f t="shared" si="21"/>
        <v>0</v>
      </c>
      <c r="BE79" s="39">
        <f t="shared" si="22"/>
        <v>0</v>
      </c>
      <c r="BF79" s="39">
        <f t="shared" si="23"/>
        <v>0</v>
      </c>
      <c r="BG79" s="19">
        <v>0</v>
      </c>
      <c r="BH79" s="19">
        <v>0</v>
      </c>
      <c r="BI79" s="19">
        <v>0</v>
      </c>
      <c r="BJ79" s="19">
        <v>0.0914</v>
      </c>
      <c r="BK79" s="19">
        <v>0</v>
      </c>
      <c r="BL79" s="19">
        <v>0</v>
      </c>
      <c r="BM79" s="19">
        <v>0</v>
      </c>
      <c r="BN79" s="19">
        <v>0</v>
      </c>
      <c r="BO79" s="19">
        <v>0</v>
      </c>
      <c r="BP79" s="19">
        <v>0</v>
      </c>
      <c r="BQ79" s="19">
        <v>0</v>
      </c>
      <c r="BR79" s="19">
        <v>0</v>
      </c>
      <c r="BS79" s="19">
        <v>0</v>
      </c>
      <c r="BT79" s="19">
        <v>0</v>
      </c>
      <c r="BU79" s="19">
        <v>0</v>
      </c>
      <c r="BV79" s="19">
        <v>0</v>
      </c>
      <c r="BW79" s="19">
        <v>0</v>
      </c>
      <c r="BX79" s="19">
        <v>0</v>
      </c>
      <c r="BY79" s="19">
        <v>0</v>
      </c>
      <c r="BZ79" s="34">
        <v>0</v>
      </c>
      <c r="CA79" s="18">
        <v>0</v>
      </c>
      <c r="CB79" s="20"/>
      <c r="CC79" s="36">
        <v>0</v>
      </c>
      <c r="CD79" s="34"/>
    </row>
    <row r="80" ht="19.5" customHeight="1" s="112" customFormat="1">
      <c r="A80" s="111">
        <v>66</v>
      </c>
      <c r="B80" s="35" t="str">
        <f t="shared" si="16"/>
      </c>
      <c r="C80" s="32">
        <v>8007</v>
      </c>
      <c r="D80" s="15" t="s">
        <v>265</v>
      </c>
      <c r="E80" s="1" t="s">
        <v>118</v>
      </c>
      <c r="F80" s="36" t="str">
        <f>IFERROR(VLOOKUP('A2 (Öhdəliklər)'!E80,List!A:B,2,0),"")</f>
      </c>
      <c r="G80" s="1" t="s">
        <v>119</v>
      </c>
      <c r="H80" s="36" t="str">
        <f>IFERROR(VLOOKUP('A2 (Öhdəliklər)'!G80,List!G:H,2,0),"")</f>
      </c>
      <c r="I80" s="1" t="s">
        <v>120</v>
      </c>
      <c r="J80" s="36" t="str">
        <f>IFERROR(VLOOKUP('A2 (Öhdəliklər)'!I80,List!C:D,2,0),"")</f>
      </c>
      <c r="K80" s="1" t="s">
        <v>175</v>
      </c>
      <c r="L80" s="36" t="str">
        <f>IFERROR(VLOOKUP('A2 (Öhdəliklər)'!K80,List!E:F,2,0),"")</f>
      </c>
      <c r="M80" s="1" t="s">
        <v>122</v>
      </c>
      <c r="N80" s="36" t="str">
        <f>IFERROR(VLOOKUP('A2 (Öhdəliklər)'!M80,List!M:N,2,0),"")</f>
      </c>
      <c r="O80" s="1"/>
      <c r="P80" s="36" t="str">
        <f>IFERROR(VLOOKUP('A2 (Öhdəliklər)'!O80,List!S:T,2,0),"")</f>
      </c>
      <c r="Q80" s="1"/>
      <c r="R80" s="36" t="str">
        <f>IFERROR(VLOOKUP('A2 (Öhdəliklər)'!Q80,List!K:L,2,0),"")</f>
      </c>
      <c r="S80" s="16" t="s">
        <v>123</v>
      </c>
      <c r="T80" s="16" t="s">
        <v>123</v>
      </c>
      <c r="U80" s="17" t="s">
        <v>124</v>
      </c>
      <c r="V80" s="17"/>
      <c r="W80" s="20"/>
      <c r="X80" s="18" t="s">
        <v>125</v>
      </c>
      <c r="Y80" s="1" t="s">
        <v>126</v>
      </c>
      <c r="Z80" s="36" t="str">
        <f>IFERROR(VLOOKUP('A2 (Öhdəliklər)'!Y80,List!O:P,2,0),"")</f>
      </c>
      <c r="AA80" s="19">
        <v>0</v>
      </c>
      <c r="AB80" s="19">
        <v>0</v>
      </c>
      <c r="AC80" s="37">
        <f t="shared" si="17"/>
        <v>0</v>
      </c>
      <c r="AD80" s="19" t="s">
        <v>274</v>
      </c>
      <c r="AE80" s="19">
        <v>0</v>
      </c>
      <c r="AF80" s="19">
        <v>0</v>
      </c>
      <c r="AG80" s="19">
        <v>0</v>
      </c>
      <c r="AH80" s="19">
        <v>0</v>
      </c>
      <c r="AI80" s="19" t="s">
        <v>128</v>
      </c>
      <c r="AJ80" s="19">
        <v>0</v>
      </c>
      <c r="AK80" s="19">
        <v>0</v>
      </c>
      <c r="AL80" s="19">
        <v>0</v>
      </c>
      <c r="AM80" s="19"/>
      <c r="AN80" s="19" t="s">
        <v>128</v>
      </c>
      <c r="AO80" s="19">
        <v>0</v>
      </c>
      <c r="AP80" s="19">
        <v>0</v>
      </c>
      <c r="AQ80" s="19">
        <v>0</v>
      </c>
      <c r="AR80" s="19">
        <v>0</v>
      </c>
      <c r="AS80" s="19">
        <v>0</v>
      </c>
      <c r="AT80" s="19">
        <v>0</v>
      </c>
      <c r="AU80" s="19">
        <v>0</v>
      </c>
      <c r="AV80" s="19">
        <v>0</v>
      </c>
      <c r="AW80" s="19">
        <v>0</v>
      </c>
      <c r="AX80" s="19">
        <v>0</v>
      </c>
      <c r="AY80" s="21" t="s">
        <v>129</v>
      </c>
      <c r="AZ80" s="36" t="str">
        <f>IFERROR(VLOOKUP('A2 (Öhdəliklər)'!AY80,List!Q:R,2,0),"")</f>
      </c>
      <c r="BA80" s="38">
        <f t="shared" si="18"/>
        <v>0</v>
      </c>
      <c r="BB80" s="38">
        <f t="shared" si="19"/>
        <v>0</v>
      </c>
      <c r="BC80" s="39">
        <f t="shared" si="20"/>
        <v>10.001</v>
      </c>
      <c r="BD80" s="39">
        <f t="shared" si="21"/>
        <v>0</v>
      </c>
      <c r="BE80" s="39">
        <f t="shared" si="22"/>
        <v>0</v>
      </c>
      <c r="BF80" s="39">
        <f t="shared" si="23"/>
        <v>0</v>
      </c>
      <c r="BG80" s="19">
        <v>0</v>
      </c>
      <c r="BH80" s="19">
        <v>0</v>
      </c>
      <c r="BI80" s="19">
        <v>0</v>
      </c>
      <c r="BJ80" s="19">
        <v>10.001</v>
      </c>
      <c r="BK80" s="19">
        <v>0</v>
      </c>
      <c r="BL80" s="19">
        <v>0</v>
      </c>
      <c r="BM80" s="19">
        <v>0</v>
      </c>
      <c r="BN80" s="19">
        <v>0</v>
      </c>
      <c r="BO80" s="19">
        <v>0</v>
      </c>
      <c r="BP80" s="19">
        <v>0</v>
      </c>
      <c r="BQ80" s="19">
        <v>0</v>
      </c>
      <c r="BR80" s="19">
        <v>0</v>
      </c>
      <c r="BS80" s="19">
        <v>0</v>
      </c>
      <c r="BT80" s="19">
        <v>0</v>
      </c>
      <c r="BU80" s="19">
        <v>0</v>
      </c>
      <c r="BV80" s="19">
        <v>0</v>
      </c>
      <c r="BW80" s="19">
        <v>0</v>
      </c>
      <c r="BX80" s="19">
        <v>0</v>
      </c>
      <c r="BY80" s="19">
        <v>0</v>
      </c>
      <c r="BZ80" s="34">
        <v>0</v>
      </c>
      <c r="CA80" s="18">
        <v>0</v>
      </c>
      <c r="CB80" s="20"/>
      <c r="CC80" s="36">
        <v>0</v>
      </c>
      <c r="CD80" s="34"/>
    </row>
    <row r="81" ht="19.5" customHeight="1" s="112" customFormat="1">
      <c r="A81" s="111">
        <v>67</v>
      </c>
      <c r="B81" s="35" t="str">
        <f t="shared" si="16"/>
      </c>
      <c r="C81" s="32">
        <v>8504</v>
      </c>
      <c r="D81" s="15" t="s">
        <v>265</v>
      </c>
      <c r="E81" s="1" t="s">
        <v>118</v>
      </c>
      <c r="F81" s="36" t="str">
        <f>IFERROR(VLOOKUP('A2 (Öhdəliklər)'!E81,List!A:B,2,0),"")</f>
      </c>
      <c r="G81" s="1" t="s">
        <v>119</v>
      </c>
      <c r="H81" s="36" t="str">
        <f>IFERROR(VLOOKUP('A2 (Öhdəliklər)'!G81,List!G:H,2,0),"")</f>
      </c>
      <c r="I81" s="1" t="s">
        <v>120</v>
      </c>
      <c r="J81" s="36" t="str">
        <f>IFERROR(VLOOKUP('A2 (Öhdəliklər)'!I81,List!C:D,2,0),"")</f>
      </c>
      <c r="K81" s="1" t="s">
        <v>175</v>
      </c>
      <c r="L81" s="36" t="str">
        <f>IFERROR(VLOOKUP('A2 (Öhdəliklər)'!K81,List!E:F,2,0),"")</f>
      </c>
      <c r="M81" s="1" t="s">
        <v>122</v>
      </c>
      <c r="N81" s="36" t="str">
        <f>IFERROR(VLOOKUP('A2 (Öhdəliklər)'!M81,List!M:N,2,0),"")</f>
      </c>
      <c r="O81" s="1"/>
      <c r="P81" s="36" t="str">
        <f>IFERROR(VLOOKUP('A2 (Öhdəliklər)'!O81,List!S:T,2,0),"")</f>
      </c>
      <c r="Q81" s="1"/>
      <c r="R81" s="36" t="str">
        <f>IFERROR(VLOOKUP('A2 (Öhdəliklər)'!Q81,List!K:L,2,0),"")</f>
      </c>
      <c r="S81" s="16" t="s">
        <v>123</v>
      </c>
      <c r="T81" s="16" t="s">
        <v>123</v>
      </c>
      <c r="U81" s="17" t="s">
        <v>275</v>
      </c>
      <c r="V81" s="17"/>
      <c r="W81" s="20"/>
      <c r="X81" s="18" t="s">
        <v>125</v>
      </c>
      <c r="Y81" s="1" t="s">
        <v>126</v>
      </c>
      <c r="Z81" s="36" t="str">
        <f>IFERROR(VLOOKUP('A2 (Öhdəliklər)'!Y81,List!O:P,2,0),"")</f>
      </c>
      <c r="AA81" s="19">
        <v>0</v>
      </c>
      <c r="AB81" s="19">
        <v>0</v>
      </c>
      <c r="AC81" s="37">
        <f t="shared" si="17"/>
        <v>0</v>
      </c>
      <c r="AD81" s="19" t="s">
        <v>276</v>
      </c>
      <c r="AE81" s="19">
        <v>0</v>
      </c>
      <c r="AF81" s="19">
        <v>0</v>
      </c>
      <c r="AG81" s="19">
        <v>0</v>
      </c>
      <c r="AH81" s="19">
        <v>0</v>
      </c>
      <c r="AI81" s="19" t="s">
        <v>128</v>
      </c>
      <c r="AJ81" s="19">
        <v>0</v>
      </c>
      <c r="AK81" s="19">
        <v>0</v>
      </c>
      <c r="AL81" s="19">
        <v>0</v>
      </c>
      <c r="AM81" s="19"/>
      <c r="AN81" s="19" t="s">
        <v>128</v>
      </c>
      <c r="AO81" s="19">
        <v>0</v>
      </c>
      <c r="AP81" s="19">
        <v>0</v>
      </c>
      <c r="AQ81" s="19">
        <v>0</v>
      </c>
      <c r="AR81" s="19">
        <v>0</v>
      </c>
      <c r="AS81" s="19">
        <v>0</v>
      </c>
      <c r="AT81" s="19">
        <v>0</v>
      </c>
      <c r="AU81" s="19">
        <v>0</v>
      </c>
      <c r="AV81" s="19">
        <v>0</v>
      </c>
      <c r="AW81" s="19">
        <v>0</v>
      </c>
      <c r="AX81" s="19">
        <v>0</v>
      </c>
      <c r="AY81" s="21" t="s">
        <v>129</v>
      </c>
      <c r="AZ81" s="36" t="str">
        <f>IFERROR(VLOOKUP('A2 (Öhdəliklər)'!AY81,List!Q:R,2,0),"")</f>
      </c>
      <c r="BA81" s="38">
        <f t="shared" si="18"/>
        <v>0</v>
      </c>
      <c r="BB81" s="38">
        <f t="shared" si="19"/>
        <v>0</v>
      </c>
      <c r="BC81" s="39">
        <f t="shared" si="20"/>
        <v>1.8</v>
      </c>
      <c r="BD81" s="39">
        <f t="shared" si="21"/>
        <v>0</v>
      </c>
      <c r="BE81" s="39">
        <f t="shared" si="22"/>
        <v>0</v>
      </c>
      <c r="BF81" s="39">
        <f t="shared" si="23"/>
        <v>0</v>
      </c>
      <c r="BG81" s="19">
        <v>0</v>
      </c>
      <c r="BH81" s="19">
        <v>0</v>
      </c>
      <c r="BI81" s="19">
        <v>0</v>
      </c>
      <c r="BJ81" s="19">
        <v>1.8</v>
      </c>
      <c r="BK81" s="19">
        <v>0</v>
      </c>
      <c r="BL81" s="19">
        <v>0</v>
      </c>
      <c r="BM81" s="19">
        <v>0</v>
      </c>
      <c r="BN81" s="19">
        <v>0</v>
      </c>
      <c r="BO81" s="19">
        <v>0</v>
      </c>
      <c r="BP81" s="19">
        <v>0</v>
      </c>
      <c r="BQ81" s="19">
        <v>0</v>
      </c>
      <c r="BR81" s="19">
        <v>0</v>
      </c>
      <c r="BS81" s="19">
        <v>0</v>
      </c>
      <c r="BT81" s="19">
        <v>0</v>
      </c>
      <c r="BU81" s="19">
        <v>0</v>
      </c>
      <c r="BV81" s="19">
        <v>0</v>
      </c>
      <c r="BW81" s="19">
        <v>0</v>
      </c>
      <c r="BX81" s="19">
        <v>0</v>
      </c>
      <c r="BY81" s="19">
        <v>0</v>
      </c>
      <c r="BZ81" s="34">
        <v>0</v>
      </c>
      <c r="CA81" s="18">
        <v>0</v>
      </c>
      <c r="CB81" s="20"/>
      <c r="CC81" s="36">
        <v>0</v>
      </c>
      <c r="CD81" s="34"/>
    </row>
    <row r="82" ht="19.5" customHeight="1" s="112" customFormat="1">
      <c r="A82" s="111">
        <v>68</v>
      </c>
      <c r="B82" s="35" t="str">
        <f t="shared" si="16"/>
      </c>
      <c r="C82" s="32">
        <v>12350</v>
      </c>
      <c r="D82" s="15" t="s">
        <v>265</v>
      </c>
      <c r="E82" s="1" t="s">
        <v>118</v>
      </c>
      <c r="F82" s="36" t="str">
        <f>IFERROR(VLOOKUP('A2 (Öhdəliklər)'!E82,List!A:B,2,0),"")</f>
      </c>
      <c r="G82" s="1" t="s">
        <v>119</v>
      </c>
      <c r="H82" s="36" t="str">
        <f>IFERROR(VLOOKUP('A2 (Öhdəliklər)'!G82,List!G:H,2,0),"")</f>
      </c>
      <c r="I82" s="1" t="s">
        <v>120</v>
      </c>
      <c r="J82" s="36" t="str">
        <f>IFERROR(VLOOKUP('A2 (Öhdəliklər)'!I82,List!C:D,2,0),"")</f>
      </c>
      <c r="K82" s="1" t="s">
        <v>175</v>
      </c>
      <c r="L82" s="36" t="str">
        <f>IFERROR(VLOOKUP('A2 (Öhdəliklər)'!K82,List!E:F,2,0),"")</f>
      </c>
      <c r="M82" s="1" t="s">
        <v>122</v>
      </c>
      <c r="N82" s="36" t="str">
        <f>IFERROR(VLOOKUP('A2 (Öhdəliklər)'!M82,List!M:N,2,0),"")</f>
      </c>
      <c r="O82" s="1"/>
      <c r="P82" s="36" t="str">
        <f>IFERROR(VLOOKUP('A2 (Öhdəliklər)'!O82,List!S:T,2,0),"")</f>
      </c>
      <c r="Q82" s="1"/>
      <c r="R82" s="36" t="str">
        <f>IFERROR(VLOOKUP('A2 (Öhdəliklər)'!Q82,List!K:L,2,0),"")</f>
      </c>
      <c r="S82" s="16" t="s">
        <v>123</v>
      </c>
      <c r="T82" s="16" t="s">
        <v>123</v>
      </c>
      <c r="U82" s="17" t="s">
        <v>277</v>
      </c>
      <c r="V82" s="17"/>
      <c r="W82" s="20"/>
      <c r="X82" s="18" t="s">
        <v>125</v>
      </c>
      <c r="Y82" s="1" t="s">
        <v>126</v>
      </c>
      <c r="Z82" s="36" t="str">
        <f>IFERROR(VLOOKUP('A2 (Öhdəliklər)'!Y82,List!O:P,2,0),"")</f>
      </c>
      <c r="AA82" s="19">
        <v>0</v>
      </c>
      <c r="AB82" s="19">
        <v>0</v>
      </c>
      <c r="AC82" s="37">
        <f t="shared" si="17"/>
        <v>0</v>
      </c>
      <c r="AD82" s="19" t="s">
        <v>278</v>
      </c>
      <c r="AE82" s="19">
        <v>0</v>
      </c>
      <c r="AF82" s="19">
        <v>0</v>
      </c>
      <c r="AG82" s="19">
        <v>0</v>
      </c>
      <c r="AH82" s="19">
        <v>0</v>
      </c>
      <c r="AI82" s="19" t="s">
        <v>128</v>
      </c>
      <c r="AJ82" s="19">
        <v>0</v>
      </c>
      <c r="AK82" s="19">
        <v>0</v>
      </c>
      <c r="AL82" s="19">
        <v>0</v>
      </c>
      <c r="AM82" s="19"/>
      <c r="AN82" s="19" t="s">
        <v>128</v>
      </c>
      <c r="AO82" s="19">
        <v>0</v>
      </c>
      <c r="AP82" s="19">
        <v>0</v>
      </c>
      <c r="AQ82" s="19">
        <v>0</v>
      </c>
      <c r="AR82" s="19">
        <v>0</v>
      </c>
      <c r="AS82" s="19">
        <v>0</v>
      </c>
      <c r="AT82" s="19">
        <v>0</v>
      </c>
      <c r="AU82" s="19">
        <v>0</v>
      </c>
      <c r="AV82" s="19">
        <v>0</v>
      </c>
      <c r="AW82" s="19">
        <v>0</v>
      </c>
      <c r="AX82" s="19">
        <v>0</v>
      </c>
      <c r="AY82" s="21" t="s">
        <v>129</v>
      </c>
      <c r="AZ82" s="36" t="str">
        <f>IFERROR(VLOOKUP('A2 (Öhdəliklər)'!AY82,List!Q:R,2,0),"")</f>
      </c>
      <c r="BA82" s="38">
        <f t="shared" si="18"/>
        <v>0</v>
      </c>
      <c r="BB82" s="38">
        <f t="shared" si="19"/>
        <v>0</v>
      </c>
      <c r="BC82" s="39">
        <f t="shared" si="20"/>
        <v>0.58902</v>
      </c>
      <c r="BD82" s="39">
        <f t="shared" si="21"/>
        <v>0</v>
      </c>
      <c r="BE82" s="39">
        <f t="shared" si="22"/>
        <v>0</v>
      </c>
      <c r="BF82" s="39">
        <f t="shared" si="23"/>
        <v>0</v>
      </c>
      <c r="BG82" s="19">
        <v>0</v>
      </c>
      <c r="BH82" s="19">
        <v>0</v>
      </c>
      <c r="BI82" s="19">
        <v>0</v>
      </c>
      <c r="BJ82" s="19">
        <v>0.58902</v>
      </c>
      <c r="BK82" s="19">
        <v>0</v>
      </c>
      <c r="BL82" s="19">
        <v>0</v>
      </c>
      <c r="BM82" s="19">
        <v>0</v>
      </c>
      <c r="BN82" s="19">
        <v>0</v>
      </c>
      <c r="BO82" s="19">
        <v>0</v>
      </c>
      <c r="BP82" s="19">
        <v>0</v>
      </c>
      <c r="BQ82" s="19">
        <v>0</v>
      </c>
      <c r="BR82" s="19">
        <v>0</v>
      </c>
      <c r="BS82" s="19">
        <v>0</v>
      </c>
      <c r="BT82" s="19">
        <v>0</v>
      </c>
      <c r="BU82" s="19">
        <v>0</v>
      </c>
      <c r="BV82" s="19">
        <v>0</v>
      </c>
      <c r="BW82" s="19">
        <v>0</v>
      </c>
      <c r="BX82" s="19">
        <v>0</v>
      </c>
      <c r="BY82" s="19">
        <v>0</v>
      </c>
      <c r="BZ82" s="34">
        <v>0</v>
      </c>
      <c r="CA82" s="18">
        <v>0</v>
      </c>
      <c r="CB82" s="20"/>
      <c r="CC82" s="36">
        <v>0</v>
      </c>
      <c r="CD82" s="34"/>
    </row>
    <row r="83" ht="19.5" customHeight="1" s="112" customFormat="1">
      <c r="A83" s="111">
        <v>69</v>
      </c>
      <c r="B83" s="35" t="str">
        <f t="shared" si="16"/>
      </c>
      <c r="C83" s="32">
        <v>14859</v>
      </c>
      <c r="D83" s="15" t="s">
        <v>265</v>
      </c>
      <c r="E83" s="1" t="s">
        <v>118</v>
      </c>
      <c r="F83" s="36" t="str">
        <f>IFERROR(VLOOKUP('A2 (Öhdəliklər)'!E83,List!A:B,2,0),"")</f>
      </c>
      <c r="G83" s="1" t="s">
        <v>119</v>
      </c>
      <c r="H83" s="36" t="str">
        <f>IFERROR(VLOOKUP('A2 (Öhdəliklər)'!G83,List!G:H,2,0),"")</f>
      </c>
      <c r="I83" s="1" t="s">
        <v>120</v>
      </c>
      <c r="J83" s="36" t="str">
        <f>IFERROR(VLOOKUP('A2 (Öhdəliklər)'!I83,List!C:D,2,0),"")</f>
      </c>
      <c r="K83" s="1" t="s">
        <v>175</v>
      </c>
      <c r="L83" s="36" t="str">
        <f>IFERROR(VLOOKUP('A2 (Öhdəliklər)'!K83,List!E:F,2,0),"")</f>
      </c>
      <c r="M83" s="1" t="s">
        <v>279</v>
      </c>
      <c r="N83" s="36" t="str">
        <f>IFERROR(VLOOKUP('A2 (Öhdəliklər)'!M83,List!M:N,2,0),"")</f>
      </c>
      <c r="O83" s="1"/>
      <c r="P83" s="36" t="str">
        <f>IFERROR(VLOOKUP('A2 (Öhdəliklər)'!O83,List!S:T,2,0),"")</f>
      </c>
      <c r="Q83" s="1"/>
      <c r="R83" s="36" t="str">
        <f>IFERROR(VLOOKUP('A2 (Öhdəliklər)'!Q83,List!K:L,2,0),"")</f>
      </c>
      <c r="S83" s="16" t="s">
        <v>123</v>
      </c>
      <c r="T83" s="16" t="s">
        <v>123</v>
      </c>
      <c r="U83" s="17" t="s">
        <v>280</v>
      </c>
      <c r="V83" s="17"/>
      <c r="W83" s="20"/>
      <c r="X83" s="18" t="s">
        <v>125</v>
      </c>
      <c r="Y83" s="1" t="s">
        <v>126</v>
      </c>
      <c r="Z83" s="36" t="str">
        <f>IFERROR(VLOOKUP('A2 (Öhdəliklər)'!Y83,List!O:P,2,0),"")</f>
      </c>
      <c r="AA83" s="19">
        <v>0</v>
      </c>
      <c r="AB83" s="19">
        <v>0</v>
      </c>
      <c r="AC83" s="37">
        <f t="shared" si="17"/>
        <v>0</v>
      </c>
      <c r="AD83" s="19" t="s">
        <v>281</v>
      </c>
      <c r="AE83" s="19">
        <v>0</v>
      </c>
      <c r="AF83" s="19">
        <v>0</v>
      </c>
      <c r="AG83" s="19">
        <v>0</v>
      </c>
      <c r="AH83" s="19">
        <v>0</v>
      </c>
      <c r="AI83" s="19" t="s">
        <v>128</v>
      </c>
      <c r="AJ83" s="19">
        <v>0</v>
      </c>
      <c r="AK83" s="19">
        <v>0</v>
      </c>
      <c r="AL83" s="19">
        <v>0</v>
      </c>
      <c r="AM83" s="19"/>
      <c r="AN83" s="19" t="s">
        <v>128</v>
      </c>
      <c r="AO83" s="19">
        <v>0</v>
      </c>
      <c r="AP83" s="19">
        <v>0</v>
      </c>
      <c r="AQ83" s="19">
        <v>0</v>
      </c>
      <c r="AR83" s="19">
        <v>0</v>
      </c>
      <c r="AS83" s="19">
        <v>0</v>
      </c>
      <c r="AT83" s="19">
        <v>0</v>
      </c>
      <c r="AU83" s="19">
        <v>0</v>
      </c>
      <c r="AV83" s="19">
        <v>0</v>
      </c>
      <c r="AW83" s="19">
        <v>0</v>
      </c>
      <c r="AX83" s="19">
        <v>0</v>
      </c>
      <c r="AY83" s="21" t="s">
        <v>129</v>
      </c>
      <c r="AZ83" s="36" t="str">
        <f>IFERROR(VLOOKUP('A2 (Öhdəliklər)'!AY83,List!Q:R,2,0),"")</f>
      </c>
      <c r="BA83" s="38">
        <f t="shared" si="18"/>
        <v>0</v>
      </c>
      <c r="BB83" s="38">
        <f t="shared" si="19"/>
        <v>0</v>
      </c>
      <c r="BC83" s="39">
        <f t="shared" si="20"/>
        <v>0.05</v>
      </c>
      <c r="BD83" s="39">
        <f t="shared" si="21"/>
        <v>0</v>
      </c>
      <c r="BE83" s="39">
        <f t="shared" si="22"/>
        <v>0</v>
      </c>
      <c r="BF83" s="39">
        <f t="shared" si="23"/>
        <v>0</v>
      </c>
      <c r="BG83" s="19">
        <v>0</v>
      </c>
      <c r="BH83" s="19">
        <v>0</v>
      </c>
      <c r="BI83" s="19">
        <v>0</v>
      </c>
      <c r="BJ83" s="19">
        <v>0.05</v>
      </c>
      <c r="BK83" s="19">
        <v>0</v>
      </c>
      <c r="BL83" s="19">
        <v>0</v>
      </c>
      <c r="BM83" s="19">
        <v>0</v>
      </c>
      <c r="BN83" s="19">
        <v>0</v>
      </c>
      <c r="BO83" s="19">
        <v>0</v>
      </c>
      <c r="BP83" s="19">
        <v>0</v>
      </c>
      <c r="BQ83" s="19">
        <v>0</v>
      </c>
      <c r="BR83" s="19">
        <v>0</v>
      </c>
      <c r="BS83" s="19">
        <v>0</v>
      </c>
      <c r="BT83" s="19">
        <v>0</v>
      </c>
      <c r="BU83" s="19">
        <v>0</v>
      </c>
      <c r="BV83" s="19">
        <v>0</v>
      </c>
      <c r="BW83" s="19">
        <v>0</v>
      </c>
      <c r="BX83" s="19">
        <v>0</v>
      </c>
      <c r="BY83" s="19">
        <v>0</v>
      </c>
      <c r="BZ83" s="34">
        <v>0</v>
      </c>
      <c r="CA83" s="18">
        <v>0</v>
      </c>
      <c r="CB83" s="20"/>
      <c r="CC83" s="36">
        <v>0</v>
      </c>
      <c r="CD83" s="34"/>
    </row>
    <row r="84" ht="19.5" customHeight="1" s="112" customFormat="1">
      <c r="A84" s="111">
        <v>70</v>
      </c>
      <c r="B84" s="35" t="str">
        <f t="shared" si="16"/>
      </c>
      <c r="C84" s="32">
        <v>15558</v>
      </c>
      <c r="D84" s="15" t="s">
        <v>265</v>
      </c>
      <c r="E84" s="1" t="s">
        <v>118</v>
      </c>
      <c r="F84" s="36" t="str">
        <f>IFERROR(VLOOKUP('A2 (Öhdəliklər)'!E84,List!A:B,2,0),"")</f>
      </c>
      <c r="G84" s="1" t="s">
        <v>119</v>
      </c>
      <c r="H84" s="36" t="str">
        <f>IFERROR(VLOOKUP('A2 (Öhdəliklər)'!G84,List!G:H,2,0),"")</f>
      </c>
      <c r="I84" s="1" t="s">
        <v>120</v>
      </c>
      <c r="J84" s="36" t="str">
        <f>IFERROR(VLOOKUP('A2 (Öhdəliklər)'!I84,List!C:D,2,0),"")</f>
      </c>
      <c r="K84" s="1" t="s">
        <v>175</v>
      </c>
      <c r="L84" s="36" t="str">
        <f>IFERROR(VLOOKUP('A2 (Öhdəliklər)'!K84,List!E:F,2,0),"")</f>
      </c>
      <c r="M84" s="1" t="s">
        <v>122</v>
      </c>
      <c r="N84" s="36" t="str">
        <f>IFERROR(VLOOKUP('A2 (Öhdəliklər)'!M84,List!M:N,2,0),"")</f>
      </c>
      <c r="O84" s="1"/>
      <c r="P84" s="36" t="str">
        <f>IFERROR(VLOOKUP('A2 (Öhdəliklər)'!O84,List!S:T,2,0),"")</f>
      </c>
      <c r="Q84" s="1"/>
      <c r="R84" s="36" t="str">
        <f>IFERROR(VLOOKUP('A2 (Öhdəliklər)'!Q84,List!K:L,2,0),"")</f>
      </c>
      <c r="S84" s="16" t="s">
        <v>123</v>
      </c>
      <c r="T84" s="16" t="s">
        <v>123</v>
      </c>
      <c r="U84" s="17" t="s">
        <v>282</v>
      </c>
      <c r="V84" s="17"/>
      <c r="W84" s="20"/>
      <c r="X84" s="18" t="s">
        <v>125</v>
      </c>
      <c r="Y84" s="1" t="s">
        <v>126</v>
      </c>
      <c r="Z84" s="36" t="str">
        <f>IFERROR(VLOOKUP('A2 (Öhdəliklər)'!Y84,List!O:P,2,0),"")</f>
      </c>
      <c r="AA84" s="19">
        <v>0</v>
      </c>
      <c r="AB84" s="19">
        <v>0</v>
      </c>
      <c r="AC84" s="37">
        <f t="shared" si="17"/>
        <v>0</v>
      </c>
      <c r="AD84" s="19" t="s">
        <v>283</v>
      </c>
      <c r="AE84" s="19">
        <v>0</v>
      </c>
      <c r="AF84" s="19">
        <v>0</v>
      </c>
      <c r="AG84" s="19">
        <v>0</v>
      </c>
      <c r="AH84" s="19">
        <v>0</v>
      </c>
      <c r="AI84" s="19" t="s">
        <v>128</v>
      </c>
      <c r="AJ84" s="19">
        <v>0</v>
      </c>
      <c r="AK84" s="19">
        <v>0</v>
      </c>
      <c r="AL84" s="19">
        <v>0</v>
      </c>
      <c r="AM84" s="19"/>
      <c r="AN84" s="19" t="s">
        <v>128</v>
      </c>
      <c r="AO84" s="19">
        <v>0</v>
      </c>
      <c r="AP84" s="19">
        <v>0</v>
      </c>
      <c r="AQ84" s="19">
        <v>0</v>
      </c>
      <c r="AR84" s="19">
        <v>0</v>
      </c>
      <c r="AS84" s="19">
        <v>0</v>
      </c>
      <c r="AT84" s="19">
        <v>0</v>
      </c>
      <c r="AU84" s="19">
        <v>0</v>
      </c>
      <c r="AV84" s="19">
        <v>0</v>
      </c>
      <c r="AW84" s="19">
        <v>0</v>
      </c>
      <c r="AX84" s="19">
        <v>0</v>
      </c>
      <c r="AY84" s="21" t="s">
        <v>129</v>
      </c>
      <c r="AZ84" s="36" t="str">
        <f>IFERROR(VLOOKUP('A2 (Öhdəliklər)'!AY84,List!Q:R,2,0),"")</f>
      </c>
      <c r="BA84" s="38">
        <f t="shared" si="18"/>
        <v>0</v>
      </c>
      <c r="BB84" s="38">
        <f t="shared" si="19"/>
        <v>0</v>
      </c>
      <c r="BC84" s="39">
        <f t="shared" si="20"/>
        <v>4.99412</v>
      </c>
      <c r="BD84" s="39">
        <f t="shared" si="21"/>
        <v>0</v>
      </c>
      <c r="BE84" s="39">
        <f t="shared" si="22"/>
        <v>0</v>
      </c>
      <c r="BF84" s="39">
        <f t="shared" si="23"/>
        <v>0</v>
      </c>
      <c r="BG84" s="19">
        <v>0</v>
      </c>
      <c r="BH84" s="19">
        <v>0</v>
      </c>
      <c r="BI84" s="19">
        <v>0</v>
      </c>
      <c r="BJ84" s="19">
        <v>4.99412</v>
      </c>
      <c r="BK84" s="19">
        <v>0</v>
      </c>
      <c r="BL84" s="19">
        <v>0</v>
      </c>
      <c r="BM84" s="19">
        <v>0</v>
      </c>
      <c r="BN84" s="19">
        <v>0</v>
      </c>
      <c r="BO84" s="19">
        <v>0</v>
      </c>
      <c r="BP84" s="19">
        <v>0</v>
      </c>
      <c r="BQ84" s="19">
        <v>0</v>
      </c>
      <c r="BR84" s="19">
        <v>0</v>
      </c>
      <c r="BS84" s="19">
        <v>0</v>
      </c>
      <c r="BT84" s="19">
        <v>0</v>
      </c>
      <c r="BU84" s="19">
        <v>0</v>
      </c>
      <c r="BV84" s="19">
        <v>0</v>
      </c>
      <c r="BW84" s="19">
        <v>0</v>
      </c>
      <c r="BX84" s="19">
        <v>0</v>
      </c>
      <c r="BY84" s="19">
        <v>0</v>
      </c>
      <c r="BZ84" s="34">
        <v>0</v>
      </c>
      <c r="CA84" s="18">
        <v>0</v>
      </c>
      <c r="CB84" s="20"/>
      <c r="CC84" s="36">
        <v>0</v>
      </c>
      <c r="CD84" s="34"/>
    </row>
    <row r="85" ht="19.5" customHeight="1" s="112" customFormat="1">
      <c r="A85" s="111">
        <v>71</v>
      </c>
      <c r="B85" s="35" t="str">
        <f t="shared" si="16"/>
      </c>
      <c r="C85" s="32">
        <v>15644</v>
      </c>
      <c r="D85" s="15" t="s">
        <v>265</v>
      </c>
      <c r="E85" s="1" t="s">
        <v>118</v>
      </c>
      <c r="F85" s="36" t="str">
        <f>IFERROR(VLOOKUP('A2 (Öhdəliklər)'!E85,List!A:B,2,0),"")</f>
      </c>
      <c r="G85" s="1" t="s">
        <v>119</v>
      </c>
      <c r="H85" s="36" t="str">
        <f>IFERROR(VLOOKUP('A2 (Öhdəliklər)'!G85,List!G:H,2,0),"")</f>
      </c>
      <c r="I85" s="1" t="s">
        <v>120</v>
      </c>
      <c r="J85" s="36" t="str">
        <f>IFERROR(VLOOKUP('A2 (Öhdəliklər)'!I85,List!C:D,2,0),"")</f>
      </c>
      <c r="K85" s="1" t="s">
        <v>175</v>
      </c>
      <c r="L85" s="36" t="str">
        <f>IFERROR(VLOOKUP('A2 (Öhdəliklər)'!K85,List!E:F,2,0),"")</f>
      </c>
      <c r="M85" s="1" t="s">
        <v>122</v>
      </c>
      <c r="N85" s="36" t="str">
        <f>IFERROR(VLOOKUP('A2 (Öhdəliklər)'!M85,List!M:N,2,0),"")</f>
      </c>
      <c r="O85" s="1"/>
      <c r="P85" s="36" t="str">
        <f>IFERROR(VLOOKUP('A2 (Öhdəliklər)'!O85,List!S:T,2,0),"")</f>
      </c>
      <c r="Q85" s="1"/>
      <c r="R85" s="36" t="str">
        <f>IFERROR(VLOOKUP('A2 (Öhdəliklər)'!Q85,List!K:L,2,0),"")</f>
      </c>
      <c r="S85" s="16" t="s">
        <v>123</v>
      </c>
      <c r="T85" s="16" t="s">
        <v>123</v>
      </c>
      <c r="U85" s="17" t="s">
        <v>284</v>
      </c>
      <c r="V85" s="17"/>
      <c r="W85" s="20"/>
      <c r="X85" s="18" t="s">
        <v>125</v>
      </c>
      <c r="Y85" s="1" t="s">
        <v>126</v>
      </c>
      <c r="Z85" s="36" t="str">
        <f>IFERROR(VLOOKUP('A2 (Öhdəliklər)'!Y85,List!O:P,2,0),"")</f>
      </c>
      <c r="AA85" s="19">
        <v>0</v>
      </c>
      <c r="AB85" s="19">
        <v>0</v>
      </c>
      <c r="AC85" s="37">
        <f t="shared" si="17"/>
        <v>0</v>
      </c>
      <c r="AD85" s="19" t="s">
        <v>285</v>
      </c>
      <c r="AE85" s="19">
        <v>0</v>
      </c>
      <c r="AF85" s="19">
        <v>0</v>
      </c>
      <c r="AG85" s="19">
        <v>0</v>
      </c>
      <c r="AH85" s="19">
        <v>0</v>
      </c>
      <c r="AI85" s="19" t="s">
        <v>128</v>
      </c>
      <c r="AJ85" s="19">
        <v>0</v>
      </c>
      <c r="AK85" s="19">
        <v>0</v>
      </c>
      <c r="AL85" s="19">
        <v>0</v>
      </c>
      <c r="AM85" s="19"/>
      <c r="AN85" s="19" t="s">
        <v>128</v>
      </c>
      <c r="AO85" s="19">
        <v>0</v>
      </c>
      <c r="AP85" s="19">
        <v>0</v>
      </c>
      <c r="AQ85" s="19">
        <v>0</v>
      </c>
      <c r="AR85" s="19">
        <v>0</v>
      </c>
      <c r="AS85" s="19">
        <v>0</v>
      </c>
      <c r="AT85" s="19">
        <v>0</v>
      </c>
      <c r="AU85" s="19">
        <v>0</v>
      </c>
      <c r="AV85" s="19">
        <v>0</v>
      </c>
      <c r="AW85" s="19">
        <v>0</v>
      </c>
      <c r="AX85" s="19">
        <v>0</v>
      </c>
      <c r="AY85" s="21" t="s">
        <v>129</v>
      </c>
      <c r="AZ85" s="36" t="str">
        <f>IFERROR(VLOOKUP('A2 (Öhdəliklər)'!AY85,List!Q:R,2,0),"")</f>
      </c>
      <c r="BA85" s="38">
        <f t="shared" si="18"/>
        <v>0</v>
      </c>
      <c r="BB85" s="38">
        <f t="shared" si="19"/>
        <v>0</v>
      </c>
      <c r="BC85" s="39">
        <f t="shared" si="20"/>
        <v>0.09</v>
      </c>
      <c r="BD85" s="39">
        <f t="shared" si="21"/>
        <v>0</v>
      </c>
      <c r="BE85" s="39">
        <f t="shared" si="22"/>
        <v>0</v>
      </c>
      <c r="BF85" s="39">
        <f t="shared" si="23"/>
        <v>0</v>
      </c>
      <c r="BG85" s="19">
        <v>0</v>
      </c>
      <c r="BH85" s="19">
        <v>0</v>
      </c>
      <c r="BI85" s="19">
        <v>0</v>
      </c>
      <c r="BJ85" s="19">
        <v>0.09</v>
      </c>
      <c r="BK85" s="19">
        <v>0</v>
      </c>
      <c r="BL85" s="19">
        <v>0</v>
      </c>
      <c r="BM85" s="19">
        <v>0</v>
      </c>
      <c r="BN85" s="19">
        <v>0</v>
      </c>
      <c r="BO85" s="19">
        <v>0</v>
      </c>
      <c r="BP85" s="19">
        <v>0</v>
      </c>
      <c r="BQ85" s="19">
        <v>0</v>
      </c>
      <c r="BR85" s="19">
        <v>0</v>
      </c>
      <c r="BS85" s="19">
        <v>0</v>
      </c>
      <c r="BT85" s="19">
        <v>0</v>
      </c>
      <c r="BU85" s="19">
        <v>0</v>
      </c>
      <c r="BV85" s="19">
        <v>0</v>
      </c>
      <c r="BW85" s="19">
        <v>0</v>
      </c>
      <c r="BX85" s="19">
        <v>0</v>
      </c>
      <c r="BY85" s="19">
        <v>0</v>
      </c>
      <c r="BZ85" s="34">
        <v>0</v>
      </c>
      <c r="CA85" s="18">
        <v>0</v>
      </c>
      <c r="CB85" s="20"/>
      <c r="CC85" s="36">
        <v>0</v>
      </c>
      <c r="CD85" s="34"/>
    </row>
    <row r="86" ht="19.5" customHeight="1" s="112" customFormat="1">
      <c r="A86" s="111">
        <v>72</v>
      </c>
      <c r="B86" s="35" t="str">
        <f t="shared" si="16"/>
      </c>
      <c r="C86" s="32">
        <v>15699</v>
      </c>
      <c r="D86" s="15" t="s">
        <v>265</v>
      </c>
      <c r="E86" s="1" t="s">
        <v>118</v>
      </c>
      <c r="F86" s="36" t="str">
        <f>IFERROR(VLOOKUP('A2 (Öhdəliklər)'!E86,List!A:B,2,0),"")</f>
      </c>
      <c r="G86" s="1" t="s">
        <v>119</v>
      </c>
      <c r="H86" s="36" t="str">
        <f>IFERROR(VLOOKUP('A2 (Öhdəliklər)'!G86,List!G:H,2,0),"")</f>
      </c>
      <c r="I86" s="1" t="s">
        <v>120</v>
      </c>
      <c r="J86" s="36" t="str">
        <f>IFERROR(VLOOKUP('A2 (Öhdəliklər)'!I86,List!C:D,2,0),"")</f>
      </c>
      <c r="K86" s="1" t="s">
        <v>175</v>
      </c>
      <c r="L86" s="36" t="str">
        <f>IFERROR(VLOOKUP('A2 (Öhdəliklər)'!K86,List!E:F,2,0),"")</f>
      </c>
      <c r="M86" s="1" t="s">
        <v>122</v>
      </c>
      <c r="N86" s="36" t="str">
        <f>IFERROR(VLOOKUP('A2 (Öhdəliklər)'!M86,List!M:N,2,0),"")</f>
      </c>
      <c r="O86" s="1"/>
      <c r="P86" s="36" t="str">
        <f>IFERROR(VLOOKUP('A2 (Öhdəliklər)'!O86,List!S:T,2,0),"")</f>
      </c>
      <c r="Q86" s="1"/>
      <c r="R86" s="36" t="str">
        <f>IFERROR(VLOOKUP('A2 (Öhdəliklər)'!Q86,List!K:L,2,0),"")</f>
      </c>
      <c r="S86" s="16" t="s">
        <v>123</v>
      </c>
      <c r="T86" s="16" t="s">
        <v>123</v>
      </c>
      <c r="U86" s="17" t="s">
        <v>286</v>
      </c>
      <c r="V86" s="17"/>
      <c r="W86" s="20"/>
      <c r="X86" s="18" t="s">
        <v>125</v>
      </c>
      <c r="Y86" s="1" t="s">
        <v>126</v>
      </c>
      <c r="Z86" s="36" t="str">
        <f>IFERROR(VLOOKUP('A2 (Öhdəliklər)'!Y86,List!O:P,2,0),"")</f>
      </c>
      <c r="AA86" s="19">
        <v>0</v>
      </c>
      <c r="AB86" s="19">
        <v>0</v>
      </c>
      <c r="AC86" s="37">
        <f t="shared" si="17"/>
        <v>0</v>
      </c>
      <c r="AD86" s="19" t="s">
        <v>287</v>
      </c>
      <c r="AE86" s="19">
        <v>0</v>
      </c>
      <c r="AF86" s="19">
        <v>0</v>
      </c>
      <c r="AG86" s="19">
        <v>0</v>
      </c>
      <c r="AH86" s="19">
        <v>0</v>
      </c>
      <c r="AI86" s="19" t="s">
        <v>128</v>
      </c>
      <c r="AJ86" s="19">
        <v>0</v>
      </c>
      <c r="AK86" s="19">
        <v>0</v>
      </c>
      <c r="AL86" s="19">
        <v>0</v>
      </c>
      <c r="AM86" s="19"/>
      <c r="AN86" s="19" t="s">
        <v>128</v>
      </c>
      <c r="AO86" s="19">
        <v>0</v>
      </c>
      <c r="AP86" s="19">
        <v>0</v>
      </c>
      <c r="AQ86" s="19">
        <v>0</v>
      </c>
      <c r="AR86" s="19">
        <v>0</v>
      </c>
      <c r="AS86" s="19">
        <v>0</v>
      </c>
      <c r="AT86" s="19">
        <v>0</v>
      </c>
      <c r="AU86" s="19">
        <v>0</v>
      </c>
      <c r="AV86" s="19">
        <v>0</v>
      </c>
      <c r="AW86" s="19">
        <v>0</v>
      </c>
      <c r="AX86" s="19">
        <v>0</v>
      </c>
      <c r="AY86" s="21" t="s">
        <v>129</v>
      </c>
      <c r="AZ86" s="36" t="str">
        <f>IFERROR(VLOOKUP('A2 (Öhdəliklər)'!AY86,List!Q:R,2,0),"")</f>
      </c>
      <c r="BA86" s="38">
        <f t="shared" si="18"/>
        <v>0</v>
      </c>
      <c r="BB86" s="38">
        <f t="shared" si="19"/>
        <v>0</v>
      </c>
      <c r="BC86" s="39">
        <f t="shared" si="20"/>
        <v>4.3</v>
      </c>
      <c r="BD86" s="39">
        <f t="shared" si="21"/>
        <v>0</v>
      </c>
      <c r="BE86" s="39">
        <f t="shared" si="22"/>
        <v>0</v>
      </c>
      <c r="BF86" s="39">
        <f t="shared" si="23"/>
        <v>0</v>
      </c>
      <c r="BG86" s="19">
        <v>0</v>
      </c>
      <c r="BH86" s="19">
        <v>0</v>
      </c>
      <c r="BI86" s="19">
        <v>0</v>
      </c>
      <c r="BJ86" s="19">
        <v>4.3</v>
      </c>
      <c r="BK86" s="19">
        <v>0</v>
      </c>
      <c r="BL86" s="19">
        <v>0</v>
      </c>
      <c r="BM86" s="19">
        <v>0</v>
      </c>
      <c r="BN86" s="19">
        <v>0</v>
      </c>
      <c r="BO86" s="19">
        <v>0</v>
      </c>
      <c r="BP86" s="19">
        <v>0</v>
      </c>
      <c r="BQ86" s="19">
        <v>0</v>
      </c>
      <c r="BR86" s="19">
        <v>0</v>
      </c>
      <c r="BS86" s="19">
        <v>0</v>
      </c>
      <c r="BT86" s="19">
        <v>0</v>
      </c>
      <c r="BU86" s="19">
        <v>0</v>
      </c>
      <c r="BV86" s="19">
        <v>0</v>
      </c>
      <c r="BW86" s="19">
        <v>0</v>
      </c>
      <c r="BX86" s="19">
        <v>0</v>
      </c>
      <c r="BY86" s="19">
        <v>0</v>
      </c>
      <c r="BZ86" s="34">
        <v>0</v>
      </c>
      <c r="CA86" s="18">
        <v>0</v>
      </c>
      <c r="CB86" s="20"/>
      <c r="CC86" s="36">
        <v>0</v>
      </c>
      <c r="CD86" s="34"/>
    </row>
    <row r="87" ht="19.5" customHeight="1" s="112" customFormat="1">
      <c r="A87" s="111">
        <v>73</v>
      </c>
      <c r="B87" s="35" t="str">
        <f t="shared" si="16"/>
      </c>
      <c r="C87" s="32">
        <v>15706</v>
      </c>
      <c r="D87" s="15" t="s">
        <v>265</v>
      </c>
      <c r="E87" s="1" t="s">
        <v>118</v>
      </c>
      <c r="F87" s="36" t="str">
        <f>IFERROR(VLOOKUP('A2 (Öhdəliklər)'!E87,List!A:B,2,0),"")</f>
      </c>
      <c r="G87" s="1" t="s">
        <v>119</v>
      </c>
      <c r="H87" s="36" t="str">
        <f>IFERROR(VLOOKUP('A2 (Öhdəliklər)'!G87,List!G:H,2,0),"")</f>
      </c>
      <c r="I87" s="1" t="s">
        <v>120</v>
      </c>
      <c r="J87" s="36" t="str">
        <f>IFERROR(VLOOKUP('A2 (Öhdəliklər)'!I87,List!C:D,2,0),"")</f>
      </c>
      <c r="K87" s="1" t="s">
        <v>175</v>
      </c>
      <c r="L87" s="36" t="str">
        <f>IFERROR(VLOOKUP('A2 (Öhdəliklər)'!K87,List!E:F,2,0),"")</f>
      </c>
      <c r="M87" s="1" t="s">
        <v>122</v>
      </c>
      <c r="N87" s="36" t="str">
        <f>IFERROR(VLOOKUP('A2 (Öhdəliklər)'!M87,List!M:N,2,0),"")</f>
      </c>
      <c r="O87" s="1"/>
      <c r="P87" s="36" t="str">
        <f>IFERROR(VLOOKUP('A2 (Öhdəliklər)'!O87,List!S:T,2,0),"")</f>
      </c>
      <c r="Q87" s="1"/>
      <c r="R87" s="36" t="str">
        <f>IFERROR(VLOOKUP('A2 (Öhdəliklər)'!Q87,List!K:L,2,0),"")</f>
      </c>
      <c r="S87" s="16" t="s">
        <v>123</v>
      </c>
      <c r="T87" s="16" t="s">
        <v>123</v>
      </c>
      <c r="U87" s="17" t="s">
        <v>288</v>
      </c>
      <c r="V87" s="17"/>
      <c r="W87" s="20"/>
      <c r="X87" s="18" t="s">
        <v>125</v>
      </c>
      <c r="Y87" s="1" t="s">
        <v>126</v>
      </c>
      <c r="Z87" s="36" t="str">
        <f>IFERROR(VLOOKUP('A2 (Öhdəliklər)'!Y87,List!O:P,2,0),"")</f>
      </c>
      <c r="AA87" s="19">
        <v>0</v>
      </c>
      <c r="AB87" s="19">
        <v>0</v>
      </c>
      <c r="AC87" s="37">
        <f t="shared" si="17"/>
        <v>0</v>
      </c>
      <c r="AD87" s="19" t="s">
        <v>289</v>
      </c>
      <c r="AE87" s="19">
        <v>0</v>
      </c>
      <c r="AF87" s="19">
        <v>0</v>
      </c>
      <c r="AG87" s="19">
        <v>0</v>
      </c>
      <c r="AH87" s="19">
        <v>0</v>
      </c>
      <c r="AI87" s="19" t="s">
        <v>128</v>
      </c>
      <c r="AJ87" s="19">
        <v>0</v>
      </c>
      <c r="AK87" s="19">
        <v>0</v>
      </c>
      <c r="AL87" s="19">
        <v>0</v>
      </c>
      <c r="AM87" s="19"/>
      <c r="AN87" s="19" t="s">
        <v>128</v>
      </c>
      <c r="AO87" s="19">
        <v>0</v>
      </c>
      <c r="AP87" s="19">
        <v>0</v>
      </c>
      <c r="AQ87" s="19">
        <v>0</v>
      </c>
      <c r="AR87" s="19">
        <v>0</v>
      </c>
      <c r="AS87" s="19">
        <v>0</v>
      </c>
      <c r="AT87" s="19">
        <v>0</v>
      </c>
      <c r="AU87" s="19">
        <v>0</v>
      </c>
      <c r="AV87" s="19">
        <v>0</v>
      </c>
      <c r="AW87" s="19">
        <v>0</v>
      </c>
      <c r="AX87" s="19">
        <v>0</v>
      </c>
      <c r="AY87" s="21" t="s">
        <v>129</v>
      </c>
      <c r="AZ87" s="36" t="str">
        <f>IFERROR(VLOOKUP('A2 (Öhdəliklər)'!AY87,List!Q:R,2,0),"")</f>
      </c>
      <c r="BA87" s="38">
        <f t="shared" si="18"/>
        <v>0</v>
      </c>
      <c r="BB87" s="38">
        <f t="shared" si="19"/>
        <v>0</v>
      </c>
      <c r="BC87" s="39">
        <f t="shared" si="20"/>
        <v>0.08403</v>
      </c>
      <c r="BD87" s="39">
        <f t="shared" si="21"/>
        <v>0</v>
      </c>
      <c r="BE87" s="39">
        <f t="shared" si="22"/>
        <v>0</v>
      </c>
      <c r="BF87" s="39">
        <f t="shared" si="23"/>
        <v>0</v>
      </c>
      <c r="BG87" s="19">
        <v>0</v>
      </c>
      <c r="BH87" s="19">
        <v>0</v>
      </c>
      <c r="BI87" s="19">
        <v>0</v>
      </c>
      <c r="BJ87" s="19">
        <v>0.08403</v>
      </c>
      <c r="BK87" s="19">
        <v>0</v>
      </c>
      <c r="BL87" s="19">
        <v>0</v>
      </c>
      <c r="BM87" s="19">
        <v>0</v>
      </c>
      <c r="BN87" s="19">
        <v>0</v>
      </c>
      <c r="BO87" s="19">
        <v>0</v>
      </c>
      <c r="BP87" s="19">
        <v>0</v>
      </c>
      <c r="BQ87" s="19">
        <v>0</v>
      </c>
      <c r="BR87" s="19">
        <v>0</v>
      </c>
      <c r="BS87" s="19">
        <v>0</v>
      </c>
      <c r="BT87" s="19">
        <v>0</v>
      </c>
      <c r="BU87" s="19">
        <v>0</v>
      </c>
      <c r="BV87" s="19">
        <v>0</v>
      </c>
      <c r="BW87" s="19">
        <v>0</v>
      </c>
      <c r="BX87" s="19">
        <v>0</v>
      </c>
      <c r="BY87" s="19">
        <v>0</v>
      </c>
      <c r="BZ87" s="34">
        <v>0</v>
      </c>
      <c r="CA87" s="18">
        <v>0</v>
      </c>
      <c r="CB87" s="20"/>
      <c r="CC87" s="36">
        <v>0</v>
      </c>
      <c r="CD87" s="34"/>
    </row>
    <row r="88" ht="19.5" customHeight="1" s="112" customFormat="1">
      <c r="A88" s="111">
        <v>74</v>
      </c>
      <c r="B88" s="35" t="str">
        <f t="shared" si="16"/>
      </c>
      <c r="C88" s="32">
        <v>15796</v>
      </c>
      <c r="D88" s="15" t="s">
        <v>265</v>
      </c>
      <c r="E88" s="1" t="s">
        <v>118</v>
      </c>
      <c r="F88" s="36" t="str">
        <f>IFERROR(VLOOKUP('A2 (Öhdəliklər)'!E88,List!A:B,2,0),"")</f>
      </c>
      <c r="G88" s="1" t="s">
        <v>119</v>
      </c>
      <c r="H88" s="36" t="str">
        <f>IFERROR(VLOOKUP('A2 (Öhdəliklər)'!G88,List!G:H,2,0),"")</f>
      </c>
      <c r="I88" s="1" t="s">
        <v>120</v>
      </c>
      <c r="J88" s="36" t="str">
        <f>IFERROR(VLOOKUP('A2 (Öhdəliklər)'!I88,List!C:D,2,0),"")</f>
      </c>
      <c r="K88" s="1" t="s">
        <v>175</v>
      </c>
      <c r="L88" s="36" t="str">
        <f>IFERROR(VLOOKUP('A2 (Öhdəliklər)'!K88,List!E:F,2,0),"")</f>
      </c>
      <c r="M88" s="1" t="s">
        <v>122</v>
      </c>
      <c r="N88" s="36" t="str">
        <f>IFERROR(VLOOKUP('A2 (Öhdəliklər)'!M88,List!M:N,2,0),"")</f>
      </c>
      <c r="O88" s="1"/>
      <c r="P88" s="36" t="str">
        <f>IFERROR(VLOOKUP('A2 (Öhdəliklər)'!O88,List!S:T,2,0),"")</f>
      </c>
      <c r="Q88" s="1"/>
      <c r="R88" s="36" t="str">
        <f>IFERROR(VLOOKUP('A2 (Öhdəliklər)'!Q88,List!K:L,2,0),"")</f>
      </c>
      <c r="S88" s="16" t="s">
        <v>123</v>
      </c>
      <c r="T88" s="16" t="s">
        <v>123</v>
      </c>
      <c r="U88" s="17" t="s">
        <v>290</v>
      </c>
      <c r="V88" s="17"/>
      <c r="W88" s="20"/>
      <c r="X88" s="18" t="s">
        <v>125</v>
      </c>
      <c r="Y88" s="1" t="s">
        <v>126</v>
      </c>
      <c r="Z88" s="36" t="str">
        <f>IFERROR(VLOOKUP('A2 (Öhdəliklər)'!Y88,List!O:P,2,0),"")</f>
      </c>
      <c r="AA88" s="19">
        <v>0</v>
      </c>
      <c r="AB88" s="19">
        <v>0</v>
      </c>
      <c r="AC88" s="37">
        <f t="shared" si="17"/>
        <v>0</v>
      </c>
      <c r="AD88" s="19" t="s">
        <v>291</v>
      </c>
      <c r="AE88" s="19">
        <v>0</v>
      </c>
      <c r="AF88" s="19">
        <v>0</v>
      </c>
      <c r="AG88" s="19">
        <v>0</v>
      </c>
      <c r="AH88" s="19">
        <v>0</v>
      </c>
      <c r="AI88" s="19" t="s">
        <v>128</v>
      </c>
      <c r="AJ88" s="19">
        <v>0</v>
      </c>
      <c r="AK88" s="19">
        <v>0</v>
      </c>
      <c r="AL88" s="19">
        <v>0</v>
      </c>
      <c r="AM88" s="19"/>
      <c r="AN88" s="19" t="s">
        <v>128</v>
      </c>
      <c r="AO88" s="19">
        <v>0</v>
      </c>
      <c r="AP88" s="19">
        <v>0</v>
      </c>
      <c r="AQ88" s="19">
        <v>0</v>
      </c>
      <c r="AR88" s="19">
        <v>0</v>
      </c>
      <c r="AS88" s="19">
        <v>0</v>
      </c>
      <c r="AT88" s="19">
        <v>0</v>
      </c>
      <c r="AU88" s="19">
        <v>0</v>
      </c>
      <c r="AV88" s="19">
        <v>0</v>
      </c>
      <c r="AW88" s="19">
        <v>0</v>
      </c>
      <c r="AX88" s="19">
        <v>0</v>
      </c>
      <c r="AY88" s="21" t="s">
        <v>129</v>
      </c>
      <c r="AZ88" s="36" t="str">
        <f>IFERROR(VLOOKUP('A2 (Öhdəliklər)'!AY88,List!Q:R,2,0),"")</f>
      </c>
      <c r="BA88" s="38">
        <f t="shared" si="18"/>
        <v>0</v>
      </c>
      <c r="BB88" s="38">
        <f t="shared" si="19"/>
        <v>0</v>
      </c>
      <c r="BC88" s="39">
        <f t="shared" si="20"/>
        <v>0.01811</v>
      </c>
      <c r="BD88" s="39">
        <f t="shared" si="21"/>
        <v>0</v>
      </c>
      <c r="BE88" s="39">
        <f t="shared" si="22"/>
        <v>0</v>
      </c>
      <c r="BF88" s="39">
        <f t="shared" si="23"/>
        <v>0</v>
      </c>
      <c r="BG88" s="19">
        <v>0</v>
      </c>
      <c r="BH88" s="19">
        <v>0</v>
      </c>
      <c r="BI88" s="19">
        <v>0</v>
      </c>
      <c r="BJ88" s="19">
        <v>0.01811</v>
      </c>
      <c r="BK88" s="19">
        <v>0</v>
      </c>
      <c r="BL88" s="19">
        <v>0</v>
      </c>
      <c r="BM88" s="19">
        <v>0</v>
      </c>
      <c r="BN88" s="19">
        <v>0</v>
      </c>
      <c r="BO88" s="19">
        <v>0</v>
      </c>
      <c r="BP88" s="19">
        <v>0</v>
      </c>
      <c r="BQ88" s="19">
        <v>0</v>
      </c>
      <c r="BR88" s="19">
        <v>0</v>
      </c>
      <c r="BS88" s="19">
        <v>0</v>
      </c>
      <c r="BT88" s="19">
        <v>0</v>
      </c>
      <c r="BU88" s="19">
        <v>0</v>
      </c>
      <c r="BV88" s="19">
        <v>0</v>
      </c>
      <c r="BW88" s="19">
        <v>0</v>
      </c>
      <c r="BX88" s="19">
        <v>0</v>
      </c>
      <c r="BY88" s="19">
        <v>0</v>
      </c>
      <c r="BZ88" s="34">
        <v>0</v>
      </c>
      <c r="CA88" s="18">
        <v>0</v>
      </c>
      <c r="CB88" s="20"/>
      <c r="CC88" s="36">
        <v>0</v>
      </c>
      <c r="CD88" s="34"/>
    </row>
    <row r="89" ht="19.5" customHeight="1" s="112" customFormat="1">
      <c r="A89" s="111">
        <v>75</v>
      </c>
      <c r="B89" s="35" t="str">
        <f t="shared" si="16"/>
      </c>
      <c r="C89" s="32">
        <v>16055</v>
      </c>
      <c r="D89" s="15" t="s">
        <v>265</v>
      </c>
      <c r="E89" s="1" t="s">
        <v>118</v>
      </c>
      <c r="F89" s="36" t="str">
        <f>IFERROR(VLOOKUP('A2 (Öhdəliklər)'!E89,List!A:B,2,0),"")</f>
      </c>
      <c r="G89" s="1" t="s">
        <v>119</v>
      </c>
      <c r="H89" s="36" t="str">
        <f>IFERROR(VLOOKUP('A2 (Öhdəliklər)'!G89,List!G:H,2,0),"")</f>
      </c>
      <c r="I89" s="1" t="s">
        <v>120</v>
      </c>
      <c r="J89" s="36" t="str">
        <f>IFERROR(VLOOKUP('A2 (Öhdəliklər)'!I89,List!C:D,2,0),"")</f>
      </c>
      <c r="K89" s="1" t="s">
        <v>175</v>
      </c>
      <c r="L89" s="36" t="str">
        <f>IFERROR(VLOOKUP('A2 (Öhdəliklər)'!K89,List!E:F,2,0),"")</f>
      </c>
      <c r="M89" s="1" t="s">
        <v>122</v>
      </c>
      <c r="N89" s="36" t="str">
        <f>IFERROR(VLOOKUP('A2 (Öhdəliklər)'!M89,List!M:N,2,0),"")</f>
      </c>
      <c r="O89" s="1"/>
      <c r="P89" s="36" t="str">
        <f>IFERROR(VLOOKUP('A2 (Öhdəliklər)'!O89,List!S:T,2,0),"")</f>
      </c>
      <c r="Q89" s="1"/>
      <c r="R89" s="36" t="str">
        <f>IFERROR(VLOOKUP('A2 (Öhdəliklər)'!Q89,List!K:L,2,0),"")</f>
      </c>
      <c r="S89" s="16" t="s">
        <v>123</v>
      </c>
      <c r="T89" s="16" t="s">
        <v>123</v>
      </c>
      <c r="U89" s="17" t="s">
        <v>292</v>
      </c>
      <c r="V89" s="17"/>
      <c r="W89" s="20"/>
      <c r="X89" s="18" t="s">
        <v>125</v>
      </c>
      <c r="Y89" s="1" t="s">
        <v>126</v>
      </c>
      <c r="Z89" s="36" t="str">
        <f>IFERROR(VLOOKUP('A2 (Öhdəliklər)'!Y89,List!O:P,2,0),"")</f>
      </c>
      <c r="AA89" s="19">
        <v>0</v>
      </c>
      <c r="AB89" s="19">
        <v>0</v>
      </c>
      <c r="AC89" s="37">
        <f t="shared" si="17"/>
        <v>0</v>
      </c>
      <c r="AD89" s="19" t="s">
        <v>293</v>
      </c>
      <c r="AE89" s="19">
        <v>0</v>
      </c>
      <c r="AF89" s="19">
        <v>0</v>
      </c>
      <c r="AG89" s="19">
        <v>0</v>
      </c>
      <c r="AH89" s="19">
        <v>0</v>
      </c>
      <c r="AI89" s="19" t="s">
        <v>128</v>
      </c>
      <c r="AJ89" s="19">
        <v>0</v>
      </c>
      <c r="AK89" s="19">
        <v>0</v>
      </c>
      <c r="AL89" s="19">
        <v>0</v>
      </c>
      <c r="AM89" s="19"/>
      <c r="AN89" s="19" t="s">
        <v>128</v>
      </c>
      <c r="AO89" s="19">
        <v>0</v>
      </c>
      <c r="AP89" s="19">
        <v>0</v>
      </c>
      <c r="AQ89" s="19">
        <v>0</v>
      </c>
      <c r="AR89" s="19">
        <v>0</v>
      </c>
      <c r="AS89" s="19">
        <v>0</v>
      </c>
      <c r="AT89" s="19">
        <v>0</v>
      </c>
      <c r="AU89" s="19">
        <v>0</v>
      </c>
      <c r="AV89" s="19">
        <v>0</v>
      </c>
      <c r="AW89" s="19">
        <v>0</v>
      </c>
      <c r="AX89" s="19">
        <v>0</v>
      </c>
      <c r="AY89" s="21" t="s">
        <v>129</v>
      </c>
      <c r="AZ89" s="36" t="str">
        <f>IFERROR(VLOOKUP('A2 (Öhdəliklər)'!AY89,List!Q:R,2,0),"")</f>
      </c>
      <c r="BA89" s="38">
        <f t="shared" si="18"/>
        <v>0</v>
      </c>
      <c r="BB89" s="38">
        <f t="shared" si="19"/>
        <v>0</v>
      </c>
      <c r="BC89" s="39">
        <f t="shared" si="20"/>
        <v>0.2</v>
      </c>
      <c r="BD89" s="39">
        <f t="shared" si="21"/>
        <v>0</v>
      </c>
      <c r="BE89" s="39">
        <f t="shared" si="22"/>
        <v>0</v>
      </c>
      <c r="BF89" s="39">
        <f t="shared" si="23"/>
        <v>0</v>
      </c>
      <c r="BG89" s="19">
        <v>0</v>
      </c>
      <c r="BH89" s="19">
        <v>0</v>
      </c>
      <c r="BI89" s="19">
        <v>0</v>
      </c>
      <c r="BJ89" s="19">
        <v>0.2</v>
      </c>
      <c r="BK89" s="19">
        <v>0</v>
      </c>
      <c r="BL89" s="19">
        <v>0</v>
      </c>
      <c r="BM89" s="19">
        <v>0</v>
      </c>
      <c r="BN89" s="19">
        <v>0</v>
      </c>
      <c r="BO89" s="19">
        <v>0</v>
      </c>
      <c r="BP89" s="19">
        <v>0</v>
      </c>
      <c r="BQ89" s="19">
        <v>0</v>
      </c>
      <c r="BR89" s="19">
        <v>0</v>
      </c>
      <c r="BS89" s="19">
        <v>0</v>
      </c>
      <c r="BT89" s="19">
        <v>0</v>
      </c>
      <c r="BU89" s="19">
        <v>0</v>
      </c>
      <c r="BV89" s="19">
        <v>0</v>
      </c>
      <c r="BW89" s="19">
        <v>0</v>
      </c>
      <c r="BX89" s="19">
        <v>0</v>
      </c>
      <c r="BY89" s="19">
        <v>0</v>
      </c>
      <c r="BZ89" s="34">
        <v>0</v>
      </c>
      <c r="CA89" s="18">
        <v>0</v>
      </c>
      <c r="CB89" s="20"/>
      <c r="CC89" s="36">
        <v>0</v>
      </c>
      <c r="CD89" s="34"/>
    </row>
    <row r="90" ht="19.5" customHeight="1" s="112" customFormat="1">
      <c r="A90" s="111">
        <v>76</v>
      </c>
      <c r="B90" s="35" t="str">
        <f t="shared" si="16"/>
      </c>
      <c r="C90" s="32">
        <v>16515</v>
      </c>
      <c r="D90" s="15" t="s">
        <v>265</v>
      </c>
      <c r="E90" s="1" t="s">
        <v>118</v>
      </c>
      <c r="F90" s="36" t="str">
        <f>IFERROR(VLOOKUP('A2 (Öhdəliklər)'!E90,List!A:B,2,0),"")</f>
      </c>
      <c r="G90" s="1" t="s">
        <v>119</v>
      </c>
      <c r="H90" s="36" t="str">
        <f>IFERROR(VLOOKUP('A2 (Öhdəliklər)'!G90,List!G:H,2,0),"")</f>
      </c>
      <c r="I90" s="1" t="s">
        <v>120</v>
      </c>
      <c r="J90" s="36" t="str">
        <f>IFERROR(VLOOKUP('A2 (Öhdəliklər)'!I90,List!C:D,2,0),"")</f>
      </c>
      <c r="K90" s="1" t="s">
        <v>175</v>
      </c>
      <c r="L90" s="36" t="str">
        <f>IFERROR(VLOOKUP('A2 (Öhdəliklər)'!K90,List!E:F,2,0),"")</f>
      </c>
      <c r="M90" s="1" t="s">
        <v>122</v>
      </c>
      <c r="N90" s="36" t="str">
        <f>IFERROR(VLOOKUP('A2 (Öhdəliklər)'!M90,List!M:N,2,0),"")</f>
      </c>
      <c r="O90" s="1"/>
      <c r="P90" s="36" t="str">
        <f>IFERROR(VLOOKUP('A2 (Öhdəliklər)'!O90,List!S:T,2,0),"")</f>
      </c>
      <c r="Q90" s="1"/>
      <c r="R90" s="36" t="str">
        <f>IFERROR(VLOOKUP('A2 (Öhdəliklər)'!Q90,List!K:L,2,0),"")</f>
      </c>
      <c r="S90" s="16" t="s">
        <v>123</v>
      </c>
      <c r="T90" s="16" t="s">
        <v>123</v>
      </c>
      <c r="U90" s="17" t="s">
        <v>241</v>
      </c>
      <c r="V90" s="17"/>
      <c r="W90" s="20"/>
      <c r="X90" s="18" t="s">
        <v>125</v>
      </c>
      <c r="Y90" s="1" t="s">
        <v>126</v>
      </c>
      <c r="Z90" s="36" t="str">
        <f>IFERROR(VLOOKUP('A2 (Öhdəliklər)'!Y90,List!O:P,2,0),"")</f>
      </c>
      <c r="AA90" s="19">
        <v>0</v>
      </c>
      <c r="AB90" s="19">
        <v>0</v>
      </c>
      <c r="AC90" s="37">
        <f t="shared" si="17"/>
        <v>0</v>
      </c>
      <c r="AD90" s="19" t="s">
        <v>294</v>
      </c>
      <c r="AE90" s="19">
        <v>0</v>
      </c>
      <c r="AF90" s="19">
        <v>0</v>
      </c>
      <c r="AG90" s="19">
        <v>0</v>
      </c>
      <c r="AH90" s="19">
        <v>0</v>
      </c>
      <c r="AI90" s="19" t="s">
        <v>128</v>
      </c>
      <c r="AJ90" s="19">
        <v>0</v>
      </c>
      <c r="AK90" s="19">
        <v>0</v>
      </c>
      <c r="AL90" s="19">
        <v>0</v>
      </c>
      <c r="AM90" s="19"/>
      <c r="AN90" s="19" t="s">
        <v>128</v>
      </c>
      <c r="AO90" s="19">
        <v>0</v>
      </c>
      <c r="AP90" s="19">
        <v>0</v>
      </c>
      <c r="AQ90" s="19">
        <v>0</v>
      </c>
      <c r="AR90" s="19">
        <v>0</v>
      </c>
      <c r="AS90" s="19">
        <v>0</v>
      </c>
      <c r="AT90" s="19">
        <v>0</v>
      </c>
      <c r="AU90" s="19">
        <v>0</v>
      </c>
      <c r="AV90" s="19">
        <v>0</v>
      </c>
      <c r="AW90" s="19">
        <v>0</v>
      </c>
      <c r="AX90" s="19">
        <v>0</v>
      </c>
      <c r="AY90" s="21" t="s">
        <v>129</v>
      </c>
      <c r="AZ90" s="36" t="str">
        <f>IFERROR(VLOOKUP('A2 (Öhdəliklər)'!AY90,List!Q:R,2,0),"")</f>
      </c>
      <c r="BA90" s="38">
        <f t="shared" si="18"/>
        <v>0</v>
      </c>
      <c r="BB90" s="38">
        <f t="shared" si="19"/>
        <v>0</v>
      </c>
      <c r="BC90" s="39">
        <f t="shared" si="20"/>
        <v>18.5</v>
      </c>
      <c r="BD90" s="39">
        <f t="shared" si="21"/>
        <v>0</v>
      </c>
      <c r="BE90" s="39">
        <f t="shared" si="22"/>
        <v>0</v>
      </c>
      <c r="BF90" s="39">
        <f t="shared" si="23"/>
        <v>0</v>
      </c>
      <c r="BG90" s="19">
        <v>0</v>
      </c>
      <c r="BH90" s="19">
        <v>0</v>
      </c>
      <c r="BI90" s="19">
        <v>0</v>
      </c>
      <c r="BJ90" s="19">
        <v>18.5</v>
      </c>
      <c r="BK90" s="19">
        <v>0</v>
      </c>
      <c r="BL90" s="19">
        <v>0</v>
      </c>
      <c r="BM90" s="19">
        <v>0</v>
      </c>
      <c r="BN90" s="19">
        <v>0</v>
      </c>
      <c r="BO90" s="19">
        <v>0</v>
      </c>
      <c r="BP90" s="19">
        <v>0</v>
      </c>
      <c r="BQ90" s="19">
        <v>0</v>
      </c>
      <c r="BR90" s="19">
        <v>0</v>
      </c>
      <c r="BS90" s="19">
        <v>0</v>
      </c>
      <c r="BT90" s="19">
        <v>0</v>
      </c>
      <c r="BU90" s="19">
        <v>0</v>
      </c>
      <c r="BV90" s="19">
        <v>0</v>
      </c>
      <c r="BW90" s="19">
        <v>0</v>
      </c>
      <c r="BX90" s="19">
        <v>0</v>
      </c>
      <c r="BY90" s="19">
        <v>0</v>
      </c>
      <c r="BZ90" s="34">
        <v>0</v>
      </c>
      <c r="CA90" s="18">
        <v>0</v>
      </c>
      <c r="CB90" s="20"/>
      <c r="CC90" s="36">
        <v>0</v>
      </c>
      <c r="CD90" s="34"/>
    </row>
    <row r="91" ht="19.5" customHeight="1" s="112" customFormat="1">
      <c r="A91" s="111">
        <v>77</v>
      </c>
      <c r="B91" s="35" t="str">
        <f t="shared" si="16"/>
      </c>
      <c r="C91" s="32">
        <v>16546</v>
      </c>
      <c r="D91" s="15" t="s">
        <v>265</v>
      </c>
      <c r="E91" s="1" t="s">
        <v>118</v>
      </c>
      <c r="F91" s="36" t="str">
        <f>IFERROR(VLOOKUP('A2 (Öhdəliklər)'!E91,List!A:B,2,0),"")</f>
      </c>
      <c r="G91" s="1" t="s">
        <v>119</v>
      </c>
      <c r="H91" s="36" t="str">
        <f>IFERROR(VLOOKUP('A2 (Öhdəliklər)'!G91,List!G:H,2,0),"")</f>
      </c>
      <c r="I91" s="1" t="s">
        <v>120</v>
      </c>
      <c r="J91" s="36" t="str">
        <f>IFERROR(VLOOKUP('A2 (Öhdəliklər)'!I91,List!C:D,2,0),"")</f>
      </c>
      <c r="K91" s="1" t="s">
        <v>175</v>
      </c>
      <c r="L91" s="36" t="str">
        <f>IFERROR(VLOOKUP('A2 (Öhdəliklər)'!K91,List!E:F,2,0),"")</f>
      </c>
      <c r="M91" s="1" t="s">
        <v>122</v>
      </c>
      <c r="N91" s="36" t="str">
        <f>IFERROR(VLOOKUP('A2 (Öhdəliklər)'!M91,List!M:N,2,0),"")</f>
      </c>
      <c r="O91" s="1"/>
      <c r="P91" s="36" t="str">
        <f>IFERROR(VLOOKUP('A2 (Öhdəliklər)'!O91,List!S:T,2,0),"")</f>
      </c>
      <c r="Q91" s="1"/>
      <c r="R91" s="36" t="str">
        <f>IFERROR(VLOOKUP('A2 (Öhdəliklər)'!Q91,List!K:L,2,0),"")</f>
      </c>
      <c r="S91" s="16" t="s">
        <v>123</v>
      </c>
      <c r="T91" s="16" t="s">
        <v>123</v>
      </c>
      <c r="U91" s="17" t="s">
        <v>295</v>
      </c>
      <c r="V91" s="17"/>
      <c r="W91" s="20"/>
      <c r="X91" s="18" t="s">
        <v>125</v>
      </c>
      <c r="Y91" s="1" t="s">
        <v>126</v>
      </c>
      <c r="Z91" s="36" t="str">
        <f>IFERROR(VLOOKUP('A2 (Öhdəliklər)'!Y91,List!O:P,2,0),"")</f>
      </c>
      <c r="AA91" s="19">
        <v>0</v>
      </c>
      <c r="AB91" s="19">
        <v>0</v>
      </c>
      <c r="AC91" s="37">
        <f t="shared" si="17"/>
        <v>0</v>
      </c>
      <c r="AD91" s="19" t="s">
        <v>296</v>
      </c>
      <c r="AE91" s="19">
        <v>0</v>
      </c>
      <c r="AF91" s="19">
        <v>0</v>
      </c>
      <c r="AG91" s="19">
        <v>0</v>
      </c>
      <c r="AH91" s="19">
        <v>0</v>
      </c>
      <c r="AI91" s="19" t="s">
        <v>128</v>
      </c>
      <c r="AJ91" s="19">
        <v>0</v>
      </c>
      <c r="AK91" s="19">
        <v>0</v>
      </c>
      <c r="AL91" s="19">
        <v>0</v>
      </c>
      <c r="AM91" s="19"/>
      <c r="AN91" s="19" t="s">
        <v>128</v>
      </c>
      <c r="AO91" s="19">
        <v>0</v>
      </c>
      <c r="AP91" s="19">
        <v>0</v>
      </c>
      <c r="AQ91" s="19">
        <v>0</v>
      </c>
      <c r="AR91" s="19">
        <v>0</v>
      </c>
      <c r="AS91" s="19">
        <v>0</v>
      </c>
      <c r="AT91" s="19">
        <v>0</v>
      </c>
      <c r="AU91" s="19">
        <v>0</v>
      </c>
      <c r="AV91" s="19">
        <v>0</v>
      </c>
      <c r="AW91" s="19">
        <v>0</v>
      </c>
      <c r="AX91" s="19">
        <v>0</v>
      </c>
      <c r="AY91" s="21" t="s">
        <v>129</v>
      </c>
      <c r="AZ91" s="36" t="str">
        <f>IFERROR(VLOOKUP('A2 (Öhdəliklər)'!AY91,List!Q:R,2,0),"")</f>
      </c>
      <c r="BA91" s="38">
        <f t="shared" si="18"/>
        <v>0</v>
      </c>
      <c r="BB91" s="38">
        <f t="shared" si="19"/>
        <v>0</v>
      </c>
      <c r="BC91" s="39">
        <f t="shared" si="20"/>
        <v>1.08</v>
      </c>
      <c r="BD91" s="39">
        <f t="shared" si="21"/>
        <v>0</v>
      </c>
      <c r="BE91" s="39">
        <f t="shared" si="22"/>
        <v>0</v>
      </c>
      <c r="BF91" s="39">
        <f t="shared" si="23"/>
        <v>0</v>
      </c>
      <c r="BG91" s="19">
        <v>0</v>
      </c>
      <c r="BH91" s="19">
        <v>0</v>
      </c>
      <c r="BI91" s="19">
        <v>0</v>
      </c>
      <c r="BJ91" s="19">
        <v>1.08</v>
      </c>
      <c r="BK91" s="19">
        <v>0</v>
      </c>
      <c r="BL91" s="19">
        <v>0</v>
      </c>
      <c r="BM91" s="19">
        <v>0</v>
      </c>
      <c r="BN91" s="19">
        <v>0</v>
      </c>
      <c r="BO91" s="19">
        <v>0</v>
      </c>
      <c r="BP91" s="19">
        <v>0</v>
      </c>
      <c r="BQ91" s="19">
        <v>0</v>
      </c>
      <c r="BR91" s="19">
        <v>0</v>
      </c>
      <c r="BS91" s="19">
        <v>0</v>
      </c>
      <c r="BT91" s="19">
        <v>0</v>
      </c>
      <c r="BU91" s="19">
        <v>0</v>
      </c>
      <c r="BV91" s="19">
        <v>0</v>
      </c>
      <c r="BW91" s="19">
        <v>0</v>
      </c>
      <c r="BX91" s="19">
        <v>0</v>
      </c>
      <c r="BY91" s="19">
        <v>0</v>
      </c>
      <c r="BZ91" s="34">
        <v>0</v>
      </c>
      <c r="CA91" s="18">
        <v>0</v>
      </c>
      <c r="CB91" s="20"/>
      <c r="CC91" s="36">
        <v>0</v>
      </c>
      <c r="CD91" s="34"/>
    </row>
    <row r="92" ht="19.5" customHeight="1" s="112" customFormat="1">
      <c r="A92" s="111">
        <v>78</v>
      </c>
      <c r="B92" s="35" t="str">
        <f t="shared" si="16"/>
      </c>
      <c r="C92" s="32">
        <v>17080</v>
      </c>
      <c r="D92" s="15" t="s">
        <v>265</v>
      </c>
      <c r="E92" s="1" t="s">
        <v>118</v>
      </c>
      <c r="F92" s="36" t="str">
        <f>IFERROR(VLOOKUP('A2 (Öhdəliklər)'!E92,List!A:B,2,0),"")</f>
      </c>
      <c r="G92" s="1" t="s">
        <v>119</v>
      </c>
      <c r="H92" s="36" t="str">
        <f>IFERROR(VLOOKUP('A2 (Öhdəliklər)'!G92,List!G:H,2,0),"")</f>
      </c>
      <c r="I92" s="1" t="s">
        <v>120</v>
      </c>
      <c r="J92" s="36" t="str">
        <f>IFERROR(VLOOKUP('A2 (Öhdəliklər)'!I92,List!C:D,2,0),"")</f>
      </c>
      <c r="K92" s="1" t="s">
        <v>175</v>
      </c>
      <c r="L92" s="36" t="str">
        <f>IFERROR(VLOOKUP('A2 (Öhdəliklər)'!K92,List!E:F,2,0),"")</f>
      </c>
      <c r="M92" s="1" t="s">
        <v>122</v>
      </c>
      <c r="N92" s="36" t="str">
        <f>IFERROR(VLOOKUP('A2 (Öhdəliklər)'!M92,List!M:N,2,0),"")</f>
      </c>
      <c r="O92" s="1"/>
      <c r="P92" s="36" t="str">
        <f>IFERROR(VLOOKUP('A2 (Öhdəliklər)'!O92,List!S:T,2,0),"")</f>
      </c>
      <c r="Q92" s="1"/>
      <c r="R92" s="36" t="str">
        <f>IFERROR(VLOOKUP('A2 (Öhdəliklər)'!Q92,List!K:L,2,0),"")</f>
      </c>
      <c r="S92" s="16" t="s">
        <v>123</v>
      </c>
      <c r="T92" s="16" t="s">
        <v>123</v>
      </c>
      <c r="U92" s="17" t="s">
        <v>297</v>
      </c>
      <c r="V92" s="17"/>
      <c r="W92" s="20"/>
      <c r="X92" s="18" t="s">
        <v>125</v>
      </c>
      <c r="Y92" s="1" t="s">
        <v>126</v>
      </c>
      <c r="Z92" s="36" t="str">
        <f>IFERROR(VLOOKUP('A2 (Öhdəliklər)'!Y92,List!O:P,2,0),"")</f>
      </c>
      <c r="AA92" s="19">
        <v>0</v>
      </c>
      <c r="AB92" s="19">
        <v>0</v>
      </c>
      <c r="AC92" s="37">
        <f t="shared" si="17"/>
        <v>0</v>
      </c>
      <c r="AD92" s="19" t="s">
        <v>298</v>
      </c>
      <c r="AE92" s="19">
        <v>0</v>
      </c>
      <c r="AF92" s="19">
        <v>0</v>
      </c>
      <c r="AG92" s="19">
        <v>0</v>
      </c>
      <c r="AH92" s="19">
        <v>0</v>
      </c>
      <c r="AI92" s="19" t="s">
        <v>128</v>
      </c>
      <c r="AJ92" s="19">
        <v>0</v>
      </c>
      <c r="AK92" s="19">
        <v>0</v>
      </c>
      <c r="AL92" s="19">
        <v>0</v>
      </c>
      <c r="AM92" s="19"/>
      <c r="AN92" s="19" t="s">
        <v>128</v>
      </c>
      <c r="AO92" s="19">
        <v>0</v>
      </c>
      <c r="AP92" s="19">
        <v>0</v>
      </c>
      <c r="AQ92" s="19">
        <v>0</v>
      </c>
      <c r="AR92" s="19">
        <v>0</v>
      </c>
      <c r="AS92" s="19">
        <v>0</v>
      </c>
      <c r="AT92" s="19">
        <v>0</v>
      </c>
      <c r="AU92" s="19">
        <v>0</v>
      </c>
      <c r="AV92" s="19">
        <v>0</v>
      </c>
      <c r="AW92" s="19">
        <v>0</v>
      </c>
      <c r="AX92" s="19">
        <v>0</v>
      </c>
      <c r="AY92" s="21" t="s">
        <v>129</v>
      </c>
      <c r="AZ92" s="36" t="str">
        <f>IFERROR(VLOOKUP('A2 (Öhdəliklər)'!AY92,List!Q:R,2,0),"")</f>
      </c>
      <c r="BA92" s="38">
        <f t="shared" si="18"/>
        <v>0</v>
      </c>
      <c r="BB92" s="38">
        <f t="shared" si="19"/>
        <v>0</v>
      </c>
      <c r="BC92" s="39">
        <f t="shared" si="20"/>
        <v>0.04</v>
      </c>
      <c r="BD92" s="39">
        <f t="shared" si="21"/>
        <v>0</v>
      </c>
      <c r="BE92" s="39">
        <f t="shared" si="22"/>
        <v>0</v>
      </c>
      <c r="BF92" s="39">
        <f t="shared" si="23"/>
        <v>0</v>
      </c>
      <c r="BG92" s="19">
        <v>0</v>
      </c>
      <c r="BH92" s="19">
        <v>0</v>
      </c>
      <c r="BI92" s="19">
        <v>0</v>
      </c>
      <c r="BJ92" s="19">
        <v>0.04</v>
      </c>
      <c r="BK92" s="19">
        <v>0</v>
      </c>
      <c r="BL92" s="19">
        <v>0</v>
      </c>
      <c r="BM92" s="19">
        <v>0</v>
      </c>
      <c r="BN92" s="19">
        <v>0</v>
      </c>
      <c r="BO92" s="19">
        <v>0</v>
      </c>
      <c r="BP92" s="19">
        <v>0</v>
      </c>
      <c r="BQ92" s="19">
        <v>0</v>
      </c>
      <c r="BR92" s="19">
        <v>0</v>
      </c>
      <c r="BS92" s="19">
        <v>0</v>
      </c>
      <c r="BT92" s="19">
        <v>0</v>
      </c>
      <c r="BU92" s="19">
        <v>0</v>
      </c>
      <c r="BV92" s="19">
        <v>0</v>
      </c>
      <c r="BW92" s="19">
        <v>0</v>
      </c>
      <c r="BX92" s="19">
        <v>0</v>
      </c>
      <c r="BY92" s="19">
        <v>0</v>
      </c>
      <c r="BZ92" s="34">
        <v>0</v>
      </c>
      <c r="CA92" s="18">
        <v>0</v>
      </c>
      <c r="CB92" s="20"/>
      <c r="CC92" s="36">
        <v>0</v>
      </c>
      <c r="CD92" s="34"/>
    </row>
    <row r="93" ht="19.5" customHeight="1" s="112" customFormat="1">
      <c r="A93" s="111">
        <v>79</v>
      </c>
      <c r="B93" s="35" t="str">
        <f t="shared" si="16"/>
      </c>
      <c r="C93" s="32">
        <v>17210</v>
      </c>
      <c r="D93" s="15" t="s">
        <v>265</v>
      </c>
      <c r="E93" s="1" t="s">
        <v>118</v>
      </c>
      <c r="F93" s="36" t="str">
        <f>IFERROR(VLOOKUP('A2 (Öhdəliklər)'!E93,List!A:B,2,0),"")</f>
      </c>
      <c r="G93" s="1" t="s">
        <v>119</v>
      </c>
      <c r="H93" s="36" t="str">
        <f>IFERROR(VLOOKUP('A2 (Öhdəliklər)'!G93,List!G:H,2,0),"")</f>
      </c>
      <c r="I93" s="1" t="s">
        <v>120</v>
      </c>
      <c r="J93" s="36" t="str">
        <f>IFERROR(VLOOKUP('A2 (Öhdəliklər)'!I93,List!C:D,2,0),"")</f>
      </c>
      <c r="K93" s="1" t="s">
        <v>175</v>
      </c>
      <c r="L93" s="36" t="str">
        <f>IFERROR(VLOOKUP('A2 (Öhdəliklər)'!K93,List!E:F,2,0),"")</f>
      </c>
      <c r="M93" s="1" t="s">
        <v>122</v>
      </c>
      <c r="N93" s="36" t="str">
        <f>IFERROR(VLOOKUP('A2 (Öhdəliklər)'!M93,List!M:N,2,0),"")</f>
      </c>
      <c r="O93" s="1"/>
      <c r="P93" s="36" t="str">
        <f>IFERROR(VLOOKUP('A2 (Öhdəliklər)'!O93,List!S:T,2,0),"")</f>
      </c>
      <c r="Q93" s="1"/>
      <c r="R93" s="36" t="str">
        <f>IFERROR(VLOOKUP('A2 (Öhdəliklər)'!Q93,List!K:L,2,0),"")</f>
      </c>
      <c r="S93" s="16" t="s">
        <v>123</v>
      </c>
      <c r="T93" s="16" t="s">
        <v>123</v>
      </c>
      <c r="U93" s="17" t="s">
        <v>299</v>
      </c>
      <c r="V93" s="17"/>
      <c r="W93" s="20"/>
      <c r="X93" s="18" t="s">
        <v>125</v>
      </c>
      <c r="Y93" s="1" t="s">
        <v>126</v>
      </c>
      <c r="Z93" s="36" t="str">
        <f>IFERROR(VLOOKUP('A2 (Öhdəliklər)'!Y93,List!O:P,2,0),"")</f>
      </c>
      <c r="AA93" s="19">
        <v>0</v>
      </c>
      <c r="AB93" s="19">
        <v>0</v>
      </c>
      <c r="AC93" s="37">
        <f t="shared" si="17"/>
        <v>0</v>
      </c>
      <c r="AD93" s="19" t="s">
        <v>300</v>
      </c>
      <c r="AE93" s="19">
        <v>0</v>
      </c>
      <c r="AF93" s="19">
        <v>0</v>
      </c>
      <c r="AG93" s="19">
        <v>0</v>
      </c>
      <c r="AH93" s="19">
        <v>0</v>
      </c>
      <c r="AI93" s="19" t="s">
        <v>128</v>
      </c>
      <c r="AJ93" s="19">
        <v>0</v>
      </c>
      <c r="AK93" s="19">
        <v>0</v>
      </c>
      <c r="AL93" s="19">
        <v>0</v>
      </c>
      <c r="AM93" s="19"/>
      <c r="AN93" s="19" t="s">
        <v>128</v>
      </c>
      <c r="AO93" s="19">
        <v>0</v>
      </c>
      <c r="AP93" s="19">
        <v>0</v>
      </c>
      <c r="AQ93" s="19">
        <v>0</v>
      </c>
      <c r="AR93" s="19">
        <v>0</v>
      </c>
      <c r="AS93" s="19">
        <v>0</v>
      </c>
      <c r="AT93" s="19">
        <v>0</v>
      </c>
      <c r="AU93" s="19">
        <v>0</v>
      </c>
      <c r="AV93" s="19">
        <v>0</v>
      </c>
      <c r="AW93" s="19">
        <v>0</v>
      </c>
      <c r="AX93" s="19">
        <v>0</v>
      </c>
      <c r="AY93" s="21" t="s">
        <v>129</v>
      </c>
      <c r="AZ93" s="36" t="str">
        <f>IFERROR(VLOOKUP('A2 (Öhdəliklər)'!AY93,List!Q:R,2,0),"")</f>
      </c>
      <c r="BA93" s="38">
        <f t="shared" si="18"/>
        <v>0</v>
      </c>
      <c r="BB93" s="38">
        <f t="shared" si="19"/>
        <v>0</v>
      </c>
      <c r="BC93" s="39">
        <f t="shared" si="20"/>
        <v>0.04641</v>
      </c>
      <c r="BD93" s="39">
        <f t="shared" si="21"/>
        <v>0</v>
      </c>
      <c r="BE93" s="39">
        <f t="shared" si="22"/>
        <v>0</v>
      </c>
      <c r="BF93" s="39">
        <f t="shared" si="23"/>
        <v>0</v>
      </c>
      <c r="BG93" s="19">
        <v>0</v>
      </c>
      <c r="BH93" s="19">
        <v>0</v>
      </c>
      <c r="BI93" s="19">
        <v>0</v>
      </c>
      <c r="BJ93" s="19">
        <v>0.04641</v>
      </c>
      <c r="BK93" s="19">
        <v>0</v>
      </c>
      <c r="BL93" s="19">
        <v>0</v>
      </c>
      <c r="BM93" s="19">
        <v>0</v>
      </c>
      <c r="BN93" s="19">
        <v>0</v>
      </c>
      <c r="BO93" s="19">
        <v>0</v>
      </c>
      <c r="BP93" s="19">
        <v>0</v>
      </c>
      <c r="BQ93" s="19">
        <v>0</v>
      </c>
      <c r="BR93" s="19">
        <v>0</v>
      </c>
      <c r="BS93" s="19">
        <v>0</v>
      </c>
      <c r="BT93" s="19">
        <v>0</v>
      </c>
      <c r="BU93" s="19">
        <v>0</v>
      </c>
      <c r="BV93" s="19">
        <v>0</v>
      </c>
      <c r="BW93" s="19">
        <v>0</v>
      </c>
      <c r="BX93" s="19">
        <v>0</v>
      </c>
      <c r="BY93" s="19">
        <v>0</v>
      </c>
      <c r="BZ93" s="34">
        <v>0</v>
      </c>
      <c r="CA93" s="18">
        <v>0</v>
      </c>
      <c r="CB93" s="20"/>
      <c r="CC93" s="36">
        <v>0</v>
      </c>
      <c r="CD93" s="34"/>
    </row>
    <row r="94" ht="19.5" customHeight="1" s="112" customFormat="1">
      <c r="A94" s="111">
        <v>80</v>
      </c>
      <c r="B94" s="35" t="str">
        <f t="shared" si="16"/>
      </c>
      <c r="C94" s="32">
        <v>17556</v>
      </c>
      <c r="D94" s="15" t="s">
        <v>265</v>
      </c>
      <c r="E94" s="1" t="s">
        <v>118</v>
      </c>
      <c r="F94" s="36" t="str">
        <f>IFERROR(VLOOKUP('A2 (Öhdəliklər)'!E94,List!A:B,2,0),"")</f>
      </c>
      <c r="G94" s="1" t="s">
        <v>119</v>
      </c>
      <c r="H94" s="36" t="str">
        <f>IFERROR(VLOOKUP('A2 (Öhdəliklər)'!G94,List!G:H,2,0),"")</f>
      </c>
      <c r="I94" s="1" t="s">
        <v>120</v>
      </c>
      <c r="J94" s="36" t="str">
        <f>IFERROR(VLOOKUP('A2 (Öhdəliklər)'!I94,List!C:D,2,0),"")</f>
      </c>
      <c r="K94" s="1" t="s">
        <v>175</v>
      </c>
      <c r="L94" s="36" t="str">
        <f>IFERROR(VLOOKUP('A2 (Öhdəliklər)'!K94,List!E:F,2,0),"")</f>
      </c>
      <c r="M94" s="1" t="s">
        <v>122</v>
      </c>
      <c r="N94" s="36" t="str">
        <f>IFERROR(VLOOKUP('A2 (Öhdəliklər)'!M94,List!M:N,2,0),"")</f>
      </c>
      <c r="O94" s="1"/>
      <c r="P94" s="36" t="str">
        <f>IFERROR(VLOOKUP('A2 (Öhdəliklər)'!O94,List!S:T,2,0),"")</f>
      </c>
      <c r="Q94" s="1"/>
      <c r="R94" s="36" t="str">
        <f>IFERROR(VLOOKUP('A2 (Öhdəliklər)'!Q94,List!K:L,2,0),"")</f>
      </c>
      <c r="S94" s="16" t="s">
        <v>123</v>
      </c>
      <c r="T94" s="16" t="s">
        <v>123</v>
      </c>
      <c r="U94" s="17" t="s">
        <v>235</v>
      </c>
      <c r="V94" s="17"/>
      <c r="W94" s="20"/>
      <c r="X94" s="18" t="s">
        <v>125</v>
      </c>
      <c r="Y94" s="1" t="s">
        <v>126</v>
      </c>
      <c r="Z94" s="36" t="str">
        <f>IFERROR(VLOOKUP('A2 (Öhdəliklər)'!Y94,List!O:P,2,0),"")</f>
      </c>
      <c r="AA94" s="19">
        <v>0</v>
      </c>
      <c r="AB94" s="19">
        <v>0</v>
      </c>
      <c r="AC94" s="37">
        <f t="shared" si="17"/>
        <v>0</v>
      </c>
      <c r="AD94" s="19" t="s">
        <v>301</v>
      </c>
      <c r="AE94" s="19">
        <v>0</v>
      </c>
      <c r="AF94" s="19">
        <v>0</v>
      </c>
      <c r="AG94" s="19">
        <v>0</v>
      </c>
      <c r="AH94" s="19">
        <v>0</v>
      </c>
      <c r="AI94" s="19" t="s">
        <v>128</v>
      </c>
      <c r="AJ94" s="19">
        <v>0</v>
      </c>
      <c r="AK94" s="19">
        <v>0</v>
      </c>
      <c r="AL94" s="19">
        <v>0</v>
      </c>
      <c r="AM94" s="19"/>
      <c r="AN94" s="19" t="s">
        <v>128</v>
      </c>
      <c r="AO94" s="19">
        <v>0</v>
      </c>
      <c r="AP94" s="19">
        <v>0</v>
      </c>
      <c r="AQ94" s="19">
        <v>0</v>
      </c>
      <c r="AR94" s="19">
        <v>0</v>
      </c>
      <c r="AS94" s="19">
        <v>0</v>
      </c>
      <c r="AT94" s="19">
        <v>0</v>
      </c>
      <c r="AU94" s="19">
        <v>0</v>
      </c>
      <c r="AV94" s="19">
        <v>0</v>
      </c>
      <c r="AW94" s="19">
        <v>0</v>
      </c>
      <c r="AX94" s="19">
        <v>0</v>
      </c>
      <c r="AY94" s="21" t="s">
        <v>129</v>
      </c>
      <c r="AZ94" s="36" t="str">
        <f>IFERROR(VLOOKUP('A2 (Öhdəliklər)'!AY94,List!Q:R,2,0),"")</f>
      </c>
      <c r="BA94" s="38">
        <f t="shared" si="18"/>
        <v>0</v>
      </c>
      <c r="BB94" s="38">
        <f t="shared" si="19"/>
        <v>0</v>
      </c>
      <c r="BC94" s="39">
        <f t="shared" si="20"/>
        <v>1</v>
      </c>
      <c r="BD94" s="39">
        <f t="shared" si="21"/>
        <v>0</v>
      </c>
      <c r="BE94" s="39">
        <f t="shared" si="22"/>
        <v>0</v>
      </c>
      <c r="BF94" s="39">
        <f t="shared" si="23"/>
        <v>0</v>
      </c>
      <c r="BG94" s="19">
        <v>0</v>
      </c>
      <c r="BH94" s="19">
        <v>0</v>
      </c>
      <c r="BI94" s="19">
        <v>0</v>
      </c>
      <c r="BJ94" s="19">
        <v>1</v>
      </c>
      <c r="BK94" s="19">
        <v>0</v>
      </c>
      <c r="BL94" s="19">
        <v>0</v>
      </c>
      <c r="BM94" s="19">
        <v>0</v>
      </c>
      <c r="BN94" s="19">
        <v>0</v>
      </c>
      <c r="BO94" s="19">
        <v>0</v>
      </c>
      <c r="BP94" s="19">
        <v>0</v>
      </c>
      <c r="BQ94" s="19">
        <v>0</v>
      </c>
      <c r="BR94" s="19">
        <v>0</v>
      </c>
      <c r="BS94" s="19">
        <v>0</v>
      </c>
      <c r="BT94" s="19">
        <v>0</v>
      </c>
      <c r="BU94" s="19">
        <v>0</v>
      </c>
      <c r="BV94" s="19">
        <v>0</v>
      </c>
      <c r="BW94" s="19">
        <v>0</v>
      </c>
      <c r="BX94" s="19">
        <v>0</v>
      </c>
      <c r="BY94" s="19">
        <v>0</v>
      </c>
      <c r="BZ94" s="34">
        <v>0</v>
      </c>
      <c r="CA94" s="18">
        <v>0</v>
      </c>
      <c r="CB94" s="20"/>
      <c r="CC94" s="36">
        <v>0</v>
      </c>
      <c r="CD94" s="34"/>
    </row>
    <row r="95" ht="19.5" customHeight="1" s="112" customFormat="1">
      <c r="A95" s="111">
        <v>81</v>
      </c>
      <c r="B95" s="35" t="str">
        <f t="shared" si="16"/>
      </c>
      <c r="C95" s="32">
        <v>18661</v>
      </c>
      <c r="D95" s="15" t="s">
        <v>265</v>
      </c>
      <c r="E95" s="1" t="s">
        <v>118</v>
      </c>
      <c r="F95" s="36" t="str">
        <f>IFERROR(VLOOKUP('A2 (Öhdəliklər)'!E95,List!A:B,2,0),"")</f>
      </c>
      <c r="G95" s="1" t="s">
        <v>119</v>
      </c>
      <c r="H95" s="36" t="str">
        <f>IFERROR(VLOOKUP('A2 (Öhdəliklər)'!G95,List!G:H,2,0),"")</f>
      </c>
      <c r="I95" s="1" t="s">
        <v>120</v>
      </c>
      <c r="J95" s="36" t="str">
        <f>IFERROR(VLOOKUP('A2 (Öhdəliklər)'!I95,List!C:D,2,0),"")</f>
      </c>
      <c r="K95" s="1" t="s">
        <v>175</v>
      </c>
      <c r="L95" s="36" t="str">
        <f>IFERROR(VLOOKUP('A2 (Öhdəliklər)'!K95,List!E:F,2,0),"")</f>
      </c>
      <c r="M95" s="1" t="s">
        <v>122</v>
      </c>
      <c r="N95" s="36" t="str">
        <f>IFERROR(VLOOKUP('A2 (Öhdəliklər)'!M95,List!M:N,2,0),"")</f>
      </c>
      <c r="O95" s="1"/>
      <c r="P95" s="36" t="str">
        <f>IFERROR(VLOOKUP('A2 (Öhdəliklər)'!O95,List!S:T,2,0),"")</f>
      </c>
      <c r="Q95" s="1"/>
      <c r="R95" s="36" t="str">
        <f>IFERROR(VLOOKUP('A2 (Öhdəliklər)'!Q95,List!K:L,2,0),"")</f>
      </c>
      <c r="S95" s="16" t="s">
        <v>123</v>
      </c>
      <c r="T95" s="16" t="s">
        <v>123</v>
      </c>
      <c r="U95" s="17" t="s">
        <v>302</v>
      </c>
      <c r="V95" s="17"/>
      <c r="W95" s="20"/>
      <c r="X95" s="18" t="s">
        <v>125</v>
      </c>
      <c r="Y95" s="1" t="s">
        <v>126</v>
      </c>
      <c r="Z95" s="36" t="str">
        <f>IFERROR(VLOOKUP('A2 (Öhdəliklər)'!Y95,List!O:P,2,0),"")</f>
      </c>
      <c r="AA95" s="19">
        <v>0</v>
      </c>
      <c r="AB95" s="19">
        <v>0</v>
      </c>
      <c r="AC95" s="37">
        <f t="shared" si="17"/>
        <v>0</v>
      </c>
      <c r="AD95" s="19" t="s">
        <v>298</v>
      </c>
      <c r="AE95" s="19">
        <v>0</v>
      </c>
      <c r="AF95" s="19">
        <v>0</v>
      </c>
      <c r="AG95" s="19">
        <v>0</v>
      </c>
      <c r="AH95" s="19">
        <v>0</v>
      </c>
      <c r="AI95" s="19" t="s">
        <v>128</v>
      </c>
      <c r="AJ95" s="19">
        <v>0</v>
      </c>
      <c r="AK95" s="19">
        <v>0</v>
      </c>
      <c r="AL95" s="19">
        <v>0</v>
      </c>
      <c r="AM95" s="19"/>
      <c r="AN95" s="19" t="s">
        <v>128</v>
      </c>
      <c r="AO95" s="19">
        <v>0</v>
      </c>
      <c r="AP95" s="19">
        <v>0</v>
      </c>
      <c r="AQ95" s="19">
        <v>0</v>
      </c>
      <c r="AR95" s="19">
        <v>0</v>
      </c>
      <c r="AS95" s="19">
        <v>0</v>
      </c>
      <c r="AT95" s="19">
        <v>0</v>
      </c>
      <c r="AU95" s="19">
        <v>0</v>
      </c>
      <c r="AV95" s="19">
        <v>0</v>
      </c>
      <c r="AW95" s="19">
        <v>0</v>
      </c>
      <c r="AX95" s="19">
        <v>0</v>
      </c>
      <c r="AY95" s="21" t="s">
        <v>129</v>
      </c>
      <c r="AZ95" s="36" t="str">
        <f>IFERROR(VLOOKUP('A2 (Öhdəliklər)'!AY95,List!Q:R,2,0),"")</f>
      </c>
      <c r="BA95" s="38">
        <f t="shared" si="18"/>
        <v>0</v>
      </c>
      <c r="BB95" s="38">
        <f t="shared" si="19"/>
        <v>0</v>
      </c>
      <c r="BC95" s="39">
        <f t="shared" si="20"/>
        <v>0.04</v>
      </c>
      <c r="BD95" s="39">
        <f t="shared" si="21"/>
        <v>0</v>
      </c>
      <c r="BE95" s="39">
        <f t="shared" si="22"/>
        <v>0</v>
      </c>
      <c r="BF95" s="39">
        <f t="shared" si="23"/>
        <v>0</v>
      </c>
      <c r="BG95" s="19">
        <v>0</v>
      </c>
      <c r="BH95" s="19">
        <v>0</v>
      </c>
      <c r="BI95" s="19">
        <v>0</v>
      </c>
      <c r="BJ95" s="19">
        <v>0.04</v>
      </c>
      <c r="BK95" s="19">
        <v>0</v>
      </c>
      <c r="BL95" s="19">
        <v>0</v>
      </c>
      <c r="BM95" s="19">
        <v>0</v>
      </c>
      <c r="BN95" s="19">
        <v>0</v>
      </c>
      <c r="BO95" s="19">
        <v>0</v>
      </c>
      <c r="BP95" s="19">
        <v>0</v>
      </c>
      <c r="BQ95" s="19">
        <v>0</v>
      </c>
      <c r="BR95" s="19">
        <v>0</v>
      </c>
      <c r="BS95" s="19">
        <v>0</v>
      </c>
      <c r="BT95" s="19">
        <v>0</v>
      </c>
      <c r="BU95" s="19">
        <v>0</v>
      </c>
      <c r="BV95" s="19">
        <v>0</v>
      </c>
      <c r="BW95" s="19">
        <v>0</v>
      </c>
      <c r="BX95" s="19">
        <v>0</v>
      </c>
      <c r="BY95" s="19">
        <v>0</v>
      </c>
      <c r="BZ95" s="34">
        <v>0</v>
      </c>
      <c r="CA95" s="18">
        <v>0</v>
      </c>
      <c r="CB95" s="20"/>
      <c r="CC95" s="36">
        <v>0</v>
      </c>
      <c r="CD95" s="34"/>
    </row>
    <row r="96" ht="19.5" customHeight="1" s="112" customFormat="1">
      <c r="A96" s="111">
        <v>82</v>
      </c>
      <c r="B96" s="35" t="str">
        <f t="shared" si="16"/>
      </c>
      <c r="C96" s="32">
        <v>18686</v>
      </c>
      <c r="D96" s="15" t="s">
        <v>265</v>
      </c>
      <c r="E96" s="1" t="s">
        <v>118</v>
      </c>
      <c r="F96" s="36" t="str">
        <f>IFERROR(VLOOKUP('A2 (Öhdəliklər)'!E96,List!A:B,2,0),"")</f>
      </c>
      <c r="G96" s="1" t="s">
        <v>119</v>
      </c>
      <c r="H96" s="36" t="str">
        <f>IFERROR(VLOOKUP('A2 (Öhdəliklər)'!G96,List!G:H,2,0),"")</f>
      </c>
      <c r="I96" s="1" t="s">
        <v>120</v>
      </c>
      <c r="J96" s="36" t="str">
        <f>IFERROR(VLOOKUP('A2 (Öhdəliklər)'!I96,List!C:D,2,0),"")</f>
      </c>
      <c r="K96" s="1" t="s">
        <v>175</v>
      </c>
      <c r="L96" s="36" t="str">
        <f>IFERROR(VLOOKUP('A2 (Öhdəliklər)'!K96,List!E:F,2,0),"")</f>
      </c>
      <c r="M96" s="1" t="s">
        <v>122</v>
      </c>
      <c r="N96" s="36" t="str">
        <f>IFERROR(VLOOKUP('A2 (Öhdəliklər)'!M96,List!M:N,2,0),"")</f>
      </c>
      <c r="O96" s="1"/>
      <c r="P96" s="36" t="str">
        <f>IFERROR(VLOOKUP('A2 (Öhdəliklər)'!O96,List!S:T,2,0),"")</f>
      </c>
      <c r="Q96" s="1"/>
      <c r="R96" s="36" t="str">
        <f>IFERROR(VLOOKUP('A2 (Öhdəliklər)'!Q96,List!K:L,2,0),"")</f>
      </c>
      <c r="S96" s="16" t="s">
        <v>123</v>
      </c>
      <c r="T96" s="16" t="s">
        <v>123</v>
      </c>
      <c r="U96" s="17" t="s">
        <v>303</v>
      </c>
      <c r="V96" s="17"/>
      <c r="W96" s="20"/>
      <c r="X96" s="18" t="s">
        <v>125</v>
      </c>
      <c r="Y96" s="1" t="s">
        <v>126</v>
      </c>
      <c r="Z96" s="36" t="str">
        <f>IFERROR(VLOOKUP('A2 (Öhdəliklər)'!Y96,List!O:P,2,0),"")</f>
      </c>
      <c r="AA96" s="19">
        <v>0</v>
      </c>
      <c r="AB96" s="19">
        <v>0</v>
      </c>
      <c r="AC96" s="37">
        <f t="shared" si="17"/>
        <v>0</v>
      </c>
      <c r="AD96" s="19" t="s">
        <v>304</v>
      </c>
      <c r="AE96" s="19">
        <v>0</v>
      </c>
      <c r="AF96" s="19">
        <v>0</v>
      </c>
      <c r="AG96" s="19">
        <v>0</v>
      </c>
      <c r="AH96" s="19">
        <v>0</v>
      </c>
      <c r="AI96" s="19" t="s">
        <v>128</v>
      </c>
      <c r="AJ96" s="19">
        <v>0</v>
      </c>
      <c r="AK96" s="19">
        <v>0</v>
      </c>
      <c r="AL96" s="19">
        <v>0</v>
      </c>
      <c r="AM96" s="19"/>
      <c r="AN96" s="19" t="s">
        <v>128</v>
      </c>
      <c r="AO96" s="19">
        <v>0</v>
      </c>
      <c r="AP96" s="19">
        <v>0</v>
      </c>
      <c r="AQ96" s="19">
        <v>0</v>
      </c>
      <c r="AR96" s="19">
        <v>0</v>
      </c>
      <c r="AS96" s="19">
        <v>0</v>
      </c>
      <c r="AT96" s="19">
        <v>0</v>
      </c>
      <c r="AU96" s="19">
        <v>0</v>
      </c>
      <c r="AV96" s="19">
        <v>0</v>
      </c>
      <c r="AW96" s="19">
        <v>0</v>
      </c>
      <c r="AX96" s="19">
        <v>0</v>
      </c>
      <c r="AY96" s="21" t="s">
        <v>129</v>
      </c>
      <c r="AZ96" s="36" t="str">
        <f>IFERROR(VLOOKUP('A2 (Öhdəliklər)'!AY96,List!Q:R,2,0),"")</f>
      </c>
      <c r="BA96" s="38">
        <f t="shared" si="18"/>
        <v>0</v>
      </c>
      <c r="BB96" s="38">
        <f t="shared" si="19"/>
        <v>0</v>
      </c>
      <c r="BC96" s="39">
        <f t="shared" si="20"/>
        <v>0.0206</v>
      </c>
      <c r="BD96" s="39">
        <f t="shared" si="21"/>
        <v>0</v>
      </c>
      <c r="BE96" s="39">
        <f t="shared" si="22"/>
        <v>0</v>
      </c>
      <c r="BF96" s="39">
        <f t="shared" si="23"/>
        <v>0</v>
      </c>
      <c r="BG96" s="19">
        <v>0</v>
      </c>
      <c r="BH96" s="19">
        <v>0</v>
      </c>
      <c r="BI96" s="19">
        <v>0</v>
      </c>
      <c r="BJ96" s="19">
        <v>0.0206</v>
      </c>
      <c r="BK96" s="19">
        <v>0</v>
      </c>
      <c r="BL96" s="19">
        <v>0</v>
      </c>
      <c r="BM96" s="19">
        <v>0</v>
      </c>
      <c r="BN96" s="19">
        <v>0</v>
      </c>
      <c r="BO96" s="19">
        <v>0</v>
      </c>
      <c r="BP96" s="19">
        <v>0</v>
      </c>
      <c r="BQ96" s="19">
        <v>0</v>
      </c>
      <c r="BR96" s="19">
        <v>0</v>
      </c>
      <c r="BS96" s="19">
        <v>0</v>
      </c>
      <c r="BT96" s="19">
        <v>0</v>
      </c>
      <c r="BU96" s="19">
        <v>0</v>
      </c>
      <c r="BV96" s="19">
        <v>0</v>
      </c>
      <c r="BW96" s="19">
        <v>0</v>
      </c>
      <c r="BX96" s="19">
        <v>0</v>
      </c>
      <c r="BY96" s="19">
        <v>0</v>
      </c>
      <c r="BZ96" s="34">
        <v>0</v>
      </c>
      <c r="CA96" s="18">
        <v>0</v>
      </c>
      <c r="CB96" s="20"/>
      <c r="CC96" s="36">
        <v>0</v>
      </c>
      <c r="CD96" s="34"/>
    </row>
    <row r="97" ht="19.5" customHeight="1" s="112" customFormat="1">
      <c r="A97" s="111">
        <v>83</v>
      </c>
      <c r="B97" s="35" t="str">
        <f t="shared" si="16"/>
      </c>
      <c r="C97" s="32">
        <v>18769</v>
      </c>
      <c r="D97" s="15" t="s">
        <v>265</v>
      </c>
      <c r="E97" s="1" t="s">
        <v>118</v>
      </c>
      <c r="F97" s="36" t="str">
        <f>IFERROR(VLOOKUP('A2 (Öhdəliklər)'!E97,List!A:B,2,0),"")</f>
      </c>
      <c r="G97" s="1" t="s">
        <v>119</v>
      </c>
      <c r="H97" s="36" t="str">
        <f>IFERROR(VLOOKUP('A2 (Öhdəliklər)'!G97,List!G:H,2,0),"")</f>
      </c>
      <c r="I97" s="1" t="s">
        <v>120</v>
      </c>
      <c r="J97" s="36" t="str">
        <f>IFERROR(VLOOKUP('A2 (Öhdəliklər)'!I97,List!C:D,2,0),"")</f>
      </c>
      <c r="K97" s="1" t="s">
        <v>175</v>
      </c>
      <c r="L97" s="36" t="str">
        <f>IFERROR(VLOOKUP('A2 (Öhdəliklər)'!K97,List!E:F,2,0),"")</f>
      </c>
      <c r="M97" s="1" t="s">
        <v>122</v>
      </c>
      <c r="N97" s="36" t="str">
        <f>IFERROR(VLOOKUP('A2 (Öhdəliklər)'!M97,List!M:N,2,0),"")</f>
      </c>
      <c r="O97" s="1"/>
      <c r="P97" s="36" t="str">
        <f>IFERROR(VLOOKUP('A2 (Öhdəliklər)'!O97,List!S:T,2,0),"")</f>
      </c>
      <c r="Q97" s="1"/>
      <c r="R97" s="36" t="str">
        <f>IFERROR(VLOOKUP('A2 (Öhdəliklər)'!Q97,List!K:L,2,0),"")</f>
      </c>
      <c r="S97" s="16" t="s">
        <v>123</v>
      </c>
      <c r="T97" s="16" t="s">
        <v>123</v>
      </c>
      <c r="U97" s="17" t="s">
        <v>305</v>
      </c>
      <c r="V97" s="17"/>
      <c r="W97" s="20"/>
      <c r="X97" s="18" t="s">
        <v>125</v>
      </c>
      <c r="Y97" s="1" t="s">
        <v>126</v>
      </c>
      <c r="Z97" s="36" t="str">
        <f>IFERROR(VLOOKUP('A2 (Öhdəliklər)'!Y97,List!O:P,2,0),"")</f>
      </c>
      <c r="AA97" s="19">
        <v>0</v>
      </c>
      <c r="AB97" s="19">
        <v>0</v>
      </c>
      <c r="AC97" s="37">
        <f t="shared" si="17"/>
        <v>0</v>
      </c>
      <c r="AD97" s="19" t="s">
        <v>306</v>
      </c>
      <c r="AE97" s="19">
        <v>0</v>
      </c>
      <c r="AF97" s="19">
        <v>0</v>
      </c>
      <c r="AG97" s="19">
        <v>0</v>
      </c>
      <c r="AH97" s="19">
        <v>0</v>
      </c>
      <c r="AI97" s="19" t="s">
        <v>128</v>
      </c>
      <c r="AJ97" s="19">
        <v>0</v>
      </c>
      <c r="AK97" s="19">
        <v>0</v>
      </c>
      <c r="AL97" s="19">
        <v>0</v>
      </c>
      <c r="AM97" s="19"/>
      <c r="AN97" s="19" t="s">
        <v>128</v>
      </c>
      <c r="AO97" s="19">
        <v>0</v>
      </c>
      <c r="AP97" s="19">
        <v>0</v>
      </c>
      <c r="AQ97" s="19">
        <v>0</v>
      </c>
      <c r="AR97" s="19">
        <v>0</v>
      </c>
      <c r="AS97" s="19">
        <v>0</v>
      </c>
      <c r="AT97" s="19">
        <v>0</v>
      </c>
      <c r="AU97" s="19">
        <v>0</v>
      </c>
      <c r="AV97" s="19">
        <v>0</v>
      </c>
      <c r="AW97" s="19">
        <v>0</v>
      </c>
      <c r="AX97" s="19">
        <v>0</v>
      </c>
      <c r="AY97" s="21" t="s">
        <v>129</v>
      </c>
      <c r="AZ97" s="36" t="str">
        <f>IFERROR(VLOOKUP('A2 (Öhdəliklər)'!AY97,List!Q:R,2,0),"")</f>
      </c>
      <c r="BA97" s="38">
        <f t="shared" si="18"/>
        <v>0</v>
      </c>
      <c r="BB97" s="38">
        <f t="shared" si="19"/>
        <v>0</v>
      </c>
      <c r="BC97" s="39">
        <f t="shared" si="20"/>
        <v>0.283</v>
      </c>
      <c r="BD97" s="39">
        <f t="shared" si="21"/>
        <v>0</v>
      </c>
      <c r="BE97" s="39">
        <f t="shared" si="22"/>
        <v>0</v>
      </c>
      <c r="BF97" s="39">
        <f t="shared" si="23"/>
        <v>0</v>
      </c>
      <c r="BG97" s="19">
        <v>0</v>
      </c>
      <c r="BH97" s="19">
        <v>0</v>
      </c>
      <c r="BI97" s="19">
        <v>0</v>
      </c>
      <c r="BJ97" s="19">
        <v>0.283</v>
      </c>
      <c r="BK97" s="19">
        <v>0</v>
      </c>
      <c r="BL97" s="19">
        <v>0</v>
      </c>
      <c r="BM97" s="19">
        <v>0</v>
      </c>
      <c r="BN97" s="19">
        <v>0</v>
      </c>
      <c r="BO97" s="19">
        <v>0</v>
      </c>
      <c r="BP97" s="19">
        <v>0</v>
      </c>
      <c r="BQ97" s="19">
        <v>0</v>
      </c>
      <c r="BR97" s="19">
        <v>0</v>
      </c>
      <c r="BS97" s="19">
        <v>0</v>
      </c>
      <c r="BT97" s="19">
        <v>0</v>
      </c>
      <c r="BU97" s="19">
        <v>0</v>
      </c>
      <c r="BV97" s="19">
        <v>0</v>
      </c>
      <c r="BW97" s="19">
        <v>0</v>
      </c>
      <c r="BX97" s="19">
        <v>0</v>
      </c>
      <c r="BY97" s="19">
        <v>0</v>
      </c>
      <c r="BZ97" s="34">
        <v>0</v>
      </c>
      <c r="CA97" s="18">
        <v>0</v>
      </c>
      <c r="CB97" s="20"/>
      <c r="CC97" s="36">
        <v>0</v>
      </c>
      <c r="CD97" s="34"/>
    </row>
    <row r="98" ht="19.5" customHeight="1" s="112" customFormat="1">
      <c r="A98" s="111">
        <v>84</v>
      </c>
      <c r="B98" s="35" t="str">
        <f t="shared" si="16"/>
      </c>
      <c r="C98" s="32">
        <v>8504</v>
      </c>
      <c r="D98" s="15" t="s">
        <v>265</v>
      </c>
      <c r="E98" s="1" t="s">
        <v>118</v>
      </c>
      <c r="F98" s="36" t="str">
        <f>IFERROR(VLOOKUP('A2 (Öhdəliklər)'!E98,List!A:B,2,0),"")</f>
      </c>
      <c r="G98" s="1" t="s">
        <v>119</v>
      </c>
      <c r="H98" s="36" t="str">
        <f>IFERROR(VLOOKUP('A2 (Öhdəliklər)'!G98,List!G:H,2,0),"")</f>
      </c>
      <c r="I98" s="1" t="s">
        <v>120</v>
      </c>
      <c r="J98" s="36" t="str">
        <f>IFERROR(VLOOKUP('A2 (Öhdəliklər)'!I98,List!C:D,2,0),"")</f>
      </c>
      <c r="K98" s="1" t="s">
        <v>175</v>
      </c>
      <c r="L98" s="36" t="str">
        <f>IFERROR(VLOOKUP('A2 (Öhdəliklər)'!K98,List!E:F,2,0),"")</f>
      </c>
      <c r="M98" s="1" t="s">
        <v>122</v>
      </c>
      <c r="N98" s="36" t="str">
        <f>IFERROR(VLOOKUP('A2 (Öhdəliklər)'!M98,List!M:N,2,0),"")</f>
      </c>
      <c r="O98" s="1"/>
      <c r="P98" s="36" t="str">
        <f>IFERROR(VLOOKUP('A2 (Öhdəliklər)'!O98,List!S:T,2,0),"")</f>
      </c>
      <c r="Q98" s="1"/>
      <c r="R98" s="36" t="str">
        <f>IFERROR(VLOOKUP('A2 (Öhdəliklər)'!Q98,List!K:L,2,0),"")</f>
      </c>
      <c r="S98" s="16" t="s">
        <v>123</v>
      </c>
      <c r="T98" s="16" t="s">
        <v>123</v>
      </c>
      <c r="U98" s="17" t="s">
        <v>275</v>
      </c>
      <c r="V98" s="17"/>
      <c r="W98" s="20"/>
      <c r="X98" s="18" t="s">
        <v>125</v>
      </c>
      <c r="Y98" s="1" t="s">
        <v>126</v>
      </c>
      <c r="Z98" s="36" t="str">
        <f>IFERROR(VLOOKUP('A2 (Öhdəliklər)'!Y98,List!O:P,2,0),"")</f>
      </c>
      <c r="AA98" s="19">
        <v>0</v>
      </c>
      <c r="AB98" s="19">
        <v>0</v>
      </c>
      <c r="AC98" s="37">
        <f t="shared" si="17"/>
        <v>0</v>
      </c>
      <c r="AD98" s="19" t="s">
        <v>307</v>
      </c>
      <c r="AE98" s="19">
        <v>0</v>
      </c>
      <c r="AF98" s="19">
        <v>0</v>
      </c>
      <c r="AG98" s="19">
        <v>0</v>
      </c>
      <c r="AH98" s="19">
        <v>0</v>
      </c>
      <c r="AI98" s="19" t="s">
        <v>128</v>
      </c>
      <c r="AJ98" s="19">
        <v>0</v>
      </c>
      <c r="AK98" s="19">
        <v>0</v>
      </c>
      <c r="AL98" s="19">
        <v>0</v>
      </c>
      <c r="AM98" s="19"/>
      <c r="AN98" s="19" t="s">
        <v>128</v>
      </c>
      <c r="AO98" s="19">
        <v>0</v>
      </c>
      <c r="AP98" s="19">
        <v>0</v>
      </c>
      <c r="AQ98" s="19">
        <v>0</v>
      </c>
      <c r="AR98" s="19">
        <v>0</v>
      </c>
      <c r="AS98" s="19">
        <v>0</v>
      </c>
      <c r="AT98" s="19">
        <v>0</v>
      </c>
      <c r="AU98" s="19">
        <v>0</v>
      </c>
      <c r="AV98" s="19">
        <v>0</v>
      </c>
      <c r="AW98" s="19">
        <v>0</v>
      </c>
      <c r="AX98" s="19">
        <v>0</v>
      </c>
      <c r="AY98" s="21" t="s">
        <v>129</v>
      </c>
      <c r="AZ98" s="36" t="str">
        <f>IFERROR(VLOOKUP('A2 (Öhdəliklər)'!AY98,List!Q:R,2,0),"")</f>
      </c>
      <c r="BA98" s="38">
        <f t="shared" si="18"/>
        <v>0</v>
      </c>
      <c r="BB98" s="38">
        <f t="shared" si="19"/>
        <v>0</v>
      </c>
      <c r="BC98" s="39">
        <f t="shared" si="20"/>
        <v>1.6</v>
      </c>
      <c r="BD98" s="39">
        <f t="shared" si="21"/>
        <v>0</v>
      </c>
      <c r="BE98" s="39">
        <f t="shared" si="22"/>
        <v>0</v>
      </c>
      <c r="BF98" s="39">
        <f t="shared" si="23"/>
        <v>0</v>
      </c>
      <c r="BG98" s="19">
        <v>0</v>
      </c>
      <c r="BH98" s="19">
        <v>0</v>
      </c>
      <c r="BI98" s="19">
        <v>0</v>
      </c>
      <c r="BJ98" s="19">
        <v>1.6</v>
      </c>
      <c r="BK98" s="19">
        <v>0</v>
      </c>
      <c r="BL98" s="19">
        <v>0</v>
      </c>
      <c r="BM98" s="19">
        <v>0</v>
      </c>
      <c r="BN98" s="19">
        <v>0</v>
      </c>
      <c r="BO98" s="19">
        <v>0</v>
      </c>
      <c r="BP98" s="19">
        <v>0</v>
      </c>
      <c r="BQ98" s="19">
        <v>0</v>
      </c>
      <c r="BR98" s="19">
        <v>0</v>
      </c>
      <c r="BS98" s="19">
        <v>0</v>
      </c>
      <c r="BT98" s="19">
        <v>0</v>
      </c>
      <c r="BU98" s="19">
        <v>0</v>
      </c>
      <c r="BV98" s="19">
        <v>0</v>
      </c>
      <c r="BW98" s="19">
        <v>0</v>
      </c>
      <c r="BX98" s="19">
        <v>0</v>
      </c>
      <c r="BY98" s="19">
        <v>0</v>
      </c>
      <c r="BZ98" s="34">
        <v>0</v>
      </c>
      <c r="CA98" s="18">
        <v>0</v>
      </c>
      <c r="CB98" s="20"/>
      <c r="CC98" s="36">
        <v>0</v>
      </c>
      <c r="CD98" s="34"/>
    </row>
    <row r="99" ht="19.5" customHeight="1" s="112" customFormat="1">
      <c r="A99" s="111">
        <v>85</v>
      </c>
      <c r="B99" s="35" t="str">
        <f t="shared" si="16"/>
      </c>
      <c r="C99" s="32">
        <v>14438</v>
      </c>
      <c r="D99" s="15" t="s">
        <v>265</v>
      </c>
      <c r="E99" s="1" t="s">
        <v>118</v>
      </c>
      <c r="F99" s="36" t="str">
        <f>IFERROR(VLOOKUP('A2 (Öhdəliklər)'!E99,List!A:B,2,0),"")</f>
      </c>
      <c r="G99" s="1" t="s">
        <v>119</v>
      </c>
      <c r="H99" s="36" t="str">
        <f>IFERROR(VLOOKUP('A2 (Öhdəliklər)'!G99,List!G:H,2,0),"")</f>
      </c>
      <c r="I99" s="1" t="s">
        <v>120</v>
      </c>
      <c r="J99" s="36" t="str">
        <f>IFERROR(VLOOKUP('A2 (Öhdəliklər)'!I99,List!C:D,2,0),"")</f>
      </c>
      <c r="K99" s="1" t="s">
        <v>175</v>
      </c>
      <c r="L99" s="36" t="str">
        <f>IFERROR(VLOOKUP('A2 (Öhdəliklər)'!K99,List!E:F,2,0),"")</f>
      </c>
      <c r="M99" s="1" t="s">
        <v>122</v>
      </c>
      <c r="N99" s="36" t="str">
        <f>IFERROR(VLOOKUP('A2 (Öhdəliklər)'!M99,List!M:N,2,0),"")</f>
      </c>
      <c r="O99" s="1"/>
      <c r="P99" s="36" t="str">
        <f>IFERROR(VLOOKUP('A2 (Öhdəliklər)'!O99,List!S:T,2,0),"")</f>
      </c>
      <c r="Q99" s="1"/>
      <c r="R99" s="36" t="str">
        <f>IFERROR(VLOOKUP('A2 (Öhdəliklər)'!Q99,List!K:L,2,0),"")</f>
      </c>
      <c r="S99" s="16" t="s">
        <v>123</v>
      </c>
      <c r="T99" s="16" t="s">
        <v>123</v>
      </c>
      <c r="U99" s="17" t="s">
        <v>308</v>
      </c>
      <c r="V99" s="17"/>
      <c r="W99" s="20"/>
      <c r="X99" s="18" t="s">
        <v>125</v>
      </c>
      <c r="Y99" s="1" t="s">
        <v>126</v>
      </c>
      <c r="Z99" s="36" t="str">
        <f>IFERROR(VLOOKUP('A2 (Öhdəliklər)'!Y99,List!O:P,2,0),"")</f>
      </c>
      <c r="AA99" s="19">
        <v>0</v>
      </c>
      <c r="AB99" s="19">
        <v>0</v>
      </c>
      <c r="AC99" s="37">
        <f t="shared" si="17"/>
        <v>0</v>
      </c>
      <c r="AD99" s="19" t="s">
        <v>252</v>
      </c>
      <c r="AE99" s="19">
        <v>0</v>
      </c>
      <c r="AF99" s="19">
        <v>0</v>
      </c>
      <c r="AG99" s="19">
        <v>0</v>
      </c>
      <c r="AH99" s="19">
        <v>0</v>
      </c>
      <c r="AI99" s="19" t="s">
        <v>128</v>
      </c>
      <c r="AJ99" s="19">
        <v>0</v>
      </c>
      <c r="AK99" s="19">
        <v>0</v>
      </c>
      <c r="AL99" s="19">
        <v>0</v>
      </c>
      <c r="AM99" s="19"/>
      <c r="AN99" s="19" t="s">
        <v>128</v>
      </c>
      <c r="AO99" s="19">
        <v>0</v>
      </c>
      <c r="AP99" s="19">
        <v>0</v>
      </c>
      <c r="AQ99" s="19">
        <v>0</v>
      </c>
      <c r="AR99" s="19">
        <v>0</v>
      </c>
      <c r="AS99" s="19">
        <v>0</v>
      </c>
      <c r="AT99" s="19">
        <v>0</v>
      </c>
      <c r="AU99" s="19">
        <v>0</v>
      </c>
      <c r="AV99" s="19">
        <v>0</v>
      </c>
      <c r="AW99" s="19">
        <v>0</v>
      </c>
      <c r="AX99" s="19">
        <v>0</v>
      </c>
      <c r="AY99" s="21" t="s">
        <v>129</v>
      </c>
      <c r="AZ99" s="36" t="str">
        <f>IFERROR(VLOOKUP('A2 (Öhdəliklər)'!AY99,List!Q:R,2,0),"")</f>
      </c>
      <c r="BA99" s="38">
        <f t="shared" si="18"/>
        <v>0</v>
      </c>
      <c r="BB99" s="38">
        <f t="shared" si="19"/>
        <v>0</v>
      </c>
      <c r="BC99" s="39">
        <f t="shared" si="20"/>
        <v>0.1</v>
      </c>
      <c r="BD99" s="39">
        <f t="shared" si="21"/>
        <v>0</v>
      </c>
      <c r="BE99" s="39">
        <f t="shared" si="22"/>
        <v>0</v>
      </c>
      <c r="BF99" s="39">
        <f t="shared" si="23"/>
        <v>0</v>
      </c>
      <c r="BG99" s="19">
        <v>0</v>
      </c>
      <c r="BH99" s="19">
        <v>0</v>
      </c>
      <c r="BI99" s="19">
        <v>0</v>
      </c>
      <c r="BJ99" s="19">
        <v>0.1</v>
      </c>
      <c r="BK99" s="19">
        <v>0</v>
      </c>
      <c r="BL99" s="19">
        <v>0</v>
      </c>
      <c r="BM99" s="19">
        <v>0</v>
      </c>
      <c r="BN99" s="19">
        <v>0</v>
      </c>
      <c r="BO99" s="19">
        <v>0</v>
      </c>
      <c r="BP99" s="19">
        <v>0</v>
      </c>
      <c r="BQ99" s="19">
        <v>0</v>
      </c>
      <c r="BR99" s="19">
        <v>0</v>
      </c>
      <c r="BS99" s="19">
        <v>0</v>
      </c>
      <c r="BT99" s="19">
        <v>0</v>
      </c>
      <c r="BU99" s="19">
        <v>0</v>
      </c>
      <c r="BV99" s="19">
        <v>0</v>
      </c>
      <c r="BW99" s="19">
        <v>0</v>
      </c>
      <c r="BX99" s="19">
        <v>0</v>
      </c>
      <c r="BY99" s="19">
        <v>0</v>
      </c>
      <c r="BZ99" s="34">
        <v>0</v>
      </c>
      <c r="CA99" s="18">
        <v>0</v>
      </c>
      <c r="CB99" s="20"/>
      <c r="CC99" s="36">
        <v>0</v>
      </c>
      <c r="CD99" s="34"/>
    </row>
    <row r="100" ht="19.5" customHeight="1" s="112" customFormat="1">
      <c r="A100" s="111">
        <v>86</v>
      </c>
      <c r="B100" s="35" t="str">
        <f t="shared" si="16"/>
      </c>
      <c r="C100" s="32">
        <v>15668</v>
      </c>
      <c r="D100" s="15" t="s">
        <v>265</v>
      </c>
      <c r="E100" s="1" t="s">
        <v>118</v>
      </c>
      <c r="F100" s="36" t="str">
        <f>IFERROR(VLOOKUP('A2 (Öhdəliklər)'!E100,List!A:B,2,0),"")</f>
      </c>
      <c r="G100" s="1" t="s">
        <v>119</v>
      </c>
      <c r="H100" s="36" t="str">
        <f>IFERROR(VLOOKUP('A2 (Öhdəliklər)'!G100,List!G:H,2,0),"")</f>
      </c>
      <c r="I100" s="1" t="s">
        <v>120</v>
      </c>
      <c r="J100" s="36" t="str">
        <f>IFERROR(VLOOKUP('A2 (Öhdəliklər)'!I100,List!C:D,2,0),"")</f>
      </c>
      <c r="K100" s="1" t="s">
        <v>175</v>
      </c>
      <c r="L100" s="36" t="str">
        <f>IFERROR(VLOOKUP('A2 (Öhdəliklər)'!K100,List!E:F,2,0),"")</f>
      </c>
      <c r="M100" s="1" t="s">
        <v>122</v>
      </c>
      <c r="N100" s="36" t="str">
        <f>IFERROR(VLOOKUP('A2 (Öhdəliklər)'!M100,List!M:N,2,0),"")</f>
      </c>
      <c r="O100" s="1"/>
      <c r="P100" s="36" t="str">
        <f>IFERROR(VLOOKUP('A2 (Öhdəliklər)'!O100,List!S:T,2,0),"")</f>
      </c>
      <c r="Q100" s="1"/>
      <c r="R100" s="36" t="str">
        <f>IFERROR(VLOOKUP('A2 (Öhdəliklər)'!Q100,List!K:L,2,0),"")</f>
      </c>
      <c r="S100" s="16" t="s">
        <v>123</v>
      </c>
      <c r="T100" s="16" t="s">
        <v>123</v>
      </c>
      <c r="U100" s="17" t="s">
        <v>309</v>
      </c>
      <c r="V100" s="17"/>
      <c r="W100" s="20"/>
      <c r="X100" s="18" t="s">
        <v>125</v>
      </c>
      <c r="Y100" s="1" t="s">
        <v>126</v>
      </c>
      <c r="Z100" s="36" t="str">
        <f>IFERROR(VLOOKUP('A2 (Öhdəliklər)'!Y100,List!O:P,2,0),"")</f>
      </c>
      <c r="AA100" s="19">
        <v>0</v>
      </c>
      <c r="AB100" s="19">
        <v>0</v>
      </c>
      <c r="AC100" s="37">
        <f t="shared" si="17"/>
        <v>0</v>
      </c>
      <c r="AD100" s="19" t="s">
        <v>310</v>
      </c>
      <c r="AE100" s="19">
        <v>0</v>
      </c>
      <c r="AF100" s="19">
        <v>0</v>
      </c>
      <c r="AG100" s="19">
        <v>0</v>
      </c>
      <c r="AH100" s="19">
        <v>0</v>
      </c>
      <c r="AI100" s="19" t="s">
        <v>128</v>
      </c>
      <c r="AJ100" s="19">
        <v>0</v>
      </c>
      <c r="AK100" s="19">
        <v>0</v>
      </c>
      <c r="AL100" s="19">
        <v>0</v>
      </c>
      <c r="AM100" s="19"/>
      <c r="AN100" s="19" t="s">
        <v>128</v>
      </c>
      <c r="AO100" s="19">
        <v>0</v>
      </c>
      <c r="AP100" s="19">
        <v>0</v>
      </c>
      <c r="AQ100" s="19">
        <v>0</v>
      </c>
      <c r="AR100" s="19">
        <v>0</v>
      </c>
      <c r="AS100" s="19">
        <v>0</v>
      </c>
      <c r="AT100" s="19">
        <v>0</v>
      </c>
      <c r="AU100" s="19">
        <v>0</v>
      </c>
      <c r="AV100" s="19">
        <v>0</v>
      </c>
      <c r="AW100" s="19">
        <v>0</v>
      </c>
      <c r="AX100" s="19">
        <v>0</v>
      </c>
      <c r="AY100" s="21" t="s">
        <v>129</v>
      </c>
      <c r="AZ100" s="36" t="str">
        <f>IFERROR(VLOOKUP('A2 (Öhdəliklər)'!AY100,List!Q:R,2,0),"")</f>
      </c>
      <c r="BA100" s="38">
        <f t="shared" si="18"/>
        <v>0</v>
      </c>
      <c r="BB100" s="38">
        <f t="shared" si="19"/>
        <v>0</v>
      </c>
      <c r="BC100" s="39">
        <f t="shared" si="20"/>
        <v>0.275</v>
      </c>
      <c r="BD100" s="39">
        <f t="shared" si="21"/>
        <v>0</v>
      </c>
      <c r="BE100" s="39">
        <f t="shared" si="22"/>
        <v>0</v>
      </c>
      <c r="BF100" s="39">
        <f t="shared" si="23"/>
        <v>0</v>
      </c>
      <c r="BG100" s="19">
        <v>0</v>
      </c>
      <c r="BH100" s="19">
        <v>0</v>
      </c>
      <c r="BI100" s="19">
        <v>0</v>
      </c>
      <c r="BJ100" s="19">
        <v>0.275</v>
      </c>
      <c r="BK100" s="19">
        <v>0</v>
      </c>
      <c r="BL100" s="19">
        <v>0</v>
      </c>
      <c r="BM100" s="19">
        <v>0</v>
      </c>
      <c r="BN100" s="19">
        <v>0</v>
      </c>
      <c r="BO100" s="19">
        <v>0</v>
      </c>
      <c r="BP100" s="19">
        <v>0</v>
      </c>
      <c r="BQ100" s="19">
        <v>0</v>
      </c>
      <c r="BR100" s="19">
        <v>0</v>
      </c>
      <c r="BS100" s="19">
        <v>0</v>
      </c>
      <c r="BT100" s="19">
        <v>0</v>
      </c>
      <c r="BU100" s="19">
        <v>0</v>
      </c>
      <c r="BV100" s="19">
        <v>0</v>
      </c>
      <c r="BW100" s="19">
        <v>0</v>
      </c>
      <c r="BX100" s="19">
        <v>0</v>
      </c>
      <c r="BY100" s="19">
        <v>0</v>
      </c>
      <c r="BZ100" s="34">
        <v>0</v>
      </c>
      <c r="CA100" s="18">
        <v>0</v>
      </c>
      <c r="CB100" s="20"/>
      <c r="CC100" s="36">
        <v>0</v>
      </c>
      <c r="CD100" s="34"/>
    </row>
    <row r="101" ht="19.5" customHeight="1" s="112" customFormat="1">
      <c r="A101" s="111">
        <v>87</v>
      </c>
      <c r="B101" s="35" t="str">
        <f t="shared" si="16"/>
      </c>
      <c r="C101" s="32">
        <v>2926</v>
      </c>
      <c r="D101" s="15" t="s">
        <v>265</v>
      </c>
      <c r="E101" s="1" t="s">
        <v>118</v>
      </c>
      <c r="F101" s="36" t="str">
        <f>IFERROR(VLOOKUP('A2 (Öhdəliklər)'!E101,List!A:B,2,0),"")</f>
      </c>
      <c r="G101" s="1" t="s">
        <v>119</v>
      </c>
      <c r="H101" s="36" t="str">
        <f>IFERROR(VLOOKUP('A2 (Öhdəliklər)'!G101,List!G:H,2,0),"")</f>
      </c>
      <c r="I101" s="1" t="s">
        <v>120</v>
      </c>
      <c r="J101" s="36" t="str">
        <f>IFERROR(VLOOKUP('A2 (Öhdəliklər)'!I101,List!C:D,2,0),"")</f>
      </c>
      <c r="K101" s="1" t="s">
        <v>175</v>
      </c>
      <c r="L101" s="36" t="str">
        <f>IFERROR(VLOOKUP('A2 (Öhdəliklər)'!K101,List!E:F,2,0),"")</f>
      </c>
      <c r="M101" s="1" t="s">
        <v>122</v>
      </c>
      <c r="N101" s="36" t="str">
        <f>IFERROR(VLOOKUP('A2 (Öhdəliklər)'!M101,List!M:N,2,0),"")</f>
      </c>
      <c r="O101" s="1"/>
      <c r="P101" s="36" t="str">
        <f>IFERROR(VLOOKUP('A2 (Öhdəliklər)'!O101,List!S:T,2,0),"")</f>
      </c>
      <c r="Q101" s="1"/>
      <c r="R101" s="36" t="str">
        <f>IFERROR(VLOOKUP('A2 (Öhdəliklər)'!Q101,List!K:L,2,0),"")</f>
      </c>
      <c r="S101" s="16" t="s">
        <v>123</v>
      </c>
      <c r="T101" s="16" t="s">
        <v>123</v>
      </c>
      <c r="U101" s="17" t="s">
        <v>267</v>
      </c>
      <c r="V101" s="17"/>
      <c r="W101" s="20"/>
      <c r="X101" s="18" t="s">
        <v>125</v>
      </c>
      <c r="Y101" s="1" t="s">
        <v>126</v>
      </c>
      <c r="Z101" s="36" t="str">
        <f>IFERROR(VLOOKUP('A2 (Öhdəliklər)'!Y101,List!O:P,2,0),"")</f>
      </c>
      <c r="AA101" s="19">
        <v>0</v>
      </c>
      <c r="AB101" s="19">
        <v>0</v>
      </c>
      <c r="AC101" s="37">
        <f t="shared" si="17"/>
        <v>0</v>
      </c>
      <c r="AD101" s="19" t="s">
        <v>183</v>
      </c>
      <c r="AE101" s="19">
        <v>0</v>
      </c>
      <c r="AF101" s="19">
        <v>0</v>
      </c>
      <c r="AG101" s="19">
        <v>0</v>
      </c>
      <c r="AH101" s="19">
        <v>0</v>
      </c>
      <c r="AI101" s="19" t="s">
        <v>128</v>
      </c>
      <c r="AJ101" s="19">
        <v>0</v>
      </c>
      <c r="AK101" s="19">
        <v>0</v>
      </c>
      <c r="AL101" s="19">
        <v>0</v>
      </c>
      <c r="AM101" s="19"/>
      <c r="AN101" s="19" t="s">
        <v>128</v>
      </c>
      <c r="AO101" s="19">
        <v>0</v>
      </c>
      <c r="AP101" s="19">
        <v>0</v>
      </c>
      <c r="AQ101" s="19">
        <v>0</v>
      </c>
      <c r="AR101" s="19">
        <v>0</v>
      </c>
      <c r="AS101" s="19">
        <v>0</v>
      </c>
      <c r="AT101" s="19">
        <v>0</v>
      </c>
      <c r="AU101" s="19">
        <v>0</v>
      </c>
      <c r="AV101" s="19">
        <v>0</v>
      </c>
      <c r="AW101" s="19">
        <v>0</v>
      </c>
      <c r="AX101" s="19">
        <v>0</v>
      </c>
      <c r="AY101" s="21" t="s">
        <v>129</v>
      </c>
      <c r="AZ101" s="36" t="str">
        <f>IFERROR(VLOOKUP('A2 (Öhdəliklər)'!AY101,List!Q:R,2,0),"")</f>
      </c>
      <c r="BA101" s="38">
        <f t="shared" si="18"/>
        <v>0</v>
      </c>
      <c r="BB101" s="38">
        <f t="shared" si="19"/>
        <v>0</v>
      </c>
      <c r="BC101" s="39">
        <f t="shared" si="20"/>
        <v>9.3</v>
      </c>
      <c r="BD101" s="39">
        <f t="shared" si="21"/>
        <v>0</v>
      </c>
      <c r="BE101" s="39">
        <f t="shared" si="22"/>
        <v>0</v>
      </c>
      <c r="BF101" s="39">
        <f t="shared" si="23"/>
        <v>0</v>
      </c>
      <c r="BG101" s="19">
        <v>0</v>
      </c>
      <c r="BH101" s="19">
        <v>0</v>
      </c>
      <c r="BI101" s="19">
        <v>0</v>
      </c>
      <c r="BJ101" s="19">
        <v>9.3</v>
      </c>
      <c r="BK101" s="19">
        <v>0</v>
      </c>
      <c r="BL101" s="19">
        <v>0</v>
      </c>
      <c r="BM101" s="19">
        <v>0</v>
      </c>
      <c r="BN101" s="19">
        <v>0</v>
      </c>
      <c r="BO101" s="19">
        <v>0</v>
      </c>
      <c r="BP101" s="19">
        <v>0</v>
      </c>
      <c r="BQ101" s="19">
        <v>0</v>
      </c>
      <c r="BR101" s="19">
        <v>0</v>
      </c>
      <c r="BS101" s="19">
        <v>0</v>
      </c>
      <c r="BT101" s="19">
        <v>0</v>
      </c>
      <c r="BU101" s="19">
        <v>0</v>
      </c>
      <c r="BV101" s="19">
        <v>0</v>
      </c>
      <c r="BW101" s="19">
        <v>0</v>
      </c>
      <c r="BX101" s="19">
        <v>0</v>
      </c>
      <c r="BY101" s="19">
        <v>0</v>
      </c>
      <c r="BZ101" s="34">
        <v>0</v>
      </c>
      <c r="CA101" s="18">
        <v>0</v>
      </c>
      <c r="CB101" s="20"/>
      <c r="CC101" s="36">
        <v>0</v>
      </c>
      <c r="CD101" s="34"/>
    </row>
    <row r="102" ht="19.5" customHeight="1" s="112" customFormat="1">
      <c r="A102" s="111">
        <v>88</v>
      </c>
      <c r="B102" s="35" t="str">
        <f t="shared" si="16"/>
      </c>
      <c r="C102" s="32">
        <v>15854</v>
      </c>
      <c r="D102" s="15" t="s">
        <v>311</v>
      </c>
      <c r="E102" s="1" t="s">
        <v>118</v>
      </c>
      <c r="F102" s="36" t="str">
        <f>IFERROR(VLOOKUP('A2 (Öhdəliklər)'!E102,List!A:B,2,0),"")</f>
      </c>
      <c r="G102" s="1" t="s">
        <v>119</v>
      </c>
      <c r="H102" s="36" t="str">
        <f>IFERROR(VLOOKUP('A2 (Öhdəliklər)'!G102,List!G:H,2,0),"")</f>
      </c>
      <c r="I102" s="1" t="s">
        <v>120</v>
      </c>
      <c r="J102" s="36" t="str">
        <f>IFERROR(VLOOKUP('A2 (Öhdəliklər)'!I102,List!C:D,2,0),"")</f>
      </c>
      <c r="K102" s="1" t="s">
        <v>175</v>
      </c>
      <c r="L102" s="36" t="str">
        <f>IFERROR(VLOOKUP('A2 (Öhdəliklər)'!K102,List!E:F,2,0),"")</f>
      </c>
      <c r="M102" s="1" t="s">
        <v>122</v>
      </c>
      <c r="N102" s="36" t="str">
        <f>IFERROR(VLOOKUP('A2 (Öhdəliklər)'!M102,List!M:N,2,0),"")</f>
      </c>
      <c r="O102" s="1"/>
      <c r="P102" s="36" t="str">
        <f>IFERROR(VLOOKUP('A2 (Öhdəliklər)'!O102,List!S:T,2,0),"")</f>
      </c>
      <c r="Q102" s="1"/>
      <c r="R102" s="36" t="str">
        <f>IFERROR(VLOOKUP('A2 (Öhdəliklər)'!Q102,List!K:L,2,0),"")</f>
      </c>
      <c r="S102" s="16" t="s">
        <v>123</v>
      </c>
      <c r="T102" s="16" t="s">
        <v>123</v>
      </c>
      <c r="U102" s="17" t="s">
        <v>312</v>
      </c>
      <c r="V102" s="17"/>
      <c r="W102" s="20"/>
      <c r="X102" s="18" t="s">
        <v>125</v>
      </c>
      <c r="Y102" s="1" t="s">
        <v>126</v>
      </c>
      <c r="Z102" s="36" t="str">
        <f>IFERROR(VLOOKUP('A2 (Öhdəliklər)'!Y102,List!O:P,2,0),"")</f>
      </c>
      <c r="AA102" s="19">
        <v>0</v>
      </c>
      <c r="AB102" s="19">
        <v>0</v>
      </c>
      <c r="AC102" s="37">
        <f t="shared" si="17"/>
        <v>0</v>
      </c>
      <c r="AD102" s="19" t="s">
        <v>313</v>
      </c>
      <c r="AE102" s="19">
        <v>0</v>
      </c>
      <c r="AF102" s="19">
        <v>0</v>
      </c>
      <c r="AG102" s="19">
        <v>0</v>
      </c>
      <c r="AH102" s="19">
        <v>0</v>
      </c>
      <c r="AI102" s="19" t="s">
        <v>128</v>
      </c>
      <c r="AJ102" s="19">
        <v>0</v>
      </c>
      <c r="AK102" s="19">
        <v>0</v>
      </c>
      <c r="AL102" s="19">
        <v>0</v>
      </c>
      <c r="AM102" s="19"/>
      <c r="AN102" s="19" t="s">
        <v>128</v>
      </c>
      <c r="AO102" s="19">
        <v>0</v>
      </c>
      <c r="AP102" s="19">
        <v>0</v>
      </c>
      <c r="AQ102" s="19">
        <v>0</v>
      </c>
      <c r="AR102" s="19">
        <v>0</v>
      </c>
      <c r="AS102" s="19">
        <v>0</v>
      </c>
      <c r="AT102" s="19">
        <v>0</v>
      </c>
      <c r="AU102" s="19">
        <v>0</v>
      </c>
      <c r="AV102" s="19">
        <v>0</v>
      </c>
      <c r="AW102" s="19">
        <v>0</v>
      </c>
      <c r="AX102" s="19">
        <v>0</v>
      </c>
      <c r="AY102" s="21" t="s">
        <v>129</v>
      </c>
      <c r="AZ102" s="36" t="str">
        <f>IFERROR(VLOOKUP('A2 (Öhdəliklər)'!AY102,List!Q:R,2,0),"")</f>
      </c>
      <c r="BA102" s="38">
        <f t="shared" si="18"/>
        <v>0</v>
      </c>
      <c r="BB102" s="38">
        <f t="shared" si="19"/>
        <v>0</v>
      </c>
      <c r="BC102" s="39">
        <f t="shared" si="20"/>
        <v>0.6064</v>
      </c>
      <c r="BD102" s="39">
        <f t="shared" si="21"/>
        <v>0</v>
      </c>
      <c r="BE102" s="39">
        <f t="shared" si="22"/>
        <v>0</v>
      </c>
      <c r="BF102" s="39">
        <f t="shared" si="23"/>
        <v>0</v>
      </c>
      <c r="BG102" s="19">
        <v>0</v>
      </c>
      <c r="BH102" s="19">
        <v>0</v>
      </c>
      <c r="BI102" s="19">
        <v>0</v>
      </c>
      <c r="BJ102" s="19">
        <v>0.6064</v>
      </c>
      <c r="BK102" s="19">
        <v>0</v>
      </c>
      <c r="BL102" s="19">
        <v>0</v>
      </c>
      <c r="BM102" s="19">
        <v>0</v>
      </c>
      <c r="BN102" s="19">
        <v>0</v>
      </c>
      <c r="BO102" s="19">
        <v>0</v>
      </c>
      <c r="BP102" s="19">
        <v>0</v>
      </c>
      <c r="BQ102" s="19">
        <v>0</v>
      </c>
      <c r="BR102" s="19">
        <v>0</v>
      </c>
      <c r="BS102" s="19">
        <v>0</v>
      </c>
      <c r="BT102" s="19">
        <v>0</v>
      </c>
      <c r="BU102" s="19">
        <v>0</v>
      </c>
      <c r="BV102" s="19">
        <v>0</v>
      </c>
      <c r="BW102" s="19">
        <v>0</v>
      </c>
      <c r="BX102" s="19">
        <v>0</v>
      </c>
      <c r="BY102" s="19">
        <v>0</v>
      </c>
      <c r="BZ102" s="34">
        <v>0</v>
      </c>
      <c r="CA102" s="18">
        <v>0</v>
      </c>
      <c r="CB102" s="20"/>
      <c r="CC102" s="36">
        <v>0</v>
      </c>
      <c r="CD102" s="34"/>
    </row>
    <row r="103" ht="19.5" customHeight="1" s="112" customFormat="1">
      <c r="A103" s="111">
        <v>89</v>
      </c>
      <c r="B103" s="35" t="str">
        <f t="shared" si="16"/>
      </c>
      <c r="C103" s="32">
        <v>19638</v>
      </c>
      <c r="D103" s="15" t="s">
        <v>311</v>
      </c>
      <c r="E103" s="1" t="s">
        <v>118</v>
      </c>
      <c r="F103" s="36" t="str">
        <f>IFERROR(VLOOKUP('A2 (Öhdəliklər)'!E103,List!A:B,2,0),"")</f>
      </c>
      <c r="G103" s="1" t="s">
        <v>119</v>
      </c>
      <c r="H103" s="36" t="str">
        <f>IFERROR(VLOOKUP('A2 (Öhdəliklər)'!G103,List!G:H,2,0),"")</f>
      </c>
      <c r="I103" s="1" t="s">
        <v>120</v>
      </c>
      <c r="J103" s="36" t="str">
        <f>IFERROR(VLOOKUP('A2 (Öhdəliklər)'!I103,List!C:D,2,0),"")</f>
      </c>
      <c r="K103" s="1" t="s">
        <v>175</v>
      </c>
      <c r="L103" s="36" t="str">
        <f>IFERROR(VLOOKUP('A2 (Öhdəliklər)'!K103,List!E:F,2,0),"")</f>
      </c>
      <c r="M103" s="1" t="s">
        <v>122</v>
      </c>
      <c r="N103" s="36" t="str">
        <f>IFERROR(VLOOKUP('A2 (Öhdəliklər)'!M103,List!M:N,2,0),"")</f>
      </c>
      <c r="O103" s="1"/>
      <c r="P103" s="36" t="str">
        <f>IFERROR(VLOOKUP('A2 (Öhdəliklər)'!O103,List!S:T,2,0),"")</f>
      </c>
      <c r="Q103" s="1"/>
      <c r="R103" s="36" t="str">
        <f>IFERROR(VLOOKUP('A2 (Öhdəliklər)'!Q103,List!K:L,2,0),"")</f>
      </c>
      <c r="S103" s="16" t="s">
        <v>123</v>
      </c>
      <c r="T103" s="16" t="s">
        <v>123</v>
      </c>
      <c r="U103" s="17" t="s">
        <v>314</v>
      </c>
      <c r="V103" s="17"/>
      <c r="W103" s="20"/>
      <c r="X103" s="18" t="s">
        <v>125</v>
      </c>
      <c r="Y103" s="1" t="s">
        <v>126</v>
      </c>
      <c r="Z103" s="36" t="str">
        <f>IFERROR(VLOOKUP('A2 (Öhdəliklər)'!Y103,List!O:P,2,0),"")</f>
      </c>
      <c r="AA103" s="19">
        <v>0</v>
      </c>
      <c r="AB103" s="19">
        <v>0</v>
      </c>
      <c r="AC103" s="37">
        <f t="shared" si="17"/>
        <v>0</v>
      </c>
      <c r="AD103" s="19" t="s">
        <v>128</v>
      </c>
      <c r="AE103" s="19">
        <v>0</v>
      </c>
      <c r="AF103" s="19">
        <v>0</v>
      </c>
      <c r="AG103" s="19">
        <v>0</v>
      </c>
      <c r="AH103" s="19">
        <v>0</v>
      </c>
      <c r="AI103" s="19" t="s">
        <v>315</v>
      </c>
      <c r="AJ103" s="19">
        <v>0</v>
      </c>
      <c r="AK103" s="19">
        <v>0</v>
      </c>
      <c r="AL103" s="19">
        <v>0</v>
      </c>
      <c r="AM103" s="19"/>
      <c r="AN103" s="19" t="s">
        <v>315</v>
      </c>
      <c r="AO103" s="19">
        <v>0</v>
      </c>
      <c r="AP103" s="19">
        <v>0</v>
      </c>
      <c r="AQ103" s="19">
        <v>0</v>
      </c>
      <c r="AR103" s="19">
        <v>0</v>
      </c>
      <c r="AS103" s="19">
        <v>0</v>
      </c>
      <c r="AT103" s="19">
        <v>0</v>
      </c>
      <c r="AU103" s="19">
        <v>0</v>
      </c>
      <c r="AV103" s="19">
        <v>0</v>
      </c>
      <c r="AW103" s="19">
        <v>0</v>
      </c>
      <c r="AX103" s="19">
        <v>0</v>
      </c>
      <c r="AY103" s="21" t="s">
        <v>129</v>
      </c>
      <c r="AZ103" s="36" t="str">
        <f>IFERROR(VLOOKUP('A2 (Öhdəliklər)'!AY103,List!Q:R,2,0),"")</f>
      </c>
      <c r="BA103" s="38">
        <f t="shared" si="18"/>
        <v>0</v>
      </c>
      <c r="BB103" s="38">
        <f t="shared" si="19"/>
        <v>0</v>
      </c>
      <c r="BC103" s="39">
        <f t="shared" si="20"/>
        <v>0</v>
      </c>
      <c r="BD103" s="39">
        <f t="shared" si="21"/>
        <v>0</v>
      </c>
      <c r="BE103" s="39">
        <f t="shared" si="22"/>
        <v>0</v>
      </c>
      <c r="BF103" s="39">
        <f t="shared" si="23"/>
        <v>0</v>
      </c>
      <c r="BG103" s="19">
        <v>0</v>
      </c>
      <c r="BH103" s="19">
        <v>0</v>
      </c>
      <c r="BI103" s="19">
        <v>0</v>
      </c>
      <c r="BJ103" s="19">
        <v>0</v>
      </c>
      <c r="BK103" s="19">
        <v>0</v>
      </c>
      <c r="BL103" s="19">
        <v>0</v>
      </c>
      <c r="BM103" s="19">
        <v>0</v>
      </c>
      <c r="BN103" s="19">
        <v>0</v>
      </c>
      <c r="BO103" s="19">
        <v>0</v>
      </c>
      <c r="BP103" s="19">
        <v>0</v>
      </c>
      <c r="BQ103" s="19">
        <v>0</v>
      </c>
      <c r="BR103" s="19">
        <v>0</v>
      </c>
      <c r="BS103" s="19">
        <v>0</v>
      </c>
      <c r="BT103" s="19">
        <v>0</v>
      </c>
      <c r="BU103" s="19">
        <v>0</v>
      </c>
      <c r="BV103" s="19">
        <v>0</v>
      </c>
      <c r="BW103" s="19">
        <v>0</v>
      </c>
      <c r="BX103" s="19">
        <v>0</v>
      </c>
      <c r="BY103" s="19">
        <v>0</v>
      </c>
      <c r="BZ103" s="34">
        <v>0</v>
      </c>
      <c r="CA103" s="18">
        <v>0</v>
      </c>
      <c r="CB103" s="20"/>
      <c r="CC103" s="36">
        <v>0</v>
      </c>
      <c r="CD103" s="34"/>
    </row>
    <row r="104" ht="19.5" customHeight="1" s="112" customFormat="1">
      <c r="A104" s="111">
        <v>90</v>
      </c>
      <c r="B104" s="35" t="str">
        <f t="shared" si="16"/>
      </c>
      <c r="C104" s="32" t="s">
        <v>316</v>
      </c>
      <c r="D104" s="15" t="s">
        <v>317</v>
      </c>
      <c r="E104" s="1" t="s">
        <v>118</v>
      </c>
      <c r="F104" s="36" t="str">
        <f>IFERROR(VLOOKUP('A2 (Öhdəliklər)'!E104,List!A:B,2,0),"")</f>
      </c>
      <c r="G104" s="1" t="s">
        <v>119</v>
      </c>
      <c r="H104" s="36" t="str">
        <f>IFERROR(VLOOKUP('A2 (Öhdəliklər)'!G104,List!G:H,2,0),"")</f>
      </c>
      <c r="I104" s="1" t="s">
        <v>120</v>
      </c>
      <c r="J104" s="36" t="str">
        <f>IFERROR(VLOOKUP('A2 (Öhdəliklər)'!I104,List!C:D,2,0),"")</f>
      </c>
      <c r="K104" s="1" t="s">
        <v>175</v>
      </c>
      <c r="L104" s="36" t="str">
        <f>IFERROR(VLOOKUP('A2 (Öhdəliklər)'!K104,List!E:F,2,0),"")</f>
      </c>
      <c r="M104" s="1" t="s">
        <v>122</v>
      </c>
      <c r="N104" s="36" t="str">
        <f>IFERROR(VLOOKUP('A2 (Öhdəliklər)'!M104,List!M:N,2,0),"")</f>
      </c>
      <c r="O104" s="1"/>
      <c r="P104" s="36" t="str">
        <f>IFERROR(VLOOKUP('A2 (Öhdəliklər)'!O104,List!S:T,2,0),"")</f>
      </c>
      <c r="Q104" s="1"/>
      <c r="R104" s="36" t="str">
        <f>IFERROR(VLOOKUP('A2 (Öhdəliklər)'!Q104,List!K:L,2,0),"")</f>
      </c>
      <c r="S104" s="16" t="s">
        <v>123</v>
      </c>
      <c r="T104" s="16" t="s">
        <v>123</v>
      </c>
      <c r="U104" s="17" t="s">
        <v>318</v>
      </c>
      <c r="V104" s="17"/>
      <c r="W104" s="20"/>
      <c r="X104" s="18" t="s">
        <v>125</v>
      </c>
      <c r="Y104" s="1" t="s">
        <v>126</v>
      </c>
      <c r="Z104" s="36" t="str">
        <f>IFERROR(VLOOKUP('A2 (Öhdəliklər)'!Y104,List!O:P,2,0),"")</f>
      </c>
      <c r="AA104" s="19">
        <v>0</v>
      </c>
      <c r="AB104" s="19">
        <v>0</v>
      </c>
      <c r="AC104" s="37">
        <f t="shared" si="17"/>
        <v>0</v>
      </c>
      <c r="AD104" s="19" t="s">
        <v>319</v>
      </c>
      <c r="AE104" s="19">
        <v>0</v>
      </c>
      <c r="AF104" s="19">
        <v>0</v>
      </c>
      <c r="AG104" s="19">
        <v>0</v>
      </c>
      <c r="AH104" s="19">
        <v>0</v>
      </c>
      <c r="AI104" s="19" t="s">
        <v>128</v>
      </c>
      <c r="AJ104" s="19">
        <v>0</v>
      </c>
      <c r="AK104" s="19">
        <v>0</v>
      </c>
      <c r="AL104" s="19">
        <v>0</v>
      </c>
      <c r="AM104" s="19"/>
      <c r="AN104" s="19" t="s">
        <v>128</v>
      </c>
      <c r="AO104" s="19">
        <v>0</v>
      </c>
      <c r="AP104" s="19">
        <v>0</v>
      </c>
      <c r="AQ104" s="19">
        <v>0</v>
      </c>
      <c r="AR104" s="19">
        <v>0</v>
      </c>
      <c r="AS104" s="19">
        <v>0</v>
      </c>
      <c r="AT104" s="19">
        <v>0</v>
      </c>
      <c r="AU104" s="19">
        <v>0</v>
      </c>
      <c r="AV104" s="19">
        <v>0</v>
      </c>
      <c r="AW104" s="19">
        <v>0</v>
      </c>
      <c r="AX104" s="19">
        <v>0</v>
      </c>
      <c r="AY104" s="21" t="s">
        <v>129</v>
      </c>
      <c r="AZ104" s="36" t="str">
        <f>IFERROR(VLOOKUP('A2 (Öhdəliklər)'!AY104,List!Q:R,2,0),"")</f>
      </c>
      <c r="BA104" s="38">
        <f t="shared" si="18"/>
        <v>0</v>
      </c>
      <c r="BB104" s="38">
        <f t="shared" si="19"/>
        <v>0</v>
      </c>
      <c r="BC104" s="39">
        <f t="shared" si="20"/>
        <v>54.19264</v>
      </c>
      <c r="BD104" s="39">
        <f t="shared" si="21"/>
        <v>0</v>
      </c>
      <c r="BE104" s="39">
        <f t="shared" si="22"/>
        <v>0</v>
      </c>
      <c r="BF104" s="39">
        <f t="shared" si="23"/>
        <v>0</v>
      </c>
      <c r="BG104" s="19">
        <v>0</v>
      </c>
      <c r="BH104" s="19">
        <v>0</v>
      </c>
      <c r="BI104" s="19">
        <v>0</v>
      </c>
      <c r="BJ104" s="19">
        <v>54.19264</v>
      </c>
      <c r="BK104" s="19">
        <v>0</v>
      </c>
      <c r="BL104" s="19">
        <v>0</v>
      </c>
      <c r="BM104" s="19">
        <v>0</v>
      </c>
      <c r="BN104" s="19">
        <v>0</v>
      </c>
      <c r="BO104" s="19">
        <v>0</v>
      </c>
      <c r="BP104" s="19">
        <v>0</v>
      </c>
      <c r="BQ104" s="19">
        <v>0</v>
      </c>
      <c r="BR104" s="19">
        <v>0</v>
      </c>
      <c r="BS104" s="19">
        <v>0</v>
      </c>
      <c r="BT104" s="19">
        <v>0</v>
      </c>
      <c r="BU104" s="19">
        <v>0</v>
      </c>
      <c r="BV104" s="19">
        <v>0</v>
      </c>
      <c r="BW104" s="19">
        <v>0</v>
      </c>
      <c r="BX104" s="19">
        <v>0</v>
      </c>
      <c r="BY104" s="19">
        <v>0</v>
      </c>
      <c r="BZ104" s="34">
        <v>0</v>
      </c>
      <c r="CA104" s="18">
        <v>0</v>
      </c>
      <c r="CB104" s="20"/>
      <c r="CC104" s="36">
        <v>0</v>
      </c>
      <c r="CD104" s="34"/>
    </row>
    <row r="105" ht="19.5" customHeight="1" s="112" customFormat="1">
      <c r="A105" s="111">
        <v>91</v>
      </c>
      <c r="B105" s="35" t="str">
        <f t="shared" si="16"/>
      </c>
      <c r="C105" s="32" t="s">
        <v>320</v>
      </c>
      <c r="D105" s="15" t="s">
        <v>321</v>
      </c>
      <c r="E105" s="1" t="s">
        <v>118</v>
      </c>
      <c r="F105" s="36" t="str">
        <f>IFERROR(VLOOKUP('A2 (Öhdəliklər)'!E105,List!A:B,2,0),"")</f>
      </c>
      <c r="G105" s="1" t="s">
        <v>119</v>
      </c>
      <c r="H105" s="36" t="str">
        <f>IFERROR(VLOOKUP('A2 (Öhdəliklər)'!G105,List!G:H,2,0),"")</f>
      </c>
      <c r="I105" s="1" t="s">
        <v>120</v>
      </c>
      <c r="J105" s="36" t="str">
        <f>IFERROR(VLOOKUP('A2 (Öhdəliklər)'!I105,List!C:D,2,0),"")</f>
      </c>
      <c r="K105" s="1" t="s">
        <v>175</v>
      </c>
      <c r="L105" s="36" t="str">
        <f>IFERROR(VLOOKUP('A2 (Öhdəliklər)'!K105,List!E:F,2,0),"")</f>
      </c>
      <c r="M105" s="1" t="s">
        <v>122</v>
      </c>
      <c r="N105" s="36" t="str">
        <f>IFERROR(VLOOKUP('A2 (Öhdəliklər)'!M105,List!M:N,2,0),"")</f>
      </c>
      <c r="O105" s="1"/>
      <c r="P105" s="36" t="str">
        <f>IFERROR(VLOOKUP('A2 (Öhdəliklər)'!O105,List!S:T,2,0),"")</f>
      </c>
      <c r="Q105" s="1"/>
      <c r="R105" s="36" t="str">
        <f>IFERROR(VLOOKUP('A2 (Öhdəliklər)'!Q105,List!K:L,2,0),"")</f>
      </c>
      <c r="S105" s="16" t="s">
        <v>123</v>
      </c>
      <c r="T105" s="16" t="s">
        <v>123</v>
      </c>
      <c r="U105" s="17" t="s">
        <v>318</v>
      </c>
      <c r="V105" s="17"/>
      <c r="W105" s="20"/>
      <c r="X105" s="18" t="s">
        <v>125</v>
      </c>
      <c r="Y105" s="1" t="s">
        <v>126</v>
      </c>
      <c r="Z105" s="36" t="str">
        <f>IFERROR(VLOOKUP('A2 (Öhdəliklər)'!Y105,List!O:P,2,0),"")</f>
      </c>
      <c r="AA105" s="19">
        <v>0</v>
      </c>
      <c r="AB105" s="19">
        <v>0</v>
      </c>
      <c r="AC105" s="37">
        <f t="shared" si="17"/>
        <v>0</v>
      </c>
      <c r="AD105" s="19" t="s">
        <v>322</v>
      </c>
      <c r="AE105" s="19">
        <v>0</v>
      </c>
      <c r="AF105" s="19">
        <v>0</v>
      </c>
      <c r="AG105" s="19">
        <v>0</v>
      </c>
      <c r="AH105" s="19">
        <v>0</v>
      </c>
      <c r="AI105" s="19" t="s">
        <v>128</v>
      </c>
      <c r="AJ105" s="19">
        <v>0</v>
      </c>
      <c r="AK105" s="19">
        <v>0</v>
      </c>
      <c r="AL105" s="19">
        <v>0</v>
      </c>
      <c r="AM105" s="19"/>
      <c r="AN105" s="19" t="s">
        <v>323</v>
      </c>
      <c r="AO105" s="19">
        <v>0</v>
      </c>
      <c r="AP105" s="19">
        <v>0</v>
      </c>
      <c r="AQ105" s="19">
        <v>0</v>
      </c>
      <c r="AR105" s="19">
        <v>0</v>
      </c>
      <c r="AS105" s="19">
        <v>0</v>
      </c>
      <c r="AT105" s="19">
        <v>0</v>
      </c>
      <c r="AU105" s="19">
        <v>0</v>
      </c>
      <c r="AV105" s="19">
        <v>0</v>
      </c>
      <c r="AW105" s="19">
        <v>0</v>
      </c>
      <c r="AX105" s="19">
        <v>0</v>
      </c>
      <c r="AY105" s="21" t="s">
        <v>129</v>
      </c>
      <c r="AZ105" s="36" t="str">
        <f>IFERROR(VLOOKUP('A2 (Öhdəliklər)'!AY105,List!Q:R,2,0),"")</f>
      </c>
      <c r="BA105" s="38">
        <f t="shared" si="18"/>
        <v>0</v>
      </c>
      <c r="BB105" s="38">
        <f t="shared" si="19"/>
        <v>0</v>
      </c>
      <c r="BC105" s="39">
        <f t="shared" si="20"/>
        <v>158.17218</v>
      </c>
      <c r="BD105" s="39">
        <f t="shared" si="21"/>
        <v>0</v>
      </c>
      <c r="BE105" s="39">
        <f t="shared" si="22"/>
        <v>0</v>
      </c>
      <c r="BF105" s="39">
        <f t="shared" si="23"/>
        <v>0</v>
      </c>
      <c r="BG105" s="19">
        <v>0</v>
      </c>
      <c r="BH105" s="19">
        <v>0</v>
      </c>
      <c r="BI105" s="19">
        <v>0</v>
      </c>
      <c r="BJ105" s="19">
        <v>158.17218</v>
      </c>
      <c r="BK105" s="19">
        <v>0</v>
      </c>
      <c r="BL105" s="19">
        <v>0</v>
      </c>
      <c r="BM105" s="19">
        <v>0</v>
      </c>
      <c r="BN105" s="19">
        <v>0</v>
      </c>
      <c r="BO105" s="19">
        <v>0</v>
      </c>
      <c r="BP105" s="19">
        <v>0</v>
      </c>
      <c r="BQ105" s="19">
        <v>0</v>
      </c>
      <c r="BR105" s="19">
        <v>0</v>
      </c>
      <c r="BS105" s="19">
        <v>0</v>
      </c>
      <c r="BT105" s="19">
        <v>0</v>
      </c>
      <c r="BU105" s="19">
        <v>0</v>
      </c>
      <c r="BV105" s="19">
        <v>0</v>
      </c>
      <c r="BW105" s="19">
        <v>0</v>
      </c>
      <c r="BX105" s="19">
        <v>0</v>
      </c>
      <c r="BY105" s="19">
        <v>0</v>
      </c>
      <c r="BZ105" s="34">
        <v>0</v>
      </c>
      <c r="CA105" s="18">
        <v>0</v>
      </c>
      <c r="CB105" s="20"/>
      <c r="CC105" s="36">
        <v>0</v>
      </c>
      <c r="CD105" s="34"/>
    </row>
    <row r="106" ht="19.5" customHeight="1" s="112" customFormat="1">
      <c r="A106" s="111">
        <v>92</v>
      </c>
      <c r="B106" s="35" t="str">
        <f t="shared" si="16"/>
      </c>
      <c r="C106" s="32" t="s">
        <v>324</v>
      </c>
      <c r="D106" s="15" t="s">
        <v>321</v>
      </c>
      <c r="E106" s="1" t="s">
        <v>118</v>
      </c>
      <c r="F106" s="36" t="str">
        <f>IFERROR(VLOOKUP('A2 (Öhdəliklər)'!E106,List!A:B,2,0),"")</f>
      </c>
      <c r="G106" s="1" t="s">
        <v>119</v>
      </c>
      <c r="H106" s="36" t="str">
        <f>IFERROR(VLOOKUP('A2 (Öhdəliklər)'!G106,List!G:H,2,0),"")</f>
      </c>
      <c r="I106" s="1" t="s">
        <v>120</v>
      </c>
      <c r="J106" s="36" t="str">
        <f>IFERROR(VLOOKUP('A2 (Öhdəliklər)'!I106,List!C:D,2,0),"")</f>
      </c>
      <c r="K106" s="1" t="s">
        <v>175</v>
      </c>
      <c r="L106" s="36" t="str">
        <f>IFERROR(VLOOKUP('A2 (Öhdəliklər)'!K106,List!E:F,2,0),"")</f>
      </c>
      <c r="M106" s="1" t="s">
        <v>122</v>
      </c>
      <c r="N106" s="36" t="str">
        <f>IFERROR(VLOOKUP('A2 (Öhdəliklər)'!M106,List!M:N,2,0),"")</f>
      </c>
      <c r="O106" s="1"/>
      <c r="P106" s="36" t="str">
        <f>IFERROR(VLOOKUP('A2 (Öhdəliklər)'!O106,List!S:T,2,0),"")</f>
      </c>
      <c r="Q106" s="1"/>
      <c r="R106" s="36" t="str">
        <f>IFERROR(VLOOKUP('A2 (Öhdəliklər)'!Q106,List!K:L,2,0),"")</f>
      </c>
      <c r="S106" s="16" t="s">
        <v>123</v>
      </c>
      <c r="T106" s="16" t="s">
        <v>123</v>
      </c>
      <c r="U106" s="17" t="s">
        <v>318</v>
      </c>
      <c r="V106" s="17"/>
      <c r="W106" s="20"/>
      <c r="X106" s="18" t="s">
        <v>125</v>
      </c>
      <c r="Y106" s="1" t="s">
        <v>126</v>
      </c>
      <c r="Z106" s="36" t="str">
        <f>IFERROR(VLOOKUP('A2 (Öhdəliklər)'!Y106,List!O:P,2,0),"")</f>
      </c>
      <c r="AA106" s="19">
        <v>0</v>
      </c>
      <c r="AB106" s="19">
        <v>0</v>
      </c>
      <c r="AC106" s="37">
        <f t="shared" si="17"/>
        <v>0</v>
      </c>
      <c r="AD106" s="19" t="s">
        <v>325</v>
      </c>
      <c r="AE106" s="19">
        <v>0</v>
      </c>
      <c r="AF106" s="19">
        <v>0</v>
      </c>
      <c r="AG106" s="19">
        <v>0</v>
      </c>
      <c r="AH106" s="19">
        <v>0</v>
      </c>
      <c r="AI106" s="19" t="s">
        <v>128</v>
      </c>
      <c r="AJ106" s="19">
        <v>0</v>
      </c>
      <c r="AK106" s="19">
        <v>0</v>
      </c>
      <c r="AL106" s="19">
        <v>0</v>
      </c>
      <c r="AM106" s="19"/>
      <c r="AN106" s="19" t="s">
        <v>128</v>
      </c>
      <c r="AO106" s="19">
        <v>0</v>
      </c>
      <c r="AP106" s="19">
        <v>0</v>
      </c>
      <c r="AQ106" s="19">
        <v>0</v>
      </c>
      <c r="AR106" s="19">
        <v>0</v>
      </c>
      <c r="AS106" s="19">
        <v>0</v>
      </c>
      <c r="AT106" s="19">
        <v>0</v>
      </c>
      <c r="AU106" s="19">
        <v>0</v>
      </c>
      <c r="AV106" s="19">
        <v>0</v>
      </c>
      <c r="AW106" s="19">
        <v>0</v>
      </c>
      <c r="AX106" s="19">
        <v>0</v>
      </c>
      <c r="AY106" s="21" t="s">
        <v>129</v>
      </c>
      <c r="AZ106" s="36" t="str">
        <f>IFERROR(VLOOKUP('A2 (Öhdəliklər)'!AY106,List!Q:R,2,0),"")</f>
      </c>
      <c r="BA106" s="38">
        <f t="shared" si="18"/>
        <v>0</v>
      </c>
      <c r="BB106" s="38">
        <f t="shared" si="19"/>
        <v>0</v>
      </c>
      <c r="BC106" s="39">
        <f t="shared" si="20"/>
        <v>18.15621</v>
      </c>
      <c r="BD106" s="39">
        <f t="shared" si="21"/>
        <v>0</v>
      </c>
      <c r="BE106" s="39">
        <f t="shared" si="22"/>
        <v>0</v>
      </c>
      <c r="BF106" s="39">
        <f t="shared" si="23"/>
        <v>0</v>
      </c>
      <c r="BG106" s="19">
        <v>0</v>
      </c>
      <c r="BH106" s="19">
        <v>0</v>
      </c>
      <c r="BI106" s="19">
        <v>0</v>
      </c>
      <c r="BJ106" s="19">
        <v>18.15621</v>
      </c>
      <c r="BK106" s="19">
        <v>0</v>
      </c>
      <c r="BL106" s="19">
        <v>0</v>
      </c>
      <c r="BM106" s="19">
        <v>0</v>
      </c>
      <c r="BN106" s="19">
        <v>0</v>
      </c>
      <c r="BO106" s="19">
        <v>0</v>
      </c>
      <c r="BP106" s="19">
        <v>0</v>
      </c>
      <c r="BQ106" s="19">
        <v>0</v>
      </c>
      <c r="BR106" s="19">
        <v>0</v>
      </c>
      <c r="BS106" s="19">
        <v>0</v>
      </c>
      <c r="BT106" s="19">
        <v>0</v>
      </c>
      <c r="BU106" s="19">
        <v>0</v>
      </c>
      <c r="BV106" s="19">
        <v>0</v>
      </c>
      <c r="BW106" s="19">
        <v>0</v>
      </c>
      <c r="BX106" s="19">
        <v>0</v>
      </c>
      <c r="BY106" s="19">
        <v>0</v>
      </c>
      <c r="BZ106" s="34">
        <v>0</v>
      </c>
      <c r="CA106" s="18">
        <v>0</v>
      </c>
      <c r="CB106" s="20"/>
      <c r="CC106" s="36">
        <v>0</v>
      </c>
      <c r="CD106" s="34"/>
    </row>
    <row r="107" ht="19.5" customHeight="1" s="112" customFormat="1">
      <c r="A107" s="111">
        <v>93</v>
      </c>
      <c r="B107" s="35" t="str">
        <f t="shared" si="16"/>
      </c>
      <c r="C107" s="32" t="s">
        <v>326</v>
      </c>
      <c r="D107" s="15" t="s">
        <v>327</v>
      </c>
      <c r="E107" s="1" t="s">
        <v>118</v>
      </c>
      <c r="F107" s="36" t="str">
        <f>IFERROR(VLOOKUP('A2 (Öhdəliklər)'!E107,List!A:B,2,0),"")</f>
      </c>
      <c r="G107" s="1" t="s">
        <v>119</v>
      </c>
      <c r="H107" s="36" t="str">
        <f>IFERROR(VLOOKUP('A2 (Öhdəliklər)'!G107,List!G:H,2,0),"")</f>
      </c>
      <c r="I107" s="1" t="s">
        <v>120</v>
      </c>
      <c r="J107" s="36" t="str">
        <f>IFERROR(VLOOKUP('A2 (Öhdəliklər)'!I107,List!C:D,2,0),"")</f>
      </c>
      <c r="K107" s="1" t="s">
        <v>175</v>
      </c>
      <c r="L107" s="36" t="str">
        <f>IFERROR(VLOOKUP('A2 (Öhdəliklər)'!K107,List!E:F,2,0),"")</f>
      </c>
      <c r="M107" s="1" t="s">
        <v>122</v>
      </c>
      <c r="N107" s="36" t="str">
        <f>IFERROR(VLOOKUP('A2 (Öhdəliklər)'!M107,List!M:N,2,0),"")</f>
      </c>
      <c r="O107" s="1"/>
      <c r="P107" s="36" t="str">
        <f>IFERROR(VLOOKUP('A2 (Öhdəliklər)'!O107,List!S:T,2,0),"")</f>
      </c>
      <c r="Q107" s="1"/>
      <c r="R107" s="36" t="str">
        <f>IFERROR(VLOOKUP('A2 (Öhdəliklər)'!Q107,List!K:L,2,0),"")</f>
      </c>
      <c r="S107" s="16" t="s">
        <v>123</v>
      </c>
      <c r="T107" s="16" t="s">
        <v>123</v>
      </c>
      <c r="U107" s="17" t="s">
        <v>328</v>
      </c>
      <c r="V107" s="17"/>
      <c r="W107" s="20"/>
      <c r="X107" s="18" t="s">
        <v>125</v>
      </c>
      <c r="Y107" s="1" t="s">
        <v>126</v>
      </c>
      <c r="Z107" s="36" t="str">
        <f>IFERROR(VLOOKUP('A2 (Öhdəliklər)'!Y107,List!O:P,2,0),"")</f>
      </c>
      <c r="AA107" s="19">
        <v>0</v>
      </c>
      <c r="AB107" s="19">
        <v>0</v>
      </c>
      <c r="AC107" s="37">
        <f t="shared" si="17"/>
        <v>0</v>
      </c>
      <c r="AD107" s="19" t="s">
        <v>197</v>
      </c>
      <c r="AE107" s="19">
        <v>0</v>
      </c>
      <c r="AF107" s="19">
        <v>0</v>
      </c>
      <c r="AG107" s="19">
        <v>0</v>
      </c>
      <c r="AH107" s="19">
        <v>0</v>
      </c>
      <c r="AI107" s="19" t="s">
        <v>128</v>
      </c>
      <c r="AJ107" s="19">
        <v>0</v>
      </c>
      <c r="AK107" s="19">
        <v>0</v>
      </c>
      <c r="AL107" s="19">
        <v>0</v>
      </c>
      <c r="AM107" s="19"/>
      <c r="AN107" s="19" t="s">
        <v>128</v>
      </c>
      <c r="AO107" s="19">
        <v>0</v>
      </c>
      <c r="AP107" s="19">
        <v>0</v>
      </c>
      <c r="AQ107" s="19">
        <v>0</v>
      </c>
      <c r="AR107" s="19">
        <v>0</v>
      </c>
      <c r="AS107" s="19">
        <v>0</v>
      </c>
      <c r="AT107" s="19">
        <v>0</v>
      </c>
      <c r="AU107" s="19">
        <v>0</v>
      </c>
      <c r="AV107" s="19">
        <v>0</v>
      </c>
      <c r="AW107" s="19">
        <v>0</v>
      </c>
      <c r="AX107" s="19">
        <v>0</v>
      </c>
      <c r="AY107" s="21" t="s">
        <v>129</v>
      </c>
      <c r="AZ107" s="36" t="str">
        <f>IFERROR(VLOOKUP('A2 (Öhdəliklər)'!AY107,List!Q:R,2,0),"")</f>
      </c>
      <c r="BA107" s="38">
        <f t="shared" si="18"/>
        <v>0</v>
      </c>
      <c r="BB107" s="38">
        <f t="shared" si="19"/>
        <v>0</v>
      </c>
      <c r="BC107" s="39">
        <f t="shared" si="20"/>
        <v>0.6</v>
      </c>
      <c r="BD107" s="39">
        <f t="shared" si="21"/>
        <v>0</v>
      </c>
      <c r="BE107" s="39">
        <f t="shared" si="22"/>
        <v>0</v>
      </c>
      <c r="BF107" s="39">
        <f t="shared" si="23"/>
        <v>0</v>
      </c>
      <c r="BG107" s="19">
        <v>0</v>
      </c>
      <c r="BH107" s="19">
        <v>0</v>
      </c>
      <c r="BI107" s="19">
        <v>0</v>
      </c>
      <c r="BJ107" s="19">
        <v>0.6</v>
      </c>
      <c r="BK107" s="19">
        <v>0</v>
      </c>
      <c r="BL107" s="19">
        <v>0</v>
      </c>
      <c r="BM107" s="19">
        <v>0</v>
      </c>
      <c r="BN107" s="19">
        <v>0</v>
      </c>
      <c r="BO107" s="19">
        <v>0</v>
      </c>
      <c r="BP107" s="19">
        <v>0</v>
      </c>
      <c r="BQ107" s="19">
        <v>0</v>
      </c>
      <c r="BR107" s="19">
        <v>0</v>
      </c>
      <c r="BS107" s="19">
        <v>0</v>
      </c>
      <c r="BT107" s="19">
        <v>0</v>
      </c>
      <c r="BU107" s="19">
        <v>0</v>
      </c>
      <c r="BV107" s="19">
        <v>0</v>
      </c>
      <c r="BW107" s="19">
        <v>0</v>
      </c>
      <c r="BX107" s="19">
        <v>0</v>
      </c>
      <c r="BY107" s="19">
        <v>0</v>
      </c>
      <c r="BZ107" s="34">
        <v>0</v>
      </c>
      <c r="CA107" s="18">
        <v>0</v>
      </c>
      <c r="CB107" s="20"/>
      <c r="CC107" s="36">
        <v>0</v>
      </c>
      <c r="CD107" s="34"/>
    </row>
    <row r="108" ht="19.5" customHeight="1" s="112" customFormat="1">
      <c r="A108" s="111">
        <v>94</v>
      </c>
      <c r="B108" s="35" t="str">
        <f t="shared" si="16"/>
      </c>
      <c r="C108" s="32"/>
      <c r="D108" s="15"/>
      <c r="E108" s="1"/>
      <c r="F108" s="36" t="str">
        <f>IFERROR(VLOOKUP('A2 (Öhdəliklər)'!E108,List!A:B,2,0),"")</f>
      </c>
      <c r="G108" s="1"/>
      <c r="H108" s="36" t="str">
        <f>IFERROR(VLOOKUP('A2 (Öhdəliklər)'!G108,List!G:H,2,0),"")</f>
      </c>
      <c r="I108" s="1"/>
      <c r="J108" s="36" t="str">
        <f>IFERROR(VLOOKUP('A2 (Öhdəliklər)'!I108,List!C:D,2,0),"")</f>
      </c>
      <c r="K108" s="1"/>
      <c r="L108" s="36" t="str">
        <f>IFERROR(VLOOKUP('A2 (Öhdəliklər)'!K108,List!E:F,2,0),"")</f>
      </c>
      <c r="M108" s="1"/>
      <c r="N108" s="36" t="str">
        <f>IFERROR(VLOOKUP('A2 (Öhdəliklər)'!M108,List!M:N,2,0),"")</f>
      </c>
      <c r="O108" s="1"/>
      <c r="P108" s="36" t="str">
        <f>IFERROR(VLOOKUP('A2 (Öhdəliklər)'!O108,List!S:T,2,0),"")</f>
      </c>
      <c r="Q108" s="1"/>
      <c r="R108" s="36" t="str">
        <f>IFERROR(VLOOKUP('A2 (Öhdəliklər)'!Q108,List!K:L,2,0),"")</f>
      </c>
      <c r="S108" s="16"/>
      <c r="T108" s="16"/>
      <c r="U108" s="17"/>
      <c r="V108" s="17"/>
      <c r="W108" s="20"/>
      <c r="X108" s="18"/>
      <c r="Y108" s="1"/>
      <c r="Z108" s="36" t="str">
        <f>IFERROR(VLOOKUP('A2 (Öhdəliklər)'!Y108,List!O:P,2,0),"")</f>
      </c>
      <c r="AA108" s="19"/>
      <c r="AB108" s="19"/>
      <c r="AC108" s="37">
        <f t="shared" si="17"/>
        <v>0</v>
      </c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21"/>
      <c r="AZ108" s="36" t="str">
        <f>IFERROR(VLOOKUP('A2 (Öhdəliklər)'!AY108,List!Q:R,2,0),"")</f>
      </c>
      <c r="BA108" s="38">
        <f t="shared" si="18"/>
        <v>0</v>
      </c>
      <c r="BB108" s="38">
        <f t="shared" si="19"/>
        <v>0</v>
      </c>
      <c r="BC108" s="39">
        <f t="shared" si="20"/>
        <v>0</v>
      </c>
      <c r="BD108" s="39">
        <f t="shared" si="21"/>
        <v>0</v>
      </c>
      <c r="BE108" s="39">
        <f t="shared" si="22"/>
        <v>0</v>
      </c>
      <c r="BF108" s="39">
        <f t="shared" si="23"/>
        <v>0</v>
      </c>
      <c r="BG108" s="19"/>
      <c r="BH108" s="19"/>
      <c r="BI108" s="19"/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34"/>
      <c r="CA108" s="18"/>
      <c r="CB108" s="20"/>
      <c r="CC108" s="36" t="str">
        <f>IFERROR(VLOOKUP('A2 (Öhdəliklər)'!CB108,List!$Z$2:$AA$8,2,0),"")</f>
      </c>
      <c r="CD108" s="34"/>
    </row>
    <row r="109" ht="19.5" customHeight="1" s="112" customFormat="1">
      <c r="A109" s="111">
        <v>95</v>
      </c>
      <c r="B109" s="35" t="str">
        <f t="shared" si="16"/>
      </c>
      <c r="C109" s="32"/>
      <c r="D109" s="15"/>
      <c r="E109" s="1"/>
      <c r="F109" s="36" t="str">
        <f>IFERROR(VLOOKUP('A2 (Öhdəliklər)'!E109,List!A:B,2,0),"")</f>
      </c>
      <c r="G109" s="1"/>
      <c r="H109" s="36" t="str">
        <f>IFERROR(VLOOKUP('A2 (Öhdəliklər)'!G109,List!G:H,2,0),"")</f>
      </c>
      <c r="I109" s="1"/>
      <c r="J109" s="36" t="str">
        <f>IFERROR(VLOOKUP('A2 (Öhdəliklər)'!I109,List!C:D,2,0),"")</f>
      </c>
      <c r="K109" s="1"/>
      <c r="L109" s="36" t="str">
        <f>IFERROR(VLOOKUP('A2 (Öhdəliklər)'!K109,List!E:F,2,0),"")</f>
      </c>
      <c r="M109" s="1"/>
      <c r="N109" s="36" t="str">
        <f>IFERROR(VLOOKUP('A2 (Öhdəliklər)'!M109,List!M:N,2,0),"")</f>
      </c>
      <c r="O109" s="1"/>
      <c r="P109" s="36" t="str">
        <f>IFERROR(VLOOKUP('A2 (Öhdəliklər)'!O109,List!S:T,2,0),"")</f>
      </c>
      <c r="Q109" s="1"/>
      <c r="R109" s="36" t="str">
        <f>IFERROR(VLOOKUP('A2 (Öhdəliklər)'!Q109,List!K:L,2,0),"")</f>
      </c>
      <c r="S109" s="16"/>
      <c r="T109" s="16"/>
      <c r="U109" s="17"/>
      <c r="V109" s="17"/>
      <c r="W109" s="20"/>
      <c r="X109" s="18"/>
      <c r="Y109" s="1"/>
      <c r="Z109" s="36" t="str">
        <f>IFERROR(VLOOKUP('A2 (Öhdəliklər)'!Y109,List!O:P,2,0),"")</f>
      </c>
      <c r="AA109" s="19"/>
      <c r="AB109" s="19"/>
      <c r="AC109" s="37">
        <f t="shared" si="17"/>
        <v>0</v>
      </c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21"/>
      <c r="AZ109" s="36" t="str">
        <f>IFERROR(VLOOKUP('A2 (Öhdəliklər)'!AY109,List!Q:R,2,0),"")</f>
      </c>
      <c r="BA109" s="38">
        <f t="shared" si="18"/>
        <v>0</v>
      </c>
      <c r="BB109" s="38">
        <f t="shared" si="19"/>
        <v>0</v>
      </c>
      <c r="BC109" s="39">
        <f t="shared" si="20"/>
        <v>0</v>
      </c>
      <c r="BD109" s="39">
        <f t="shared" si="21"/>
        <v>0</v>
      </c>
      <c r="BE109" s="39">
        <f t="shared" si="22"/>
        <v>0</v>
      </c>
      <c r="BF109" s="39">
        <f t="shared" si="23"/>
        <v>0</v>
      </c>
      <c r="BG109" s="19"/>
      <c r="BH109" s="19"/>
      <c r="BI109" s="19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34"/>
      <c r="CA109" s="18"/>
      <c r="CB109" s="20"/>
      <c r="CC109" s="36" t="str">
        <f>IFERROR(VLOOKUP('A2 (Öhdəliklər)'!CB109,List!$Z$2:$AA$8,2,0),"")</f>
      </c>
      <c r="CD109" s="34"/>
    </row>
    <row r="110" ht="19.5" customHeight="1" s="112" customFormat="1">
      <c r="A110" s="111">
        <v>96</v>
      </c>
      <c r="B110" s="35" t="str">
        <f t="shared" si="16"/>
      </c>
      <c r="C110" s="32"/>
      <c r="D110" s="15"/>
      <c r="E110" s="1"/>
      <c r="F110" s="36" t="str">
        <f>IFERROR(VLOOKUP('A2 (Öhdəliklər)'!E110,List!A:B,2,0),"")</f>
      </c>
      <c r="G110" s="1"/>
      <c r="H110" s="36" t="str">
        <f>IFERROR(VLOOKUP('A2 (Öhdəliklər)'!G110,List!G:H,2,0),"")</f>
      </c>
      <c r="I110" s="1"/>
      <c r="J110" s="36" t="str">
        <f>IFERROR(VLOOKUP('A2 (Öhdəliklər)'!I110,List!C:D,2,0),"")</f>
      </c>
      <c r="K110" s="1"/>
      <c r="L110" s="36" t="str">
        <f>IFERROR(VLOOKUP('A2 (Öhdəliklər)'!K110,List!E:F,2,0),"")</f>
      </c>
      <c r="M110" s="1"/>
      <c r="N110" s="36" t="str">
        <f>IFERROR(VLOOKUP('A2 (Öhdəliklər)'!M110,List!M:N,2,0),"")</f>
      </c>
      <c r="O110" s="1"/>
      <c r="P110" s="36" t="str">
        <f>IFERROR(VLOOKUP('A2 (Öhdəliklər)'!O110,List!S:T,2,0),"")</f>
      </c>
      <c r="Q110" s="1"/>
      <c r="R110" s="36" t="str">
        <f>IFERROR(VLOOKUP('A2 (Öhdəliklər)'!Q110,List!K:L,2,0),"")</f>
      </c>
      <c r="S110" s="16"/>
      <c r="T110" s="16"/>
      <c r="U110" s="17"/>
      <c r="V110" s="17"/>
      <c r="W110" s="20"/>
      <c r="X110" s="18"/>
      <c r="Y110" s="1"/>
      <c r="Z110" s="36" t="str">
        <f>IFERROR(VLOOKUP('A2 (Öhdəliklər)'!Y110,List!O:P,2,0),"")</f>
      </c>
      <c r="AA110" s="19"/>
      <c r="AB110" s="19"/>
      <c r="AC110" s="37">
        <f t="shared" si="17"/>
        <v>0</v>
      </c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21"/>
      <c r="AZ110" s="36" t="str">
        <f>IFERROR(VLOOKUP('A2 (Öhdəliklər)'!AY110,List!Q:R,2,0),"")</f>
      </c>
      <c r="BA110" s="38">
        <f t="shared" si="18"/>
        <v>0</v>
      </c>
      <c r="BB110" s="38">
        <f t="shared" si="19"/>
        <v>0</v>
      </c>
      <c r="BC110" s="39">
        <f t="shared" si="20"/>
        <v>0</v>
      </c>
      <c r="BD110" s="39">
        <f t="shared" si="21"/>
        <v>0</v>
      </c>
      <c r="BE110" s="39">
        <f t="shared" si="22"/>
        <v>0</v>
      </c>
      <c r="BF110" s="39">
        <f t="shared" si="23"/>
        <v>0</v>
      </c>
      <c r="BG110" s="19"/>
      <c r="BH110" s="19"/>
      <c r="BI110" s="19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34"/>
      <c r="CA110" s="18"/>
      <c r="CB110" s="20"/>
      <c r="CC110" s="36" t="str">
        <f>IFERROR(VLOOKUP('A2 (Öhdəliklər)'!CB110,List!$Z$2:$AA$8,2,0),"")</f>
      </c>
      <c r="CD110" s="34"/>
    </row>
    <row r="111" ht="19.5" customHeight="1" s="112" customFormat="1">
      <c r="A111" s="111">
        <v>97</v>
      </c>
      <c r="B111" s="35" t="str">
        <f t="shared" si="16"/>
      </c>
      <c r="C111" s="32"/>
      <c r="D111" s="15"/>
      <c r="E111" s="1"/>
      <c r="F111" s="36" t="str">
        <f>IFERROR(VLOOKUP('A2 (Öhdəliklər)'!E111,List!A:B,2,0),"")</f>
      </c>
      <c r="G111" s="1"/>
      <c r="H111" s="36" t="str">
        <f>IFERROR(VLOOKUP('A2 (Öhdəliklər)'!G111,List!G:H,2,0),"")</f>
      </c>
      <c r="I111" s="1"/>
      <c r="J111" s="36" t="str">
        <f>IFERROR(VLOOKUP('A2 (Öhdəliklər)'!I111,List!C:D,2,0),"")</f>
      </c>
      <c r="K111" s="1"/>
      <c r="L111" s="36" t="str">
        <f>IFERROR(VLOOKUP('A2 (Öhdəliklər)'!K111,List!E:F,2,0),"")</f>
      </c>
      <c r="M111" s="1"/>
      <c r="N111" s="36" t="str">
        <f>IFERROR(VLOOKUP('A2 (Öhdəliklər)'!M111,List!M:N,2,0),"")</f>
      </c>
      <c r="O111" s="1"/>
      <c r="P111" s="36" t="str">
        <f>IFERROR(VLOOKUP('A2 (Öhdəliklər)'!O111,List!S:T,2,0),"")</f>
      </c>
      <c r="Q111" s="1"/>
      <c r="R111" s="36" t="str">
        <f>IFERROR(VLOOKUP('A2 (Öhdəliklər)'!Q111,List!K:L,2,0),"")</f>
      </c>
      <c r="S111" s="16"/>
      <c r="T111" s="16"/>
      <c r="U111" s="17"/>
      <c r="V111" s="17"/>
      <c r="W111" s="20"/>
      <c r="X111" s="18"/>
      <c r="Y111" s="1"/>
      <c r="Z111" s="36" t="str">
        <f>IFERROR(VLOOKUP('A2 (Öhdəliklər)'!Y111,List!O:P,2,0),"")</f>
      </c>
      <c r="AA111" s="19"/>
      <c r="AB111" s="19"/>
      <c r="AC111" s="37">
        <f t="shared" si="17"/>
        <v>0</v>
      </c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21"/>
      <c r="AZ111" s="36" t="str">
        <f>IFERROR(VLOOKUP('A2 (Öhdəliklər)'!AY111,List!Q:R,2,0),"")</f>
      </c>
      <c r="BA111" s="38">
        <f t="shared" si="18"/>
        <v>0</v>
      </c>
      <c r="BB111" s="38">
        <f t="shared" si="19"/>
        <v>0</v>
      </c>
      <c r="BC111" s="39">
        <f t="shared" si="20"/>
        <v>0</v>
      </c>
      <c r="BD111" s="39">
        <f t="shared" si="21"/>
        <v>0</v>
      </c>
      <c r="BE111" s="39">
        <f t="shared" si="22"/>
        <v>0</v>
      </c>
      <c r="BF111" s="39">
        <f t="shared" si="23"/>
        <v>0</v>
      </c>
      <c r="BG111" s="19"/>
      <c r="BH111" s="19"/>
      <c r="BI111" s="19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34"/>
      <c r="CA111" s="18"/>
      <c r="CB111" s="20"/>
      <c r="CC111" s="36" t="str">
        <f>IFERROR(VLOOKUP('A2 (Öhdəliklər)'!CB111,List!$Z$2:$AA$8,2,0),"")</f>
      </c>
      <c r="CD111" s="34"/>
    </row>
    <row r="112" ht="19.5" customHeight="1" s="112" customFormat="1">
      <c r="A112" s="111">
        <v>98</v>
      </c>
      <c r="B112" s="35" t="str">
        <f t="shared" si="16"/>
      </c>
      <c r="C112" s="32"/>
      <c r="D112" s="15"/>
      <c r="E112" s="1"/>
      <c r="F112" s="36" t="str">
        <f>IFERROR(VLOOKUP('A2 (Öhdəliklər)'!E112,List!A:B,2,0),"")</f>
      </c>
      <c r="G112" s="1"/>
      <c r="H112" s="36" t="str">
        <f>IFERROR(VLOOKUP('A2 (Öhdəliklər)'!G112,List!G:H,2,0),"")</f>
      </c>
      <c r="I112" s="1"/>
      <c r="J112" s="36" t="str">
        <f>IFERROR(VLOOKUP('A2 (Öhdəliklər)'!I112,List!C:D,2,0),"")</f>
      </c>
      <c r="K112" s="1"/>
      <c r="L112" s="36" t="str">
        <f>IFERROR(VLOOKUP('A2 (Öhdəliklər)'!K112,List!E:F,2,0),"")</f>
      </c>
      <c r="M112" s="1"/>
      <c r="N112" s="36" t="str">
        <f>IFERROR(VLOOKUP('A2 (Öhdəliklər)'!M112,List!M:N,2,0),"")</f>
      </c>
      <c r="O112" s="1"/>
      <c r="P112" s="36" t="str">
        <f>IFERROR(VLOOKUP('A2 (Öhdəliklər)'!O112,List!S:T,2,0),"")</f>
      </c>
      <c r="Q112" s="1"/>
      <c r="R112" s="36" t="str">
        <f>IFERROR(VLOOKUP('A2 (Öhdəliklər)'!Q112,List!K:L,2,0),"")</f>
      </c>
      <c r="S112" s="16"/>
      <c r="T112" s="16"/>
      <c r="U112" s="17"/>
      <c r="V112" s="17"/>
      <c r="W112" s="20"/>
      <c r="X112" s="18"/>
      <c r="Y112" s="1"/>
      <c r="Z112" s="36" t="str">
        <f>IFERROR(VLOOKUP('A2 (Öhdəliklər)'!Y112,List!O:P,2,0),"")</f>
      </c>
      <c r="AA112" s="19"/>
      <c r="AB112" s="19"/>
      <c r="AC112" s="37">
        <f t="shared" si="17"/>
        <v>0</v>
      </c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21"/>
      <c r="AZ112" s="36" t="str">
        <f>IFERROR(VLOOKUP('A2 (Öhdəliklər)'!AY112,List!Q:R,2,0),"")</f>
      </c>
      <c r="BA112" s="38">
        <f t="shared" si="18"/>
        <v>0</v>
      </c>
      <c r="BB112" s="38">
        <f t="shared" si="19"/>
        <v>0</v>
      </c>
      <c r="BC112" s="39">
        <f t="shared" si="20"/>
        <v>0</v>
      </c>
      <c r="BD112" s="39">
        <f t="shared" si="21"/>
        <v>0</v>
      </c>
      <c r="BE112" s="39">
        <f t="shared" si="22"/>
        <v>0</v>
      </c>
      <c r="BF112" s="39">
        <f t="shared" si="23"/>
        <v>0</v>
      </c>
      <c r="BG112" s="19"/>
      <c r="BH112" s="19"/>
      <c r="BI112" s="19"/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34"/>
      <c r="CA112" s="18"/>
      <c r="CB112" s="20"/>
      <c r="CC112" s="36" t="str">
        <f>IFERROR(VLOOKUP('A2 (Öhdəliklər)'!CB112,List!$Z$2:$AA$8,2,0),"")</f>
      </c>
      <c r="CD112" s="34"/>
    </row>
    <row r="113" ht="19.5" customHeight="1" s="112" customFormat="1">
      <c r="A113" s="111">
        <v>99</v>
      </c>
      <c r="B113" s="35" t="str">
        <f t="shared" si="16"/>
      </c>
      <c r="C113" s="32"/>
      <c r="D113" s="15"/>
      <c r="E113" s="1"/>
      <c r="F113" s="36" t="str">
        <f>IFERROR(VLOOKUP('A2 (Öhdəliklər)'!E113,List!A:B,2,0),"")</f>
      </c>
      <c r="G113" s="1"/>
      <c r="H113" s="36" t="str">
        <f>IFERROR(VLOOKUP('A2 (Öhdəliklər)'!G113,List!G:H,2,0),"")</f>
      </c>
      <c r="I113" s="1"/>
      <c r="J113" s="36" t="str">
        <f>IFERROR(VLOOKUP('A2 (Öhdəliklər)'!I113,List!C:D,2,0),"")</f>
      </c>
      <c r="K113" s="1"/>
      <c r="L113" s="36" t="str">
        <f>IFERROR(VLOOKUP('A2 (Öhdəliklər)'!K113,List!E:F,2,0),"")</f>
      </c>
      <c r="M113" s="1"/>
      <c r="N113" s="36" t="str">
        <f>IFERROR(VLOOKUP('A2 (Öhdəliklər)'!M113,List!M:N,2,0),"")</f>
      </c>
      <c r="O113" s="1"/>
      <c r="P113" s="36" t="str">
        <f>IFERROR(VLOOKUP('A2 (Öhdəliklər)'!O113,List!S:T,2,0),"")</f>
      </c>
      <c r="Q113" s="1"/>
      <c r="R113" s="36" t="str">
        <f>IFERROR(VLOOKUP('A2 (Öhdəliklər)'!Q113,List!K:L,2,0),"")</f>
      </c>
      <c r="S113" s="16"/>
      <c r="T113" s="16"/>
      <c r="U113" s="17"/>
      <c r="V113" s="17"/>
      <c r="W113" s="20"/>
      <c r="X113" s="18"/>
      <c r="Y113" s="1"/>
      <c r="Z113" s="36" t="str">
        <f>IFERROR(VLOOKUP('A2 (Öhdəliklər)'!Y113,List!O:P,2,0),"")</f>
      </c>
      <c r="AA113" s="19"/>
      <c r="AB113" s="19"/>
      <c r="AC113" s="37">
        <f t="shared" si="17"/>
        <v>0</v>
      </c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21"/>
      <c r="AZ113" s="36" t="str">
        <f>IFERROR(VLOOKUP('A2 (Öhdəliklər)'!AY113,List!Q:R,2,0),"")</f>
      </c>
      <c r="BA113" s="38">
        <f t="shared" si="18"/>
        <v>0</v>
      </c>
      <c r="BB113" s="38">
        <f t="shared" si="19"/>
        <v>0</v>
      </c>
      <c r="BC113" s="39">
        <f t="shared" si="20"/>
        <v>0</v>
      </c>
      <c r="BD113" s="39">
        <f t="shared" si="21"/>
        <v>0</v>
      </c>
      <c r="BE113" s="39">
        <f t="shared" si="22"/>
        <v>0</v>
      </c>
      <c r="BF113" s="39">
        <f t="shared" si="23"/>
        <v>0</v>
      </c>
      <c r="BG113" s="19"/>
      <c r="BH113" s="19"/>
      <c r="BI113" s="19"/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34"/>
      <c r="CA113" s="18"/>
      <c r="CB113" s="20"/>
      <c r="CC113" s="36" t="str">
        <f>IFERROR(VLOOKUP('A2 (Öhdəliklər)'!CB113,List!$Z$2:$AA$8,2,0),"")</f>
      </c>
      <c r="CD113" s="34"/>
    </row>
    <row r="114" ht="19.5" customHeight="1" s="112" customFormat="1">
      <c r="A114" s="111">
        <v>100</v>
      </c>
      <c r="B114" s="35" t="str">
        <f t="shared" si="16"/>
      </c>
      <c r="C114" s="32"/>
      <c r="D114" s="15"/>
      <c r="E114" s="1"/>
      <c r="F114" s="36" t="str">
        <f>IFERROR(VLOOKUP('A2 (Öhdəliklər)'!E114,List!A:B,2,0),"")</f>
      </c>
      <c r="G114" s="1"/>
      <c r="H114" s="36" t="str">
        <f>IFERROR(VLOOKUP('A2 (Öhdəliklər)'!G114,List!G:H,2,0),"")</f>
      </c>
      <c r="I114" s="1"/>
      <c r="J114" s="36" t="str">
        <f>IFERROR(VLOOKUP('A2 (Öhdəliklər)'!I114,List!C:D,2,0),"")</f>
      </c>
      <c r="K114" s="1"/>
      <c r="L114" s="36" t="str">
        <f>IFERROR(VLOOKUP('A2 (Öhdəliklər)'!K114,List!E:F,2,0),"")</f>
      </c>
      <c r="M114" s="1"/>
      <c r="N114" s="36" t="str">
        <f>IFERROR(VLOOKUP('A2 (Öhdəliklər)'!M114,List!M:N,2,0),"")</f>
      </c>
      <c r="O114" s="1"/>
      <c r="P114" s="36" t="str">
        <f>IFERROR(VLOOKUP('A2 (Öhdəliklər)'!O114,List!S:T,2,0),"")</f>
      </c>
      <c r="Q114" s="1"/>
      <c r="R114" s="36" t="str">
        <f>IFERROR(VLOOKUP('A2 (Öhdəliklər)'!Q114,List!K:L,2,0),"")</f>
      </c>
      <c r="S114" s="16"/>
      <c r="T114" s="16"/>
      <c r="U114" s="17"/>
      <c r="V114" s="17"/>
      <c r="W114" s="20"/>
      <c r="X114" s="18"/>
      <c r="Y114" s="1"/>
      <c r="Z114" s="36" t="str">
        <f>IFERROR(VLOOKUP('A2 (Öhdəliklər)'!Y114,List!O:P,2,0),"")</f>
      </c>
      <c r="AA114" s="19"/>
      <c r="AB114" s="19"/>
      <c r="AC114" s="37">
        <f t="shared" si="17"/>
        <v>0</v>
      </c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21"/>
      <c r="AZ114" s="36" t="str">
        <f>IFERROR(VLOOKUP('A2 (Öhdəliklər)'!AY114,List!Q:R,2,0),"")</f>
      </c>
      <c r="BA114" s="38">
        <f t="shared" si="18"/>
        <v>0</v>
      </c>
      <c r="BB114" s="38">
        <f t="shared" si="19"/>
        <v>0</v>
      </c>
      <c r="BC114" s="39">
        <f t="shared" si="20"/>
        <v>0</v>
      </c>
      <c r="BD114" s="39">
        <f t="shared" si="21"/>
        <v>0</v>
      </c>
      <c r="BE114" s="39">
        <f t="shared" si="22"/>
        <v>0</v>
      </c>
      <c r="BF114" s="39">
        <f t="shared" si="23"/>
        <v>0</v>
      </c>
      <c r="BG114" s="19"/>
      <c r="BH114" s="19"/>
      <c r="BI114" s="19"/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34"/>
      <c r="CA114" s="18"/>
      <c r="CB114" s="20"/>
      <c r="CC114" s="36" t="str">
        <f>IFERROR(VLOOKUP('A2 (Öhdəliklər)'!CB114,List!$Z$2:$AA$8,2,0),"")</f>
      </c>
      <c r="CD114" s="34"/>
    </row>
    <row r="115" ht="19.5" customHeight="1" s="112" customFormat="1">
      <c r="A115" s="111">
        <v>101</v>
      </c>
      <c r="B115" s="35" t="str">
        <f t="shared" si="16"/>
      </c>
      <c r="C115" s="32"/>
      <c r="D115" s="15"/>
      <c r="E115" s="1"/>
      <c r="F115" s="36" t="str">
        <f>IFERROR(VLOOKUP('A2 (Öhdəliklər)'!E115,List!A:B,2,0),"")</f>
      </c>
      <c r="G115" s="1"/>
      <c r="H115" s="36" t="str">
        <f>IFERROR(VLOOKUP('A2 (Öhdəliklər)'!G115,List!G:H,2,0),"")</f>
      </c>
      <c r="I115" s="1"/>
      <c r="J115" s="36" t="str">
        <f>IFERROR(VLOOKUP('A2 (Öhdəliklər)'!I115,List!C:D,2,0),"")</f>
      </c>
      <c r="K115" s="1"/>
      <c r="L115" s="36" t="str">
        <f>IFERROR(VLOOKUP('A2 (Öhdəliklər)'!K115,List!E:F,2,0),"")</f>
      </c>
      <c r="M115" s="1"/>
      <c r="N115" s="36" t="str">
        <f>IFERROR(VLOOKUP('A2 (Öhdəliklər)'!M115,List!M:N,2,0),"")</f>
      </c>
      <c r="O115" s="1"/>
      <c r="P115" s="36" t="str">
        <f>IFERROR(VLOOKUP('A2 (Öhdəliklər)'!O115,List!S:T,2,0),"")</f>
      </c>
      <c r="Q115" s="1"/>
      <c r="R115" s="36" t="str">
        <f>IFERROR(VLOOKUP('A2 (Öhdəliklər)'!Q115,List!K:L,2,0),"")</f>
      </c>
      <c r="S115" s="16"/>
      <c r="T115" s="16"/>
      <c r="U115" s="17"/>
      <c r="V115" s="17"/>
      <c r="W115" s="20"/>
      <c r="X115" s="18"/>
      <c r="Y115" s="1"/>
      <c r="Z115" s="36" t="str">
        <f>IFERROR(VLOOKUP('A2 (Öhdəliklər)'!Y115,List!O:P,2,0),"")</f>
      </c>
      <c r="AA115" s="19"/>
      <c r="AB115" s="19"/>
      <c r="AC115" s="37">
        <f t="shared" si="17"/>
        <v>0</v>
      </c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21"/>
      <c r="AZ115" s="36" t="str">
        <f>IFERROR(VLOOKUP('A2 (Öhdəliklər)'!AY115,List!Q:R,2,0),"")</f>
      </c>
      <c r="BA115" s="38">
        <f t="shared" si="18"/>
        <v>0</v>
      </c>
      <c r="BB115" s="38">
        <f t="shared" si="19"/>
        <v>0</v>
      </c>
      <c r="BC115" s="39">
        <f t="shared" si="20"/>
        <v>0</v>
      </c>
      <c r="BD115" s="39">
        <f t="shared" si="21"/>
        <v>0</v>
      </c>
      <c r="BE115" s="39">
        <f t="shared" si="22"/>
        <v>0</v>
      </c>
      <c r="BF115" s="39">
        <f t="shared" si="23"/>
        <v>0</v>
      </c>
      <c r="BG115" s="19"/>
      <c r="BH115" s="19"/>
      <c r="BI115" s="19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34"/>
      <c r="CA115" s="18"/>
      <c r="CB115" s="20"/>
      <c r="CC115" s="36" t="str">
        <f>IFERROR(VLOOKUP('A2 (Öhdəliklər)'!CB115,List!$Z$2:$AA$8,2,0),"")</f>
      </c>
      <c r="CD115" s="34"/>
    </row>
    <row r="116" ht="19.5" customHeight="1" s="112" customFormat="1">
      <c r="A116" s="111">
        <v>102</v>
      </c>
      <c r="B116" s="35" t="str">
        <f t="shared" si="16"/>
      </c>
      <c r="C116" s="32"/>
      <c r="D116" s="15"/>
      <c r="E116" s="1"/>
      <c r="F116" s="36" t="str">
        <f>IFERROR(VLOOKUP('A2 (Öhdəliklər)'!E116,List!A:B,2,0),"")</f>
      </c>
      <c r="G116" s="1"/>
      <c r="H116" s="36" t="str">
        <f>IFERROR(VLOOKUP('A2 (Öhdəliklər)'!G116,List!G:H,2,0),"")</f>
      </c>
      <c r="I116" s="1"/>
      <c r="J116" s="36" t="str">
        <f>IFERROR(VLOOKUP('A2 (Öhdəliklər)'!I116,List!C:D,2,0),"")</f>
      </c>
      <c r="K116" s="1"/>
      <c r="L116" s="36" t="str">
        <f>IFERROR(VLOOKUP('A2 (Öhdəliklər)'!K116,List!E:F,2,0),"")</f>
      </c>
      <c r="M116" s="1"/>
      <c r="N116" s="36" t="str">
        <f>IFERROR(VLOOKUP('A2 (Öhdəliklər)'!M116,List!M:N,2,0),"")</f>
      </c>
      <c r="O116" s="1"/>
      <c r="P116" s="36" t="str">
        <f>IFERROR(VLOOKUP('A2 (Öhdəliklər)'!O116,List!S:T,2,0),"")</f>
      </c>
      <c r="Q116" s="1"/>
      <c r="R116" s="36" t="str">
        <f>IFERROR(VLOOKUP('A2 (Öhdəliklər)'!Q116,List!K:L,2,0),"")</f>
      </c>
      <c r="S116" s="16"/>
      <c r="T116" s="16"/>
      <c r="U116" s="17"/>
      <c r="V116" s="17"/>
      <c r="W116" s="20"/>
      <c r="X116" s="18"/>
      <c r="Y116" s="1"/>
      <c r="Z116" s="36" t="str">
        <f>IFERROR(VLOOKUP('A2 (Öhdəliklər)'!Y116,List!O:P,2,0),"")</f>
      </c>
      <c r="AA116" s="19"/>
      <c r="AB116" s="19"/>
      <c r="AC116" s="37">
        <f t="shared" si="17"/>
        <v>0</v>
      </c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/>
      <c r="AY116" s="21"/>
      <c r="AZ116" s="36" t="str">
        <f>IFERROR(VLOOKUP('A2 (Öhdəliklər)'!AY116,List!Q:R,2,0),"")</f>
      </c>
      <c r="BA116" s="38">
        <f t="shared" si="18"/>
        <v>0</v>
      </c>
      <c r="BB116" s="38">
        <f t="shared" si="19"/>
        <v>0</v>
      </c>
      <c r="BC116" s="39">
        <f t="shared" si="20"/>
        <v>0</v>
      </c>
      <c r="BD116" s="39">
        <f t="shared" si="21"/>
        <v>0</v>
      </c>
      <c r="BE116" s="39">
        <f t="shared" si="22"/>
        <v>0</v>
      </c>
      <c r="BF116" s="39">
        <f t="shared" si="23"/>
        <v>0</v>
      </c>
      <c r="BG116" s="19"/>
      <c r="BH116" s="19"/>
      <c r="BI116" s="19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34"/>
      <c r="CA116" s="18"/>
      <c r="CB116" s="20"/>
      <c r="CC116" s="36" t="str">
        <f>IFERROR(VLOOKUP('A2 (Öhdəliklər)'!CB116,List!$Z$2:$AA$8,2,0),"")</f>
      </c>
      <c r="CD116" s="34"/>
    </row>
    <row r="117" ht="19.5" customHeight="1" s="112" customFormat="1">
      <c r="A117" s="111">
        <v>103</v>
      </c>
      <c r="B117" s="35" t="str">
        <f t="shared" si="16"/>
      </c>
      <c r="C117" s="32"/>
      <c r="D117" s="15"/>
      <c r="E117" s="1"/>
      <c r="F117" s="36" t="str">
        <f>IFERROR(VLOOKUP('A2 (Öhdəliklər)'!E117,List!A:B,2,0),"")</f>
      </c>
      <c r="G117" s="1"/>
      <c r="H117" s="36" t="str">
        <f>IFERROR(VLOOKUP('A2 (Öhdəliklər)'!G117,List!G:H,2,0),"")</f>
      </c>
      <c r="I117" s="1"/>
      <c r="J117" s="36" t="str">
        <f>IFERROR(VLOOKUP('A2 (Öhdəliklər)'!I117,List!C:D,2,0),"")</f>
      </c>
      <c r="K117" s="1"/>
      <c r="L117" s="36" t="str">
        <f>IFERROR(VLOOKUP('A2 (Öhdəliklər)'!K117,List!E:F,2,0),"")</f>
      </c>
      <c r="M117" s="1"/>
      <c r="N117" s="36" t="str">
        <f>IFERROR(VLOOKUP('A2 (Öhdəliklər)'!M117,List!M:N,2,0),"")</f>
      </c>
      <c r="O117" s="1"/>
      <c r="P117" s="36" t="str">
        <f>IFERROR(VLOOKUP('A2 (Öhdəliklər)'!O117,List!S:T,2,0),"")</f>
      </c>
      <c r="Q117" s="1"/>
      <c r="R117" s="36" t="str">
        <f>IFERROR(VLOOKUP('A2 (Öhdəliklər)'!Q117,List!K:L,2,0),"")</f>
      </c>
      <c r="S117" s="16"/>
      <c r="T117" s="16"/>
      <c r="U117" s="17"/>
      <c r="V117" s="17"/>
      <c r="W117" s="20"/>
      <c r="X117" s="18"/>
      <c r="Y117" s="1"/>
      <c r="Z117" s="36" t="str">
        <f>IFERROR(VLOOKUP('A2 (Öhdəliklər)'!Y117,List!O:P,2,0),"")</f>
      </c>
      <c r="AA117" s="19"/>
      <c r="AB117" s="19"/>
      <c r="AC117" s="37">
        <f t="shared" si="17"/>
        <v>0</v>
      </c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21"/>
      <c r="AZ117" s="36" t="str">
        <f>IFERROR(VLOOKUP('A2 (Öhdəliklər)'!AY117,List!Q:R,2,0),"")</f>
      </c>
      <c r="BA117" s="38">
        <f t="shared" si="18"/>
        <v>0</v>
      </c>
      <c r="BB117" s="38">
        <f t="shared" si="19"/>
        <v>0</v>
      </c>
      <c r="BC117" s="39">
        <f t="shared" si="20"/>
        <v>0</v>
      </c>
      <c r="BD117" s="39">
        <f t="shared" si="21"/>
        <v>0</v>
      </c>
      <c r="BE117" s="39">
        <f t="shared" si="22"/>
        <v>0</v>
      </c>
      <c r="BF117" s="39">
        <f t="shared" si="23"/>
        <v>0</v>
      </c>
      <c r="BG117" s="19"/>
      <c r="BH117" s="19"/>
      <c r="BI117" s="19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34"/>
      <c r="CA117" s="18"/>
      <c r="CB117" s="20"/>
      <c r="CC117" s="36" t="str">
        <f>IFERROR(VLOOKUP('A2 (Öhdəliklər)'!CB117,List!$Z$2:$AA$8,2,0),"")</f>
      </c>
      <c r="CD117" s="34"/>
    </row>
    <row r="118" ht="19.5" customHeight="1" s="112" customFormat="1">
      <c r="A118" s="111">
        <v>104</v>
      </c>
      <c r="B118" s="35" t="str">
        <f t="shared" si="16"/>
      </c>
      <c r="C118" s="32"/>
      <c r="D118" s="15"/>
      <c r="E118" s="1"/>
      <c r="F118" s="36" t="str">
        <f>IFERROR(VLOOKUP('A2 (Öhdəliklər)'!E118,List!A:B,2,0),"")</f>
      </c>
      <c r="G118" s="1"/>
      <c r="H118" s="36" t="str">
        <f>IFERROR(VLOOKUP('A2 (Öhdəliklər)'!G118,List!G:H,2,0),"")</f>
      </c>
      <c r="I118" s="1"/>
      <c r="J118" s="36" t="str">
        <f>IFERROR(VLOOKUP('A2 (Öhdəliklər)'!I118,List!C:D,2,0),"")</f>
      </c>
      <c r="K118" s="1"/>
      <c r="L118" s="36" t="str">
        <f>IFERROR(VLOOKUP('A2 (Öhdəliklər)'!K118,List!E:F,2,0),"")</f>
      </c>
      <c r="M118" s="1"/>
      <c r="N118" s="36" t="str">
        <f>IFERROR(VLOOKUP('A2 (Öhdəliklər)'!M118,List!M:N,2,0),"")</f>
      </c>
      <c r="O118" s="1"/>
      <c r="P118" s="36" t="str">
        <f>IFERROR(VLOOKUP('A2 (Öhdəliklər)'!O118,List!S:T,2,0),"")</f>
      </c>
      <c r="Q118" s="1"/>
      <c r="R118" s="36" t="str">
        <f>IFERROR(VLOOKUP('A2 (Öhdəliklər)'!Q118,List!K:L,2,0),"")</f>
      </c>
      <c r="S118" s="16"/>
      <c r="T118" s="16"/>
      <c r="U118" s="17"/>
      <c r="V118" s="17"/>
      <c r="W118" s="20"/>
      <c r="X118" s="18"/>
      <c r="Y118" s="1"/>
      <c r="Z118" s="36" t="str">
        <f>IFERROR(VLOOKUP('A2 (Öhdəliklər)'!Y118,List!O:P,2,0),"")</f>
      </c>
      <c r="AA118" s="19"/>
      <c r="AB118" s="19"/>
      <c r="AC118" s="37">
        <f t="shared" si="17"/>
        <v>0</v>
      </c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/>
      <c r="AY118" s="21"/>
      <c r="AZ118" s="36" t="str">
        <f>IFERROR(VLOOKUP('A2 (Öhdəliklər)'!AY118,List!Q:R,2,0),"")</f>
      </c>
      <c r="BA118" s="38">
        <f t="shared" si="18"/>
        <v>0</v>
      </c>
      <c r="BB118" s="38">
        <f t="shared" si="19"/>
        <v>0</v>
      </c>
      <c r="BC118" s="39">
        <f t="shared" si="20"/>
        <v>0</v>
      </c>
      <c r="BD118" s="39">
        <f t="shared" si="21"/>
        <v>0</v>
      </c>
      <c r="BE118" s="39">
        <f t="shared" si="22"/>
        <v>0</v>
      </c>
      <c r="BF118" s="39">
        <f t="shared" si="23"/>
        <v>0</v>
      </c>
      <c r="BG118" s="19"/>
      <c r="BH118" s="19"/>
      <c r="BI118" s="19"/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34"/>
      <c r="CA118" s="18"/>
      <c r="CB118" s="20"/>
      <c r="CC118" s="36" t="str">
        <f>IFERROR(VLOOKUP('A2 (Öhdəliklər)'!CB118,List!$Z$2:$AA$8,2,0),"")</f>
      </c>
      <c r="CD118" s="34"/>
    </row>
    <row r="119" ht="19.5" customHeight="1" s="112" customFormat="1">
      <c r="A119" s="111">
        <v>105</v>
      </c>
      <c r="B119" s="35" t="str">
        <f t="shared" si="16"/>
      </c>
      <c r="C119" s="32"/>
      <c r="D119" s="15"/>
      <c r="E119" s="1"/>
      <c r="F119" s="36" t="str">
        <f>IFERROR(VLOOKUP('A2 (Öhdəliklər)'!E119,List!A:B,2,0),"")</f>
      </c>
      <c r="G119" s="1"/>
      <c r="H119" s="36" t="str">
        <f>IFERROR(VLOOKUP('A2 (Öhdəliklər)'!G119,List!G:H,2,0),"")</f>
      </c>
      <c r="I119" s="1"/>
      <c r="J119" s="36" t="str">
        <f>IFERROR(VLOOKUP('A2 (Öhdəliklər)'!I119,List!C:D,2,0),"")</f>
      </c>
      <c r="K119" s="1"/>
      <c r="L119" s="36" t="str">
        <f>IFERROR(VLOOKUP('A2 (Öhdəliklər)'!K119,List!E:F,2,0),"")</f>
      </c>
      <c r="M119" s="1"/>
      <c r="N119" s="36" t="str">
        <f>IFERROR(VLOOKUP('A2 (Öhdəliklər)'!M119,List!M:N,2,0),"")</f>
      </c>
      <c r="O119" s="1"/>
      <c r="P119" s="36" t="str">
        <f>IFERROR(VLOOKUP('A2 (Öhdəliklər)'!O119,List!S:T,2,0),"")</f>
      </c>
      <c r="Q119" s="1"/>
      <c r="R119" s="36" t="str">
        <f>IFERROR(VLOOKUP('A2 (Öhdəliklər)'!Q119,List!K:L,2,0),"")</f>
      </c>
      <c r="S119" s="16"/>
      <c r="T119" s="16"/>
      <c r="U119" s="17"/>
      <c r="V119" s="17"/>
      <c r="W119" s="20"/>
      <c r="X119" s="18"/>
      <c r="Y119" s="1"/>
      <c r="Z119" s="36" t="str">
        <f>IFERROR(VLOOKUP('A2 (Öhdəliklər)'!Y119,List!O:P,2,0),"")</f>
      </c>
      <c r="AA119" s="19"/>
      <c r="AB119" s="19"/>
      <c r="AC119" s="37">
        <f t="shared" si="17"/>
        <v>0</v>
      </c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/>
      <c r="AY119" s="21"/>
      <c r="AZ119" s="36" t="str">
        <f>IFERROR(VLOOKUP('A2 (Öhdəliklər)'!AY119,List!Q:R,2,0),"")</f>
      </c>
      <c r="BA119" s="38">
        <f t="shared" si="18"/>
        <v>0</v>
      </c>
      <c r="BB119" s="38">
        <f t="shared" si="19"/>
        <v>0</v>
      </c>
      <c r="BC119" s="39">
        <f t="shared" si="20"/>
        <v>0</v>
      </c>
      <c r="BD119" s="39">
        <f t="shared" si="21"/>
        <v>0</v>
      </c>
      <c r="BE119" s="39">
        <f t="shared" si="22"/>
        <v>0</v>
      </c>
      <c r="BF119" s="39">
        <f t="shared" si="23"/>
        <v>0</v>
      </c>
      <c r="BG119" s="19"/>
      <c r="BH119" s="19"/>
      <c r="BI119" s="19"/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34"/>
      <c r="CA119" s="18"/>
      <c r="CB119" s="20"/>
      <c r="CC119" s="36" t="str">
        <f>IFERROR(VLOOKUP('A2 (Öhdəliklər)'!CB119,List!$Z$2:$AA$8,2,0),"")</f>
      </c>
      <c r="CD119" s="34"/>
    </row>
    <row r="120" ht="19.5" customHeight="1" s="112" customFormat="1">
      <c r="A120" s="111">
        <v>106</v>
      </c>
      <c r="B120" s="35" t="str">
        <f t="shared" si="16"/>
      </c>
      <c r="C120" s="32"/>
      <c r="D120" s="15"/>
      <c r="E120" s="1"/>
      <c r="F120" s="36" t="str">
        <f>IFERROR(VLOOKUP('A2 (Öhdəliklər)'!E120,List!A:B,2,0),"")</f>
      </c>
      <c r="G120" s="1"/>
      <c r="H120" s="36" t="str">
        <f>IFERROR(VLOOKUP('A2 (Öhdəliklər)'!G120,List!G:H,2,0),"")</f>
      </c>
      <c r="I120" s="1"/>
      <c r="J120" s="36" t="str">
        <f>IFERROR(VLOOKUP('A2 (Öhdəliklər)'!I120,List!C:D,2,0),"")</f>
      </c>
      <c r="K120" s="1"/>
      <c r="L120" s="36" t="str">
        <f>IFERROR(VLOOKUP('A2 (Öhdəliklər)'!K120,List!E:F,2,0),"")</f>
      </c>
      <c r="M120" s="1"/>
      <c r="N120" s="36" t="str">
        <f>IFERROR(VLOOKUP('A2 (Öhdəliklər)'!M120,List!M:N,2,0),"")</f>
      </c>
      <c r="O120" s="1"/>
      <c r="P120" s="36" t="str">
        <f>IFERROR(VLOOKUP('A2 (Öhdəliklər)'!O120,List!S:T,2,0),"")</f>
      </c>
      <c r="Q120" s="1"/>
      <c r="R120" s="36" t="str">
        <f>IFERROR(VLOOKUP('A2 (Öhdəliklər)'!Q120,List!K:L,2,0),"")</f>
      </c>
      <c r="S120" s="16"/>
      <c r="T120" s="16"/>
      <c r="U120" s="17"/>
      <c r="V120" s="17"/>
      <c r="W120" s="20"/>
      <c r="X120" s="18"/>
      <c r="Y120" s="1"/>
      <c r="Z120" s="36" t="str">
        <f>IFERROR(VLOOKUP('A2 (Öhdəliklər)'!Y120,List!O:P,2,0),"")</f>
      </c>
      <c r="AA120" s="19"/>
      <c r="AB120" s="19"/>
      <c r="AC120" s="37">
        <f t="shared" si="17"/>
        <v>0</v>
      </c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AY120" s="21"/>
      <c r="AZ120" s="36" t="str">
        <f>IFERROR(VLOOKUP('A2 (Öhdəliklər)'!AY120,List!Q:R,2,0),"")</f>
      </c>
      <c r="BA120" s="38">
        <f t="shared" si="18"/>
        <v>0</v>
      </c>
      <c r="BB120" s="38">
        <f t="shared" si="19"/>
        <v>0</v>
      </c>
      <c r="BC120" s="39">
        <f t="shared" si="20"/>
        <v>0</v>
      </c>
      <c r="BD120" s="39">
        <f t="shared" si="21"/>
        <v>0</v>
      </c>
      <c r="BE120" s="39">
        <f t="shared" si="22"/>
        <v>0</v>
      </c>
      <c r="BF120" s="39">
        <f t="shared" si="23"/>
        <v>0</v>
      </c>
      <c r="BG120" s="19"/>
      <c r="BH120" s="19"/>
      <c r="BI120" s="19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34"/>
      <c r="CA120" s="18"/>
      <c r="CB120" s="20"/>
      <c r="CC120" s="36" t="str">
        <f>IFERROR(VLOOKUP('A2 (Öhdəliklər)'!CB120,List!$Z$2:$AA$8,2,0),"")</f>
      </c>
      <c r="CD120" s="34"/>
    </row>
    <row r="121" ht="19.5" customHeight="1" s="112" customFormat="1">
      <c r="A121" s="111">
        <v>107</v>
      </c>
      <c r="B121" s="35" t="str">
        <f t="shared" si="16"/>
      </c>
      <c r="C121" s="32"/>
      <c r="D121" s="15"/>
      <c r="E121" s="1"/>
      <c r="F121" s="36" t="str">
        <f>IFERROR(VLOOKUP('A2 (Öhdəliklər)'!E121,List!A:B,2,0),"")</f>
      </c>
      <c r="G121" s="1"/>
      <c r="H121" s="36" t="str">
        <f>IFERROR(VLOOKUP('A2 (Öhdəliklər)'!G121,List!G:H,2,0),"")</f>
      </c>
      <c r="I121" s="1"/>
      <c r="J121" s="36" t="str">
        <f>IFERROR(VLOOKUP('A2 (Öhdəliklər)'!I121,List!C:D,2,0),"")</f>
      </c>
      <c r="K121" s="1"/>
      <c r="L121" s="36" t="str">
        <f>IFERROR(VLOOKUP('A2 (Öhdəliklər)'!K121,List!E:F,2,0),"")</f>
      </c>
      <c r="M121" s="1"/>
      <c r="N121" s="36" t="str">
        <f>IFERROR(VLOOKUP('A2 (Öhdəliklər)'!M121,List!M:N,2,0),"")</f>
      </c>
      <c r="O121" s="1"/>
      <c r="P121" s="36" t="str">
        <f>IFERROR(VLOOKUP('A2 (Öhdəliklər)'!O121,List!S:T,2,0),"")</f>
      </c>
      <c r="Q121" s="1"/>
      <c r="R121" s="36" t="str">
        <f>IFERROR(VLOOKUP('A2 (Öhdəliklər)'!Q121,List!K:L,2,0),"")</f>
      </c>
      <c r="S121" s="16"/>
      <c r="T121" s="16"/>
      <c r="U121" s="17"/>
      <c r="V121" s="17"/>
      <c r="W121" s="20"/>
      <c r="X121" s="18"/>
      <c r="Y121" s="1"/>
      <c r="Z121" s="36" t="str">
        <f>IFERROR(VLOOKUP('A2 (Öhdəliklər)'!Y121,List!O:P,2,0),"")</f>
      </c>
      <c r="AA121" s="19"/>
      <c r="AB121" s="19"/>
      <c r="AC121" s="37">
        <f t="shared" si="17"/>
        <v>0</v>
      </c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/>
      <c r="AY121" s="21"/>
      <c r="AZ121" s="36" t="str">
        <f>IFERROR(VLOOKUP('A2 (Öhdəliklər)'!AY121,List!Q:R,2,0),"")</f>
      </c>
      <c r="BA121" s="38">
        <f t="shared" si="18"/>
        <v>0</v>
      </c>
      <c r="BB121" s="38">
        <f t="shared" si="19"/>
        <v>0</v>
      </c>
      <c r="BC121" s="39">
        <f t="shared" si="20"/>
        <v>0</v>
      </c>
      <c r="BD121" s="39">
        <f t="shared" si="21"/>
        <v>0</v>
      </c>
      <c r="BE121" s="39">
        <f t="shared" si="22"/>
        <v>0</v>
      </c>
      <c r="BF121" s="39">
        <f t="shared" si="23"/>
        <v>0</v>
      </c>
      <c r="BG121" s="19"/>
      <c r="BH121" s="19"/>
      <c r="BI121" s="19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34"/>
      <c r="CA121" s="18"/>
      <c r="CB121" s="20"/>
      <c r="CC121" s="36" t="str">
        <f>IFERROR(VLOOKUP('A2 (Öhdəliklər)'!CB121,List!$Z$2:$AA$8,2,0),"")</f>
      </c>
      <c r="CD121" s="34"/>
    </row>
    <row r="122" ht="19.5" customHeight="1" s="112" customFormat="1">
      <c r="A122" s="111">
        <v>108</v>
      </c>
      <c r="B122" s="35" t="str">
        <f t="shared" si="16"/>
      </c>
      <c r="C122" s="32"/>
      <c r="D122" s="15"/>
      <c r="E122" s="1"/>
      <c r="F122" s="36" t="str">
        <f>IFERROR(VLOOKUP('A2 (Öhdəliklər)'!E122,List!A:B,2,0),"")</f>
      </c>
      <c r="G122" s="1"/>
      <c r="H122" s="36" t="str">
        <f>IFERROR(VLOOKUP('A2 (Öhdəliklər)'!G122,List!G:H,2,0),"")</f>
      </c>
      <c r="I122" s="1"/>
      <c r="J122" s="36" t="str">
        <f>IFERROR(VLOOKUP('A2 (Öhdəliklər)'!I122,List!C:D,2,0),"")</f>
      </c>
      <c r="K122" s="1"/>
      <c r="L122" s="36" t="str">
        <f>IFERROR(VLOOKUP('A2 (Öhdəliklər)'!K122,List!E:F,2,0),"")</f>
      </c>
      <c r="M122" s="1"/>
      <c r="N122" s="36" t="str">
        <f>IFERROR(VLOOKUP('A2 (Öhdəliklər)'!M122,List!M:N,2,0),"")</f>
      </c>
      <c r="O122" s="1"/>
      <c r="P122" s="36" t="str">
        <f>IFERROR(VLOOKUP('A2 (Öhdəliklər)'!O122,List!S:T,2,0),"")</f>
      </c>
      <c r="Q122" s="1"/>
      <c r="R122" s="36" t="str">
        <f>IFERROR(VLOOKUP('A2 (Öhdəliklər)'!Q122,List!K:L,2,0),"")</f>
      </c>
      <c r="S122" s="16"/>
      <c r="T122" s="16"/>
      <c r="U122" s="17"/>
      <c r="V122" s="17"/>
      <c r="W122" s="20"/>
      <c r="X122" s="18"/>
      <c r="Y122" s="1"/>
      <c r="Z122" s="36" t="str">
        <f>IFERROR(VLOOKUP('A2 (Öhdəliklər)'!Y122,List!O:P,2,0),"")</f>
      </c>
      <c r="AA122" s="19"/>
      <c r="AB122" s="19"/>
      <c r="AC122" s="37">
        <f t="shared" si="17"/>
        <v>0</v>
      </c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AY122" s="21"/>
      <c r="AZ122" s="36" t="str">
        <f>IFERROR(VLOOKUP('A2 (Öhdəliklər)'!AY122,List!Q:R,2,0),"")</f>
      </c>
      <c r="BA122" s="38">
        <f t="shared" si="18"/>
        <v>0</v>
      </c>
      <c r="BB122" s="38">
        <f t="shared" si="19"/>
        <v>0</v>
      </c>
      <c r="BC122" s="39">
        <f t="shared" si="20"/>
        <v>0</v>
      </c>
      <c r="BD122" s="39">
        <f t="shared" si="21"/>
        <v>0</v>
      </c>
      <c r="BE122" s="39">
        <f t="shared" si="22"/>
        <v>0</v>
      </c>
      <c r="BF122" s="39">
        <f t="shared" si="23"/>
        <v>0</v>
      </c>
      <c r="BG122" s="19"/>
      <c r="BH122" s="19"/>
      <c r="BI122" s="19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34"/>
      <c r="CA122" s="18"/>
      <c r="CB122" s="20"/>
      <c r="CC122" s="36" t="str">
        <f>IFERROR(VLOOKUP('A2 (Öhdəliklər)'!CB122,List!$Z$2:$AA$8,2,0),"")</f>
      </c>
      <c r="CD122" s="34"/>
    </row>
    <row r="123" ht="19.5" customHeight="1" s="112" customFormat="1">
      <c r="A123" s="111">
        <v>109</v>
      </c>
      <c r="B123" s="35" t="str">
        <f t="shared" si="16"/>
      </c>
      <c r="C123" s="32"/>
      <c r="D123" s="15"/>
      <c r="E123" s="1"/>
      <c r="F123" s="36" t="str">
        <f>IFERROR(VLOOKUP('A2 (Öhdəliklər)'!E123,List!A:B,2,0),"")</f>
      </c>
      <c r="G123" s="1"/>
      <c r="H123" s="36" t="str">
        <f>IFERROR(VLOOKUP('A2 (Öhdəliklər)'!G123,List!G:H,2,0),"")</f>
      </c>
      <c r="I123" s="1"/>
      <c r="J123" s="36" t="str">
        <f>IFERROR(VLOOKUP('A2 (Öhdəliklər)'!I123,List!C:D,2,0),"")</f>
      </c>
      <c r="K123" s="1"/>
      <c r="L123" s="36" t="str">
        <f>IFERROR(VLOOKUP('A2 (Öhdəliklər)'!K123,List!E:F,2,0),"")</f>
      </c>
      <c r="M123" s="1"/>
      <c r="N123" s="36" t="str">
        <f>IFERROR(VLOOKUP('A2 (Öhdəliklər)'!M123,List!M:N,2,0),"")</f>
      </c>
      <c r="O123" s="1"/>
      <c r="P123" s="36" t="str">
        <f>IFERROR(VLOOKUP('A2 (Öhdəliklər)'!O123,List!S:T,2,0),"")</f>
      </c>
      <c r="Q123" s="1"/>
      <c r="R123" s="36" t="str">
        <f>IFERROR(VLOOKUP('A2 (Öhdəliklər)'!Q123,List!K:L,2,0),"")</f>
      </c>
      <c r="S123" s="16"/>
      <c r="T123" s="16"/>
      <c r="U123" s="17"/>
      <c r="V123" s="17"/>
      <c r="W123" s="20"/>
      <c r="X123" s="18"/>
      <c r="Y123" s="1"/>
      <c r="Z123" s="36" t="str">
        <f>IFERROR(VLOOKUP('A2 (Öhdəliklər)'!Y123,List!O:P,2,0),"")</f>
      </c>
      <c r="AA123" s="19"/>
      <c r="AB123" s="19"/>
      <c r="AC123" s="37">
        <f t="shared" si="17"/>
        <v>0</v>
      </c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/>
      <c r="AY123" s="21"/>
      <c r="AZ123" s="36" t="str">
        <f>IFERROR(VLOOKUP('A2 (Öhdəliklər)'!AY123,List!Q:R,2,0),"")</f>
      </c>
      <c r="BA123" s="38">
        <f t="shared" si="18"/>
        <v>0</v>
      </c>
      <c r="BB123" s="38">
        <f t="shared" si="19"/>
        <v>0</v>
      </c>
      <c r="BC123" s="39">
        <f t="shared" si="20"/>
        <v>0</v>
      </c>
      <c r="BD123" s="39">
        <f t="shared" si="21"/>
        <v>0</v>
      </c>
      <c r="BE123" s="39">
        <f t="shared" si="22"/>
        <v>0</v>
      </c>
      <c r="BF123" s="39">
        <f t="shared" si="23"/>
        <v>0</v>
      </c>
      <c r="BG123" s="19"/>
      <c r="BH123" s="19"/>
      <c r="BI123" s="19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34"/>
      <c r="CA123" s="18"/>
      <c r="CB123" s="20"/>
      <c r="CC123" s="36" t="str">
        <f>IFERROR(VLOOKUP('A2 (Öhdəliklər)'!CB123,List!$Z$2:$AA$8,2,0),"")</f>
      </c>
      <c r="CD123" s="34"/>
    </row>
    <row r="124" ht="19.5" customHeight="1" s="112" customFormat="1">
      <c r="A124" s="111">
        <v>110</v>
      </c>
      <c r="B124" s="35" t="str">
        <f t="shared" si="16"/>
      </c>
      <c r="C124" s="32"/>
      <c r="D124" s="15"/>
      <c r="E124" s="1"/>
      <c r="F124" s="36" t="str">
        <f>IFERROR(VLOOKUP('A2 (Öhdəliklər)'!E124,List!A:B,2,0),"")</f>
      </c>
      <c r="G124" s="1"/>
      <c r="H124" s="36" t="str">
        <f>IFERROR(VLOOKUP('A2 (Öhdəliklər)'!G124,List!G:H,2,0),"")</f>
      </c>
      <c r="I124" s="1"/>
      <c r="J124" s="36" t="str">
        <f>IFERROR(VLOOKUP('A2 (Öhdəliklər)'!I124,List!C:D,2,0),"")</f>
      </c>
      <c r="K124" s="1"/>
      <c r="L124" s="36" t="str">
        <f>IFERROR(VLOOKUP('A2 (Öhdəliklər)'!K124,List!E:F,2,0),"")</f>
      </c>
      <c r="M124" s="1"/>
      <c r="N124" s="36" t="str">
        <f>IFERROR(VLOOKUP('A2 (Öhdəliklər)'!M124,List!M:N,2,0),"")</f>
      </c>
      <c r="O124" s="1"/>
      <c r="P124" s="36" t="str">
        <f>IFERROR(VLOOKUP('A2 (Öhdəliklər)'!O124,List!S:T,2,0),"")</f>
      </c>
      <c r="Q124" s="1"/>
      <c r="R124" s="36" t="str">
        <f>IFERROR(VLOOKUP('A2 (Öhdəliklər)'!Q124,List!K:L,2,0),"")</f>
      </c>
      <c r="S124" s="16"/>
      <c r="T124" s="16"/>
      <c r="U124" s="17"/>
      <c r="V124" s="17"/>
      <c r="W124" s="20"/>
      <c r="X124" s="18"/>
      <c r="Y124" s="1"/>
      <c r="Z124" s="36" t="str">
        <f>IFERROR(VLOOKUP('A2 (Öhdəliklər)'!Y124,List!O:P,2,0),"")</f>
      </c>
      <c r="AA124" s="19"/>
      <c r="AB124" s="19"/>
      <c r="AC124" s="37">
        <f t="shared" si="17"/>
        <v>0</v>
      </c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21"/>
      <c r="AZ124" s="36" t="str">
        <f>IFERROR(VLOOKUP('A2 (Öhdəliklər)'!AY124,List!Q:R,2,0),"")</f>
      </c>
      <c r="BA124" s="38">
        <f t="shared" si="18"/>
        <v>0</v>
      </c>
      <c r="BB124" s="38">
        <f t="shared" si="19"/>
        <v>0</v>
      </c>
      <c r="BC124" s="39">
        <f t="shared" si="20"/>
        <v>0</v>
      </c>
      <c r="BD124" s="39">
        <f t="shared" si="21"/>
        <v>0</v>
      </c>
      <c r="BE124" s="39">
        <f t="shared" si="22"/>
        <v>0</v>
      </c>
      <c r="BF124" s="39">
        <f t="shared" si="23"/>
        <v>0</v>
      </c>
      <c r="BG124" s="19"/>
      <c r="BH124" s="19"/>
      <c r="BI124" s="19"/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34"/>
      <c r="CA124" s="18"/>
      <c r="CB124" s="20"/>
      <c r="CC124" s="36" t="str">
        <f>IFERROR(VLOOKUP('A2 (Öhdəliklər)'!CB124,List!$Z$2:$AA$8,2,0),"")</f>
      </c>
      <c r="CD124" s="34"/>
    </row>
    <row r="125" ht="19.5" customHeight="1" s="112" customFormat="1">
      <c r="A125" s="111">
        <v>111</v>
      </c>
      <c r="B125" s="35" t="str">
        <f t="shared" si="16"/>
      </c>
      <c r="C125" s="32"/>
      <c r="D125" s="15"/>
      <c r="E125" s="1"/>
      <c r="F125" s="36" t="str">
        <f>IFERROR(VLOOKUP('A2 (Öhdəliklər)'!E125,List!A:B,2,0),"")</f>
      </c>
      <c r="G125" s="1"/>
      <c r="H125" s="36" t="str">
        <f>IFERROR(VLOOKUP('A2 (Öhdəliklər)'!G125,List!G:H,2,0),"")</f>
      </c>
      <c r="I125" s="1"/>
      <c r="J125" s="36" t="str">
        <f>IFERROR(VLOOKUP('A2 (Öhdəliklər)'!I125,List!C:D,2,0),"")</f>
      </c>
      <c r="K125" s="1"/>
      <c r="L125" s="36" t="str">
        <f>IFERROR(VLOOKUP('A2 (Öhdəliklər)'!K125,List!E:F,2,0),"")</f>
      </c>
      <c r="M125" s="1"/>
      <c r="N125" s="36" t="str">
        <f>IFERROR(VLOOKUP('A2 (Öhdəliklər)'!M125,List!M:N,2,0),"")</f>
      </c>
      <c r="O125" s="1"/>
      <c r="P125" s="36" t="str">
        <f>IFERROR(VLOOKUP('A2 (Öhdəliklər)'!O125,List!S:T,2,0),"")</f>
      </c>
      <c r="Q125" s="1"/>
      <c r="R125" s="36" t="str">
        <f>IFERROR(VLOOKUP('A2 (Öhdəliklər)'!Q125,List!K:L,2,0),"")</f>
      </c>
      <c r="S125" s="16"/>
      <c r="T125" s="16"/>
      <c r="U125" s="17"/>
      <c r="V125" s="17"/>
      <c r="W125" s="20"/>
      <c r="X125" s="18"/>
      <c r="Y125" s="1"/>
      <c r="Z125" s="36" t="str">
        <f>IFERROR(VLOOKUP('A2 (Öhdəliklər)'!Y125,List!O:P,2,0),"")</f>
      </c>
      <c r="AA125" s="19"/>
      <c r="AB125" s="19"/>
      <c r="AC125" s="37">
        <f t="shared" si="17"/>
        <v>0</v>
      </c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AY125" s="21"/>
      <c r="AZ125" s="36" t="str">
        <f>IFERROR(VLOOKUP('A2 (Öhdəliklər)'!AY125,List!Q:R,2,0),"")</f>
      </c>
      <c r="BA125" s="38">
        <f t="shared" si="18"/>
        <v>0</v>
      </c>
      <c r="BB125" s="38">
        <f t="shared" si="19"/>
        <v>0</v>
      </c>
      <c r="BC125" s="39">
        <f t="shared" si="20"/>
        <v>0</v>
      </c>
      <c r="BD125" s="39">
        <f t="shared" si="21"/>
        <v>0</v>
      </c>
      <c r="BE125" s="39">
        <f t="shared" si="22"/>
        <v>0</v>
      </c>
      <c r="BF125" s="39">
        <f t="shared" si="23"/>
        <v>0</v>
      </c>
      <c r="BG125" s="19"/>
      <c r="BH125" s="19"/>
      <c r="BI125" s="19"/>
      <c r="BJ125" s="19"/>
      <c r="BK125" s="19"/>
      <c r="BL125" s="19"/>
      <c r="BM125" s="19"/>
      <c r="BN125" s="19"/>
      <c r="BO125" s="19"/>
      <c r="BP125" s="19"/>
      <c r="BQ125" s="19"/>
      <c r="BR125" s="19"/>
      <c r="BS125" s="19"/>
      <c r="BT125" s="19"/>
      <c r="BU125" s="19"/>
      <c r="BV125" s="19"/>
      <c r="BW125" s="19"/>
      <c r="BX125" s="19"/>
      <c r="BY125" s="19"/>
      <c r="BZ125" s="34"/>
      <c r="CA125" s="18"/>
      <c r="CB125" s="20"/>
      <c r="CC125" s="36" t="str">
        <f>IFERROR(VLOOKUP('A2 (Öhdəliklər)'!CB125,List!$Z$2:$AA$8,2,0),"")</f>
      </c>
      <c r="CD125" s="34"/>
    </row>
    <row r="127">
      <c r="AR127" s="113"/>
    </row>
    <row r="131">
      <c r="AN131" s="113"/>
      <c r="AT131" s="114"/>
    </row>
    <row r="132">
      <c r="AL132" s="113"/>
    </row>
  </sheetData>
  <sheetProtection algorithmName="SHA-512" hashValue="ZSfonhQsmqXkUDxaPAQFVtlh+NhaGSuM9NzZFyZHQuqf0rC1iVizq59Lu4hsdCoP/Bi5I/9253P1HhHX/OPyEw==" saltValue="UwODhnjpjaxaeIiXJsxJZw==" spinCount="100000" sheet="1" formatColumns="0"/>
  <protectedRanges>
    <protectedRange sqref="AD15:AX125 AA15:AB125 BG15:BY125" name="Range1_1_1_1"/>
    <protectedRange sqref="CD15:CD125" name="Range2_1"/>
    <protectedRange sqref="C15:C125" name="Range1_1_1"/>
    <protectedRange sqref="BZ15:BZ125" name="Range2_1_2"/>
  </protectedRanges>
  <mergeCells>
    <mergeCell ref="CA11:CA13"/>
    <mergeCell ref="AH11:AQ11"/>
    <mergeCell ref="AR11:AS12"/>
    <mergeCell ref="AY11:AZ12"/>
    <mergeCell ref="BX12:BY12"/>
    <mergeCell ref="BL12:BM12"/>
    <mergeCell ref="BN12:BO12"/>
    <mergeCell ref="BP12:BQ12"/>
    <mergeCell ref="BA11:BI11"/>
    <mergeCell ref="BD12:BD13"/>
    <mergeCell ref="BE12:BE13"/>
    <mergeCell ref="AV12:AV13"/>
    <mergeCell ref="BT11:BW11"/>
    <mergeCell ref="BJ11:BK12"/>
    <mergeCell ref="BL11:BS11"/>
    <mergeCell ref="AT12:AT13"/>
    <mergeCell ref="CB11:CC12"/>
    <mergeCell ref="CD11:CD13"/>
    <mergeCell ref="AU12:AU13"/>
    <mergeCell ref="BB12:BB13"/>
    <mergeCell ref="BA12:BA13"/>
    <mergeCell ref="BC12:BC13"/>
    <mergeCell ref="BF12:BF13"/>
    <mergeCell ref="BR12:BS12"/>
    <mergeCell ref="BT12:BU12"/>
    <mergeCell ref="BV12:BW12"/>
    <mergeCell ref="AW12:AW13"/>
    <mergeCell ref="AX12:AX13"/>
    <mergeCell ref="BG12:BI12"/>
    <mergeCell ref="BX11:BY11"/>
    <mergeCell ref="BZ11:BZ13"/>
    <mergeCell ref="AT11:AX11"/>
    <mergeCell ref="A7:B7"/>
    <mergeCell ref="C7:D7"/>
    <mergeCell ref="G7:I7"/>
    <mergeCell ref="A11:A13"/>
    <mergeCell ref="B11:B13"/>
    <mergeCell ref="C11:C13"/>
    <mergeCell ref="D11:D13"/>
    <mergeCell ref="E11:F12"/>
    <mergeCell ref="G11:H12"/>
    <mergeCell ref="I11:J12"/>
    <mergeCell ref="A4:B4"/>
    <mergeCell ref="G4:I4"/>
    <mergeCell ref="A5:B5"/>
    <mergeCell ref="G5:I5"/>
    <mergeCell ref="A6:B6"/>
    <mergeCell ref="G6:I6"/>
    <mergeCell ref="W11:W13"/>
    <mergeCell ref="X11:X13"/>
    <mergeCell ref="G1:I1"/>
    <mergeCell ref="G2:I2"/>
    <mergeCell ref="G3:I3"/>
    <mergeCell ref="K11:L12"/>
    <mergeCell ref="M11:N12"/>
    <mergeCell ref="AH12:AL12"/>
    <mergeCell ref="AM12:AQ12"/>
    <mergeCell ref="O11:P12"/>
    <mergeCell ref="Q11:R12"/>
    <mergeCell ref="Y11:Z12"/>
    <mergeCell ref="AC12:AC13"/>
    <mergeCell ref="AB12:AB13"/>
    <mergeCell ref="AA11:AG11"/>
    <mergeCell ref="AA12:AA13"/>
    <mergeCell ref="AD12:AD13"/>
    <mergeCell ref="AF12:AF13"/>
    <mergeCell ref="AG12:AG13"/>
    <mergeCell ref="AE12:AE13"/>
    <mergeCell ref="S11:T12"/>
    <mergeCell ref="U11:U13"/>
    <mergeCell ref="V11:V13"/>
  </mergeCells>
  <dataValidations count="19">
    <dataValidation type="decimal" allowBlank="1" showInputMessage="1" showErrorMessage="1" errorTitle="Diqqət!" error="Ədədi düzgün daxil edin!" sqref="AP126:AS65646 AP1:AS10 AT11:AX11 AR15:AX125 AK15:AK125" xr:uid="{4D4935A3-9E00-4856-95BB-33A84964C314}">
      <formula1>-1000000000000</formula1>
      <formula2>1000000000000</formula2>
    </dataValidation>
    <dataValidation allowBlank="1" showInputMessage="1" showErrorMessage="1" errorTitle="Diqqət!" error="Ədədi düzgün daxil edin!" sqref="AV12:AX13" xr:uid="{126798A7-4AE1-44E0-901B-3390FC916112}"/>
    <dataValidation type="decimal" allowBlank="1" showInputMessage="1" showErrorMessage="1" errorTitle="Diqqət!" error="Ədədi düzgün daxil edin!" sqref="AL15:AQ125 AA15:AB125 BG15:BY125 AD15:AJ125" xr:uid="{42035298-4BE1-45B8-828C-3520DBA09B53}">
      <formula1>0</formula1>
      <formula2>1000000000000</formula2>
    </dataValidation>
    <dataValidation type="date" allowBlank="1" showInputMessage="1" showErrorMessage="1" errorTitle="Diqqət!" error="Tarixi düzgün daxil edin!" sqref="U15:V125" xr:uid="{F78415C4-8044-421C-830B-D806E9C22FF4}">
      <formula1>34318</formula1>
      <formula2>73415</formula2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S15:T125" xr:uid="{2188C085-9D86-4801-A1C4-7A9628AE6F07}">
      <formula1>0</formula1>
      <formula2>1</formula2>
    </dataValidation>
    <dataValidation type="decimal" operator="greaterThan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W15:W125" xr:uid="{805CC30D-5C75-4370-AA6F-C1126328C08C}">
      <formula1>0</formula1>
    </dataValidation>
    <dataValidation type="whole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D15:D125" xr:uid="{5F564533-D4AB-40A4-9E52-498CC5986FB8}">
      <formula1>0</formula1>
      <formula2>999999999999999</formula2>
    </dataValidation>
    <dataValidation type="list" allowBlank="1" showInputMessage="1" showErrorMessage="1" sqref="E15:E125" xr:uid="{0EF28C12-5B05-4978-BCDA-D09619F1BBF2}">
      <formula1>investisiya_bolme_adi</formula1>
    </dataValidation>
    <dataValidation type="list" allowBlank="1" showInputMessage="1" showErrorMessage="1" sqref="G15:G125" xr:uid="{F08F2D89-8CCC-4CF4-BECF-21687181DEAD}">
      <formula1>investisiya_madde2</formula1>
    </dataValidation>
    <dataValidation type="list" allowBlank="1" showInputMessage="1" showErrorMessage="1" sqref="I15:I125" xr:uid="{BBBD5392-26EE-4F64-B534-C44453C872B0}">
      <formula1>qeyrirezident_elaqe</formula1>
    </dataValidation>
    <dataValidation type="list" allowBlank="1" showInputMessage="1" showErrorMessage="1" sqref="K15:K125" xr:uid="{28671E42-4B20-4ADA-862C-9C45109DDD57}">
      <formula1>qeyrirezident_sektor</formula1>
    </dataValidation>
    <dataValidation type="list" allowBlank="1" showInputMessage="1" showErrorMessage="1" sqref="M15:M125" xr:uid="{CE7126B6-4AD6-4C3C-9106-F3E4D5A05839}">
      <formula1>Country</formula1>
    </dataValidation>
    <dataValidation type="list" allowBlank="1" showInputMessage="1" showErrorMessage="1" sqref="O15:O125" xr:uid="{CA32C769-2899-46DD-AE9C-EE9863037A1F}">
      <formula1>valyuta</formula1>
    </dataValidation>
    <dataValidation type="list" allowBlank="1" showInputMessage="1" showErrorMessage="1" sqref="Q15:Q125" xr:uid="{C884C9CD-7FC0-4B26-A8DA-DC6538FCAF72}">
      <formula1>restrukturizasiya</formula1>
    </dataValidation>
    <dataValidation type="list" allowBlank="1" showInputMessage="1" showErrorMessage="1" sqref="Y15:Y125" xr:uid="{CFD7E56E-E72A-4499-8FB6-B3E601F9C89A}">
      <formula1>faiz_novu</formula1>
    </dataValidation>
    <dataValidation type="list" allowBlank="1" showInputMessage="1" showErrorMessage="1" sqref="AY15:AY125" xr:uid="{F5779B8C-F4FF-4BBE-8346-ECA911EC2211}">
      <formula1>diger_deyishiklik</formula1>
    </dataValidation>
    <dataValidation type="list" allowBlank="1" showInputMessage="1" showErrorMessage="1" sqref="CB15:CB125" xr:uid="{DFD8EDB3-0046-4077-A3D0-1F599270F796}">
      <formula1>kupon_muddet</formula1>
    </dataValidation>
    <dataValidation type="list" allowBlank="1" showInputMessage="1" showErrorMessage="1" sqref="BZ15:BZ125" xr:uid="{8853A65F-C486-44D3-8DD9-C8E801441FA0}">
      <formula1>zemanet</formula1>
    </dataValidation>
    <dataValidation type="whole" allowBlank="1" showInputMessage="1" showErrorMessage="1" errorTitle="Diqqət!" error="Ədədi düzgün daxil edin!" sqref="C15:C125" xr:uid="{CBA77406-7AA7-4163-ACC2-77CCD1ADF66D}">
      <formula1>0</formula1>
      <formula2>1000000000000</formula2>
    </dataValidation>
  </dataValidations>
  <pageMargins left="0.7" right="0.7" top="0.75" bottom="0.75" header="0.3" footer="0.3"/>
  <pageSetup scale="64" orientation="landscape"/>
  <headerFooter/>
  <colBreaks count="3" manualBreakCount="3">
    <brk id="37" max="16383" man="1"/>
    <brk id="47" max="16383" man="1"/>
    <brk id="56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1" r:id="rId4" name="Button 3">
              <controlPr defaultSize="0" print="0" autoFill="0" autoPict="0" macro="[0]!MainSheetActive">
                <anchor moveWithCells="1" sizeWithCells="1">
                  <from>
                    <xdr:col>3</xdr:col>
                    <xdr:colOff>533400</xdr:colOff>
                    <xdr:row>1</xdr:row>
                    <xdr:rowOff>66675</xdr:rowOff>
                  </from>
                  <to>
                    <xdr:col>4</xdr:col>
                    <xdr:colOff>1276350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8" r:id="rId5" name="Button 10">
              <controlPr defaultSize="0" print="0" autoFill="0" autoPict="0" macro="[0]!InsertRows_A2">
                <anchor moveWithCells="1">
                  <from>
                    <xdr:col>0</xdr:col>
                    <xdr:colOff>266700</xdr:colOff>
                    <xdr:row>7</xdr:row>
                    <xdr:rowOff>209550</xdr:rowOff>
                  </from>
                  <to>
                    <xdr:col>1</xdr:col>
                    <xdr:colOff>1085850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9" r:id="rId6" name="Button 11">
              <controlPr defaultSize="0" print="0" autoFill="0" autoPict="0" macro="[0]!DeleteRows_A2">
                <anchor moveWithCells="1">
                  <from>
                    <xdr:col>1</xdr:col>
                    <xdr:colOff>1266825</xdr:colOff>
                    <xdr:row>7</xdr:row>
                    <xdr:rowOff>209550</xdr:rowOff>
                  </from>
                  <to>
                    <xdr:col>2</xdr:col>
                    <xdr:colOff>819150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2" r:id="rId7" name="Button 14">
              <controlPr defaultSize="0" print="0" autoFill="0" autoPict="0" macro="[0]!FillStartPeriod_A2">
                <anchor moveWithCells="1">
                  <from>
                    <xdr:col>3</xdr:col>
                    <xdr:colOff>447675</xdr:colOff>
                    <xdr:row>7</xdr:row>
                    <xdr:rowOff>161925</xdr:rowOff>
                  </from>
                  <to>
                    <xdr:col>4</xdr:col>
                    <xdr:colOff>1000125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5"/>
  <dimension ref="A1:AO17"/>
  <sheetViews>
    <sheetView topLeftCell="AF2" zoomScaleNormal="100" zoomScaleSheetLayoutView="70" workbookViewId="0">
      <selection activeCell="AR15" sqref="AR15"/>
    </sheetView>
  </sheetViews>
  <sheetFormatPr defaultColWidth="14.7109375" defaultRowHeight="15" x14ac:dyDescent="0.2"/>
  <cols>
    <col min="1" max="1" width="8.28515625" customWidth="1" style="64"/>
    <col min="2" max="2" width="31.140625" customWidth="1" style="64"/>
    <col min="3" max="3" width="29" customWidth="1" style="64"/>
    <col min="4" max="4" width="21.140625" customWidth="1" style="64"/>
    <col min="5" max="5" width="21.28515625" customWidth="1" style="115"/>
    <col min="6" max="6" width="9.28515625" customWidth="1" style="115"/>
    <col min="7" max="7" bestFit="1" width="37.140625" customWidth="1" style="67"/>
    <col min="8" max="8" width="10" customWidth="1" style="64"/>
    <col min="9" max="9" width="39" customWidth="1" style="64"/>
    <col min="10" max="10" width="11.5703125" customWidth="1" style="64"/>
    <col min="11" max="11" width="33.85546875" customWidth="1" style="64"/>
    <col min="12" max="12" width="8.42578125" customWidth="1" style="64"/>
    <col min="13" max="13" width="28.28515625" customWidth="1" style="64"/>
    <col min="14" max="14" width="11.7109375" customWidth="1" style="64"/>
    <col min="15" max="15" width="14.5703125" customWidth="1" style="64"/>
    <col min="16" max="16" width="7.42578125" customWidth="1" style="64"/>
    <col min="17" max="17" width="18.140625" customWidth="1" style="64"/>
    <col min="18" max="18" width="17.28515625" customWidth="1" style="64"/>
    <col min="19" max="19" width="14.5703125" customWidth="1" style="64"/>
    <col min="20" max="20" width="13.28515625" customWidth="1" style="64"/>
    <col min="21" max="21" width="11" customWidth="1" style="67"/>
    <col min="22" max="24" width="18.7109375" customWidth="1" style="64"/>
    <col min="25" max="25" width="27" customWidth="1" style="64"/>
    <col min="26" max="26" width="19.5703125" customWidth="1" style="64"/>
    <col min="27" max="27" bestFit="1" width="48.7109375" customWidth="1" style="64"/>
    <col min="28" max="28" width="9.42578125" customWidth="1" style="64"/>
    <col min="29" max="29" width="18.7109375" customWidth="1" style="64"/>
    <col min="30" max="30" width="18.7109375" customWidth="1" style="64"/>
    <col min="31" max="38" width="18.7109375" customWidth="1" style="64"/>
    <col min="39" max="39" width="14.85546875" customWidth="1" style="64"/>
    <col min="40" max="40" width="14.7109375" customWidth="1" style="64"/>
    <col min="41" max="41" hidden="1" width="0" customWidth="1" style="64"/>
    <col min="42" max="16384" width="14.7109375" customWidth="1" style="64"/>
  </cols>
  <sheetData>
    <row r="1" ht="18" customHeight="1">
      <c r="G1" s="144" t="s">
        <v>0</v>
      </c>
      <c r="H1" s="144"/>
      <c r="I1" s="144"/>
    </row>
    <row r="2" ht="18" customHeight="1">
      <c r="G2" s="144" t="s">
        <v>1</v>
      </c>
      <c r="H2" s="144"/>
      <c r="I2" s="144"/>
    </row>
    <row r="3">
      <c r="G3" s="144" t="s">
        <v>2</v>
      </c>
      <c r="H3" s="144"/>
      <c r="I3" s="144"/>
      <c r="O3" s="69"/>
      <c r="P3" s="69"/>
      <c r="T3" s="69"/>
    </row>
    <row r="4" ht="15.75" customHeight="1">
      <c r="A4" s="185" t="s">
        <v>3</v>
      </c>
      <c r="B4" s="185"/>
      <c r="C4" s="65" t="str">
        <f>IF(XBBIS!D10="","",XBBIS!D10)</f>
        <v>BANK MELLİ İRAN BAKI FİLİALI</v>
      </c>
      <c r="D4" s="65"/>
      <c r="E4" s="116"/>
      <c r="F4" s="116"/>
      <c r="G4" s="144" t="s">
        <v>4</v>
      </c>
      <c r="H4" s="144"/>
      <c r="I4" s="144"/>
      <c r="M4" s="69"/>
      <c r="O4" s="69"/>
      <c r="S4" s="69"/>
      <c r="AO4" s="90">
        <v>15</v>
      </c>
    </row>
    <row r="5" ht="18" s="67" customFormat="1">
      <c r="A5" s="186" t="s">
        <v>5</v>
      </c>
      <c r="B5" s="186"/>
      <c r="C5" s="66" t="str">
        <f>IF(OR(XBBIS!N10="",XBBIS!R10=""),"",XBBIS!N10 &amp; "-ci rüb " &amp; XBBIS!R10&amp;"-ci il")</f>
        <v>3-ci rüb 2024-ci il</v>
      </c>
      <c r="D5" s="66"/>
      <c r="E5" s="117"/>
      <c r="F5" s="117"/>
      <c r="G5" s="162" t="s">
        <v>6</v>
      </c>
      <c r="H5" s="162"/>
      <c r="I5" s="162"/>
      <c r="M5" s="69"/>
      <c r="O5" s="74"/>
      <c r="R5" s="66"/>
      <c r="S5" s="69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90">
        <v>16</v>
      </c>
    </row>
    <row r="6" ht="20.25" customHeight="1" s="67" customFormat="1">
      <c r="A6" s="186" t="s">
        <v>7</v>
      </c>
      <c r="B6" s="186"/>
      <c r="C6" s="77">
        <f>IF(XBBIS!D16="","",XBBIS!D16)</f>
        <v>0</v>
      </c>
      <c r="D6" s="70"/>
      <c r="E6" s="118"/>
      <c r="F6" s="118"/>
      <c r="G6" s="144" t="s">
        <v>8</v>
      </c>
      <c r="H6" s="144"/>
      <c r="I6" s="144"/>
      <c r="O6" s="74"/>
      <c r="P6" s="74"/>
      <c r="Q6" s="66"/>
      <c r="R6" s="66"/>
      <c r="S6" s="74"/>
      <c r="T6" s="74"/>
      <c r="U6" s="69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</row>
    <row r="7" ht="15.75" customHeight="1" s="67" customFormat="1">
      <c r="A7" s="187" t="s">
        <v>9</v>
      </c>
      <c r="B7" s="187"/>
      <c r="C7" s="190" t="str">
        <f>IF(XBBIS!D14="","",XBBIS!D14)</f>
        <v>DİGƏR PUL VASİTƏÇİLİYİ </v>
      </c>
      <c r="D7" s="190"/>
      <c r="E7" s="118"/>
      <c r="F7" s="118"/>
      <c r="G7" s="144" t="s">
        <v>10</v>
      </c>
      <c r="H7" s="144"/>
      <c r="I7" s="144"/>
      <c r="O7" s="74"/>
      <c r="P7" s="74"/>
      <c r="Q7" s="66"/>
      <c r="R7" s="66"/>
      <c r="S7" s="74"/>
      <c r="T7" s="74"/>
      <c r="U7" s="69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</row>
    <row r="8" ht="18" s="67" customFormat="1">
      <c r="A8" s="79"/>
      <c r="B8" s="79"/>
      <c r="C8" s="80"/>
      <c r="D8" s="80"/>
      <c r="E8" s="118"/>
      <c r="F8" s="118"/>
      <c r="G8" s="82"/>
      <c r="H8" s="82"/>
      <c r="I8" s="82"/>
      <c r="J8" s="74"/>
      <c r="K8" s="74"/>
      <c r="L8" s="74"/>
      <c r="O8" s="74"/>
      <c r="P8" s="74"/>
      <c r="Q8" s="66"/>
      <c r="R8" s="66"/>
      <c r="S8" s="74"/>
      <c r="T8" s="74"/>
      <c r="U8" s="69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</row>
    <row r="9" ht="27.75" customHeight="1" s="67" customFormat="1">
      <c r="B9" s="83"/>
      <c r="C9" s="83"/>
      <c r="D9" s="83"/>
      <c r="E9" s="119"/>
      <c r="F9" s="120" t="s">
        <v>11</v>
      </c>
      <c r="H9" s="84"/>
      <c r="I9" s="84"/>
      <c r="J9" s="84"/>
      <c r="K9" s="84"/>
      <c r="L9" s="83"/>
      <c r="M9" s="83"/>
      <c r="N9" s="87"/>
      <c r="O9" s="87"/>
      <c r="P9" s="87"/>
      <c r="Q9" s="87"/>
      <c r="R9" s="87"/>
      <c r="S9" s="87"/>
      <c r="T9" s="87"/>
      <c r="U9" s="88"/>
    </row>
    <row r="10" ht="36.75" customHeight="1" s="90" customFormat="1">
      <c r="A10" s="67"/>
      <c r="B10" s="67"/>
      <c r="C10" s="67"/>
      <c r="F10" s="121"/>
      <c r="G10" s="91" t="s">
        <v>12</v>
      </c>
      <c r="H10" s="91"/>
      <c r="I10" s="92" t="s">
        <v>13</v>
      </c>
      <c r="J10" s="92"/>
      <c r="K10" s="92"/>
      <c r="L10" s="95"/>
      <c r="M10" s="98"/>
      <c r="N10" s="95"/>
      <c r="O10" s="95"/>
      <c r="P10" s="95"/>
      <c r="Q10" s="97"/>
      <c r="R10" s="67"/>
      <c r="S10" s="67"/>
      <c r="T10" s="98"/>
      <c r="U10" s="67"/>
      <c r="V10" s="67"/>
      <c r="W10" s="67"/>
      <c r="X10" s="67"/>
      <c r="Y10" s="67"/>
      <c r="Z10" s="67"/>
      <c r="AB10" s="98"/>
      <c r="AC10" s="92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</row>
    <row r="11" ht="33" customHeight="1" s="103" customFormat="1">
      <c r="A11" s="156" t="s">
        <v>14</v>
      </c>
      <c r="B11" s="156" t="s">
        <v>15</v>
      </c>
      <c r="C11" s="156" t="s">
        <v>16</v>
      </c>
      <c r="D11" s="156" t="s">
        <v>17</v>
      </c>
      <c r="E11" s="176" t="s">
        <v>18</v>
      </c>
      <c r="F11" s="177"/>
      <c r="G11" s="152" t="s">
        <v>19</v>
      </c>
      <c r="H11" s="153"/>
      <c r="I11" s="152" t="s">
        <v>20</v>
      </c>
      <c r="J11" s="153"/>
      <c r="K11" s="152" t="s">
        <v>21</v>
      </c>
      <c r="L11" s="153"/>
      <c r="M11" s="152" t="s">
        <v>22</v>
      </c>
      <c r="N11" s="153"/>
      <c r="O11" s="152" t="s">
        <v>23</v>
      </c>
      <c r="P11" s="153"/>
      <c r="Q11" s="167" t="s">
        <v>24</v>
      </c>
      <c r="R11" s="153"/>
      <c r="S11" s="156" t="s">
        <v>25</v>
      </c>
      <c r="T11" s="156" t="s">
        <v>26</v>
      </c>
      <c r="U11" s="156" t="s">
        <v>27</v>
      </c>
      <c r="V11" s="156" t="s">
        <v>28</v>
      </c>
      <c r="W11" s="160" t="s">
        <v>29</v>
      </c>
      <c r="X11" s="160"/>
      <c r="Y11" s="156" t="s">
        <v>30</v>
      </c>
      <c r="Z11" s="156" t="s">
        <v>31</v>
      </c>
      <c r="AA11" s="152" t="s">
        <v>32</v>
      </c>
      <c r="AB11" s="153"/>
      <c r="AC11" s="156" t="s">
        <v>33</v>
      </c>
      <c r="AD11" s="192" t="s">
        <v>34</v>
      </c>
      <c r="AE11" s="174" t="s">
        <v>35</v>
      </c>
      <c r="AF11" s="174"/>
      <c r="AG11" s="174"/>
      <c r="AH11" s="174"/>
      <c r="AI11" s="174" t="s">
        <v>36</v>
      </c>
      <c r="AJ11" s="174"/>
      <c r="AK11" s="122" t="s">
        <v>37</v>
      </c>
      <c r="AL11" s="182" t="s">
        <v>38</v>
      </c>
      <c r="AM11" s="174" t="s">
        <v>39</v>
      </c>
      <c r="AN11" s="102"/>
    </row>
    <row r="12" ht="21.75" customHeight="1" s="67" customFormat="1">
      <c r="A12" s="157"/>
      <c r="B12" s="157"/>
      <c r="C12" s="157"/>
      <c r="D12" s="157"/>
      <c r="E12" s="178"/>
      <c r="F12" s="179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80"/>
      <c r="R12" s="181"/>
      <c r="S12" s="157"/>
      <c r="T12" s="157"/>
      <c r="U12" s="157"/>
      <c r="V12" s="157"/>
      <c r="W12" s="123" t="s">
        <v>40</v>
      </c>
      <c r="X12" s="123" t="s">
        <v>41</v>
      </c>
      <c r="Y12" s="195"/>
      <c r="Z12" s="197"/>
      <c r="AA12" s="154"/>
      <c r="AB12" s="155"/>
      <c r="AC12" s="157"/>
      <c r="AD12" s="192"/>
      <c r="AE12" s="164" t="s">
        <v>42</v>
      </c>
      <c r="AF12" s="164" t="s">
        <v>43</v>
      </c>
      <c r="AG12" s="174" t="s">
        <v>44</v>
      </c>
      <c r="AH12" s="174" t="s">
        <v>45</v>
      </c>
      <c r="AI12" s="174" t="s">
        <v>46</v>
      </c>
      <c r="AJ12" s="174" t="s">
        <v>47</v>
      </c>
      <c r="AK12" s="174" t="s">
        <v>48</v>
      </c>
      <c r="AL12" s="183"/>
      <c r="AM12" s="174"/>
      <c r="AN12" s="76"/>
    </row>
    <row r="13" ht="67.5" customHeight="1" s="89" customFormat="1">
      <c r="A13" s="157"/>
      <c r="B13" s="157"/>
      <c r="C13" s="157"/>
      <c r="D13" s="157"/>
      <c r="E13" s="109" t="s">
        <v>49</v>
      </c>
      <c r="F13" s="109" t="s">
        <v>50</v>
      </c>
      <c r="G13" s="104" t="s">
        <v>51</v>
      </c>
      <c r="H13" s="104" t="s">
        <v>50</v>
      </c>
      <c r="I13" s="104" t="s">
        <v>51</v>
      </c>
      <c r="J13" s="104" t="s">
        <v>50</v>
      </c>
      <c r="K13" s="104" t="s">
        <v>52</v>
      </c>
      <c r="L13" s="104" t="s">
        <v>50</v>
      </c>
      <c r="M13" s="104" t="s">
        <v>52</v>
      </c>
      <c r="N13" s="104" t="s">
        <v>50</v>
      </c>
      <c r="O13" s="104" t="s">
        <v>52</v>
      </c>
      <c r="P13" s="104" t="s">
        <v>50</v>
      </c>
      <c r="Q13" s="106" t="s">
        <v>53</v>
      </c>
      <c r="R13" s="106" t="s">
        <v>54</v>
      </c>
      <c r="S13" s="157"/>
      <c r="T13" s="157"/>
      <c r="U13" s="157"/>
      <c r="V13" s="194"/>
      <c r="W13" s="104" t="s">
        <v>55</v>
      </c>
      <c r="X13" s="104" t="s">
        <v>56</v>
      </c>
      <c r="Y13" s="196"/>
      <c r="Z13" s="198"/>
      <c r="AA13" s="104" t="s">
        <v>51</v>
      </c>
      <c r="AB13" s="104" t="s">
        <v>50</v>
      </c>
      <c r="AC13" s="194"/>
      <c r="AD13" s="193"/>
      <c r="AE13" s="191"/>
      <c r="AF13" s="191"/>
      <c r="AG13" s="182"/>
      <c r="AH13" s="182"/>
      <c r="AI13" s="182"/>
      <c r="AJ13" s="182"/>
      <c r="AK13" s="182"/>
      <c r="AL13" s="184"/>
      <c r="AM13" s="182"/>
    </row>
    <row r="14" s="67" customFormat="1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>
        <v>28</v>
      </c>
      <c r="AC14" s="104">
        <v>29</v>
      </c>
      <c r="AD14" s="104">
        <v>30</v>
      </c>
      <c r="AE14" s="104">
        <v>31</v>
      </c>
      <c r="AF14" s="104">
        <v>32</v>
      </c>
      <c r="AG14" s="104">
        <v>33</v>
      </c>
      <c r="AH14" s="104">
        <v>34</v>
      </c>
      <c r="AI14" s="104">
        <v>35</v>
      </c>
      <c r="AJ14" s="104">
        <v>36</v>
      </c>
      <c r="AK14" s="104">
        <v>37</v>
      </c>
      <c r="AL14" s="104">
        <v>38</v>
      </c>
      <c r="AM14" s="104">
        <v>39</v>
      </c>
    </row>
    <row r="15" ht="15" customHeight="1" s="112" customFormat="1">
      <c r="A15" s="111">
        <v>1</v>
      </c>
      <c r="B15" s="35" t="str">
        <f>IF((C15&amp;"-"&amp;D15&amp;"-"&amp;J15&amp;"-"&amp;N15&amp;"-"&amp;P15)="----","",(C15&amp;"-"&amp;D15&amp;"-"&amp;J15&amp;"-"&amp;N15&amp;"-"&amp;P15))</f>
      </c>
      <c r="C15" s="15"/>
      <c r="D15" s="15"/>
      <c r="E15" s="31"/>
      <c r="F15" s="36" t="str">
        <f>IFERROR(VLOOKUP('A3 (Şərti öhdəliklər)'!E15,List!AD:AE,2,0),"")</f>
      </c>
      <c r="G15" s="1"/>
      <c r="H15" s="36" t="str">
        <f>IFERROR(VLOOKUP('A3 (Şərti öhdəliklər)'!G15,List!G:H,2,0),"")</f>
      </c>
      <c r="I15" s="1"/>
      <c r="J15" s="36" t="str">
        <f>IFERROR(VLOOKUP('A3 (Şərti öhdəliklər)'!I15,List!C:D,2,0),"")</f>
      </c>
      <c r="K15" s="1"/>
      <c r="L15" s="36" t="str">
        <f>IFERROR(VLOOKUP('A3 (Şərti öhdəliklər)'!K15,List!E:F,2,0),"")</f>
      </c>
      <c r="M15" s="1"/>
      <c r="N15" s="36" t="str">
        <f>IFERROR(VLOOKUP('A3 (Şərti öhdəliklər)'!M15,List!M:N,2,0),"")</f>
      </c>
      <c r="O15" s="1"/>
      <c r="P15" s="36" t="str">
        <f>IFERROR(VLOOKUP('A3 (Şərti öhdəliklər)'!O15,List!S:T,2,0),"")</f>
      </c>
      <c r="Q15" s="16"/>
      <c r="R15" s="16"/>
      <c r="S15" s="17"/>
      <c r="T15" s="17"/>
      <c r="U15" s="15"/>
      <c r="V15" s="19"/>
      <c r="W15" s="19"/>
      <c r="X15" s="19"/>
      <c r="Y15" s="19"/>
      <c r="Z15" s="19"/>
      <c r="AA15" s="21"/>
      <c r="AB15" s="36" t="str">
        <f>IFERROR(VLOOKUP('A3 (Şərti öhdəliklər)'!AA15,List!Q:R,2,0),"")</f>
      </c>
      <c r="AC15" s="40">
        <f>V15+W15-X15+Y15+Z15</f>
        <v>0</v>
      </c>
      <c r="AD15" s="19"/>
      <c r="AE15" s="19"/>
      <c r="AF15" s="19"/>
      <c r="AG15" s="19"/>
      <c r="AH15" s="19"/>
      <c r="AI15" s="19"/>
      <c r="AJ15" s="19"/>
      <c r="AK15" s="19"/>
      <c r="AL15" s="19">
        <v>0</v>
      </c>
      <c r="AM15" s="34"/>
    </row>
    <row r="16" ht="15" customHeight="1" s="67" customFormat="1">
      <c r="E16" s="69"/>
      <c r="F16" s="69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AM16" s="64"/>
    </row>
    <row r="17" ht="15" customHeight="1" s="67" customFormat="1">
      <c r="E17" s="69"/>
      <c r="F17" s="69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AM17" s="64"/>
    </row>
  </sheetData>
  <sheetProtection password="9D45" sheet="1" formatColumns="0"/>
  <protectedRanges>
    <protectedRange sqref="V15:Z15 AD15:AL15" name="Range1_1"/>
    <protectedRange sqref="AM15" name="Range2_1"/>
  </protectedRanges>
  <mergeCells>
    <mergeCell ref="K11:L12"/>
    <mergeCell ref="O11:P12"/>
    <mergeCell ref="AH12:AH13"/>
    <mergeCell ref="S11:S13"/>
    <mergeCell ref="U11:U13"/>
    <mergeCell ref="Q11:R12"/>
    <mergeCell ref="M11:N12"/>
    <mergeCell ref="T11:T13"/>
    <mergeCell ref="AG12:AG13"/>
    <mergeCell ref="V11:V13"/>
    <mergeCell ref="W11:X11"/>
    <mergeCell ref="Y11:Y13"/>
    <mergeCell ref="AA11:AB12"/>
    <mergeCell ref="Z11:Z13"/>
    <mergeCell ref="AC11:AC13"/>
    <mergeCell ref="AI11:AJ11"/>
    <mergeCell ref="AF12:AF13"/>
    <mergeCell ref="AK12:AK13"/>
    <mergeCell ref="AD11:AD13"/>
    <mergeCell ref="AM11:AM13"/>
    <mergeCell ref="AE11:AH11"/>
    <mergeCell ref="AJ12:AJ13"/>
    <mergeCell ref="AI12:AI13"/>
    <mergeCell ref="AE12:AE13"/>
    <mergeCell ref="AL11:AL13"/>
    <mergeCell ref="E11:F12"/>
    <mergeCell ref="C7:D7"/>
    <mergeCell ref="G7:I7"/>
    <mergeCell ref="I11:J12"/>
    <mergeCell ref="G5:I5"/>
    <mergeCell ref="G11:H12"/>
    <mergeCell ref="A11:A13"/>
    <mergeCell ref="B11:B13"/>
    <mergeCell ref="C11:C13"/>
    <mergeCell ref="A7:B7"/>
    <mergeCell ref="D11:D13"/>
    <mergeCell ref="G1:I1"/>
    <mergeCell ref="G2:I2"/>
    <mergeCell ref="G3:I3"/>
    <mergeCell ref="G6:I6"/>
    <mergeCell ref="A6:B6"/>
    <mergeCell ref="A5:B5"/>
    <mergeCell ref="A4:B4"/>
    <mergeCell ref="G4:I4"/>
  </mergeCells>
  <dataValidations count="13">
    <dataValidation type="decimal" allowBlank="1" showInputMessage="1" showErrorMessage="1" errorTitle="Diqqət!" error="Ədədi düzgün daxil edin!" sqref="AD15:AL15 V15:X15" xr:uid="{08068C5E-965B-4EEB-9C96-629AB1150BDB}">
      <formula1>0</formula1>
      <formula2>1000000000000</formula2>
    </dataValidation>
    <dataValidation type="date" allowBlank="1" showInputMessage="1" showErrorMessage="1" errorTitle="Diqqət!" error="Tarixi düzgün daxil edin!" sqref="S15:T15" xr:uid="{1E07DB71-2838-4212-A8A4-3F6BA4F58AE1}">
      <formula1>34318</formula1>
      <formula2>73415</formula2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Q15:R15" xr:uid="{607BFC0B-3F4A-48D5-A078-7A13C6085231}">
      <formula1>0</formula1>
      <formula2>1</formula2>
    </dataValidation>
    <dataValidation type="whole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U15 C15" xr:uid="{E2385BC8-1313-4F31-89B6-3E6C74AB3B45}">
      <formula1>1</formula1>
      <formula2>10000000</formula2>
    </dataValidation>
    <dataValidation type="whole" allowBlank="1" showInputMessage="1" showErrorMessage="1" errorTitle="DİQQƏT!" error="Xanada ədəd daxil edin! (hərf, &quot;,, və digər simvollar daxil edilmir._x000a_" promptTitle="Tərtibatçı üçün məlumat:" prompt="Xanada ədəd (nömrə, ay, il rəqəmlərinin kombinasiyası) daxil edin! (hərf, &quot;,, və digər simvollar daxil edilmir).(Misal üçün, 132018)." sqref="D15" xr:uid="{10C1B98D-6983-43C4-A4AB-2ADD41BC3589}">
      <formula1>1</formula1>
      <formula2>999999999999999</formula2>
    </dataValidation>
    <dataValidation type="list" allowBlank="1" showInputMessage="1" showErrorMessage="1" sqref="I15" xr:uid="{B63F42AF-322A-442C-B31A-8369F73EAC25}">
      <formula1>qeyrirezident_elaqe</formula1>
    </dataValidation>
    <dataValidation type="list" allowBlank="1" showInputMessage="1" showErrorMessage="1" sqref="K15" xr:uid="{F4EBB50C-5C5F-4D01-96A7-35A0FBB7CD53}">
      <formula1>qeyrirezident_sektor</formula1>
    </dataValidation>
    <dataValidation type="list" allowBlank="1" showInputMessage="1" showErrorMessage="1" sqref="M15" xr:uid="{00A3CE5D-69F3-42B3-AB28-C7F43B603FA2}">
      <formula1>Country</formula1>
    </dataValidation>
    <dataValidation type="list" allowBlank="1" showInputMessage="1" showErrorMessage="1" sqref="O15" xr:uid="{0DF9D3EF-7474-4A50-A270-2E92C938C1B6}">
      <formula1>valyuta</formula1>
    </dataValidation>
    <dataValidation type="list" allowBlank="1" showInputMessage="1" showErrorMessage="1" sqref="AA15" xr:uid="{98C98FDD-A6A1-4AE5-A82C-5AEFC0FF66E3}">
      <formula1>diger_deyishiklik</formula1>
    </dataValidation>
    <dataValidation type="list" allowBlank="1" showInputMessage="1" showErrorMessage="1" sqref="G15" xr:uid="{5969B574-575C-4ABD-AAF3-A3D226DD9ECA}">
      <formula1>investisiya_madde3</formula1>
    </dataValidation>
    <dataValidation type="list" allowBlank="1" showInputMessage="1" showErrorMessage="1" sqref="E15" xr:uid="{D9337E54-4E83-4B0A-8DF6-2A9CCB172611}">
      <formula1>debitor_rezident</formula1>
    </dataValidation>
    <dataValidation type="decimal" allowBlank="1" showInputMessage="1" showErrorMessage="1" errorTitle="Diqqət!" error="Ədədi düzgün daxil edin!" sqref="Y15:Z15" xr:uid="{F3C1ED61-F95C-4422-8679-2D129D0C2C3B}">
      <formula1>-1000000000000</formula1>
      <formula2>1000000000000</formula2>
    </dataValidation>
  </dataValidations>
  <pageMargins left="0.7" right="0.7" top="0.75" bottom="0.75" header="0.3" footer="0.3"/>
  <pageSetup scale="64" orientation="landscape"/>
  <headerFooter/>
  <colBreaks count="1" manualBreakCount="1">
    <brk id="30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59" r:id="rId4" name="Button 3">
              <controlPr defaultSize="0" print="0" autoFill="0" autoPict="0" macro="[0]!MainSheetActive">
                <anchor moveWithCells="1" sizeWithCells="1">
                  <from>
                    <xdr:col>3</xdr:col>
                    <xdr:colOff>714375</xdr:colOff>
                    <xdr:row>0</xdr:row>
                    <xdr:rowOff>190500</xdr:rowOff>
                  </from>
                  <to>
                    <xdr:col>4</xdr:col>
                    <xdr:colOff>1314450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05" r:id="rId5" name="Button 49">
              <controlPr defaultSize="0" print="0" autoFill="0" autoPict="0" macro="[0]!InsertRows_A3">
                <anchor moveWithCells="1">
                  <from>
                    <xdr:col>0</xdr:col>
                    <xdr:colOff>266700</xdr:colOff>
                    <xdr:row>7</xdr:row>
                    <xdr:rowOff>133350</xdr:rowOff>
                  </from>
                  <to>
                    <xdr:col>1</xdr:col>
                    <xdr:colOff>1257300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06" r:id="rId6" name="Button 50">
              <controlPr defaultSize="0" print="0" autoFill="0" autoPict="0" macro="[0]!DeleteRows_A3">
                <anchor moveWithCells="1">
                  <from>
                    <xdr:col>1</xdr:col>
                    <xdr:colOff>1600200</xdr:colOff>
                    <xdr:row>7</xdr:row>
                    <xdr:rowOff>133350</xdr:rowOff>
                  </from>
                  <to>
                    <xdr:col>2</xdr:col>
                    <xdr:colOff>1066800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11" r:id="rId7" name="Button 55">
              <controlPr defaultSize="0" print="0" autoFill="0" autoPict="0" macro="[0]!FillStartPeriod_A3">
                <anchor moveWithCells="1">
                  <from>
                    <xdr:col>3</xdr:col>
                    <xdr:colOff>742950</xdr:colOff>
                    <xdr:row>7</xdr:row>
                    <xdr:rowOff>95250</xdr:rowOff>
                  </from>
                  <to>
                    <xdr:col>4</xdr:col>
                    <xdr:colOff>1104900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761"/>
  <sheetViews>
    <sheetView topLeftCell="F1" zoomScaleNormal="100" workbookViewId="0">
      <selection activeCell="G20" sqref="G20"/>
    </sheetView>
  </sheetViews>
  <sheetFormatPr defaultColWidth="8.140625" defaultRowHeight="12.75" x14ac:dyDescent="0.2"/>
  <cols>
    <col min="1" max="1" bestFit="1" width="28.5703125" customWidth="1" style="3"/>
    <col min="2" max="2" bestFit="1" width="30.28515625" customWidth="1" style="2"/>
    <col min="3" max="3" bestFit="1" width="42" customWidth="1" style="3"/>
    <col min="4" max="4" bestFit="1" width="51.7109375" customWidth="1" style="2"/>
    <col min="5" max="5" bestFit="1" width="50.7109375" customWidth="1" style="6"/>
    <col min="6" max="6" bestFit="1" width="49" customWidth="1" style="2"/>
    <col min="7" max="7" bestFit="1" width="51.42578125" customWidth="1" style="6"/>
    <col min="8" max="8" bestFit="1" width="28.140625" customWidth="1" style="2"/>
    <col min="9" max="9" bestFit="1" width="23.140625" customWidth="1" style="2"/>
    <col min="10" max="10" bestFit="1" width="6.42578125" customWidth="1" style="2"/>
    <col min="11" max="11" bestFit="1" width="30" customWidth="1" style="3"/>
    <col min="12" max="12" bestFit="1" width="35" customWidth="1" style="2"/>
    <col min="13" max="13" bestFit="1" width="59.28515625" customWidth="1" style="3"/>
    <col min="14" max="14" bestFit="1" width="28.7109375" customWidth="1" style="2"/>
    <col min="15" max="15" bestFit="1" width="11.140625" customWidth="1" style="2"/>
    <col min="16" max="16" bestFit="1" width="20.85546875" customWidth="1" style="2"/>
    <col min="17" max="17" bestFit="1" width="57.28515625" customWidth="1" style="2"/>
    <col min="18" max="18" bestFit="1" width="25.7109375" customWidth="1" style="2"/>
    <col min="19" max="19" bestFit="1" width="8.7109375" customWidth="1" style="8"/>
    <col min="20" max="20" bestFit="1" width="6.42578125" customWidth="1" style="8"/>
    <col min="21" max="21" bestFit="1" width="38.5703125" customWidth="1" style="8"/>
    <col min="22" max="22" bestFit="1" width="8.28515625" customWidth="1" style="8"/>
    <col min="23" max="23" bestFit="1" width="5.28515625" customWidth="1" style="8"/>
    <col min="24" max="24" bestFit="1" width="5.42578125" customWidth="1" style="2"/>
    <col min="25" max="25" width="46.7109375" customWidth="1" style="2"/>
    <col min="26" max="26" bestFit="1" width="44.85546875" customWidth="1" style="2"/>
    <col min="27" max="27" width="8.140625" customWidth="1" style="2"/>
    <col min="28" max="28" width="14.7109375" customWidth="1" style="2"/>
    <col min="29" max="29" width="154.28515625" customWidth="1" style="6"/>
    <col min="30" max="30" width="27.7109375" customWidth="1" style="2"/>
    <col min="31" max="31" width="8.140625" customWidth="1" style="2"/>
    <col min="32" max="32" bestFit="1" width="54.28515625" customWidth="1" style="2"/>
    <col min="33" max="33" bestFit="1" width="28.28515625" customWidth="1" style="2"/>
    <col min="34" max="16384" width="8.140625" customWidth="1" style="2"/>
  </cols>
  <sheetData>
    <row r="1" ht="15" s="26" customFormat="1">
      <c r="A1" s="26" t="s">
        <v>371</v>
      </c>
      <c r="B1" s="26" t="s">
        <v>372</v>
      </c>
      <c r="C1" s="26" t="s">
        <v>373</v>
      </c>
      <c r="D1" s="26" t="s">
        <v>374</v>
      </c>
      <c r="E1" s="26" t="s">
        <v>375</v>
      </c>
      <c r="F1" s="26" t="s">
        <v>376</v>
      </c>
      <c r="G1" s="26" t="s">
        <v>377</v>
      </c>
      <c r="H1" s="26" t="s">
        <v>378</v>
      </c>
      <c r="I1" s="26" t="s">
        <v>379</v>
      </c>
      <c r="J1" s="26" t="s">
        <v>50</v>
      </c>
      <c r="K1" s="26" t="s">
        <v>380</v>
      </c>
      <c r="L1" s="26" t="s">
        <v>381</v>
      </c>
      <c r="M1" s="26" t="s">
        <v>68</v>
      </c>
      <c r="N1" s="26" t="s">
        <v>382</v>
      </c>
      <c r="O1" s="26" t="s">
        <v>72</v>
      </c>
      <c r="P1" s="26" t="s">
        <v>383</v>
      </c>
      <c r="Q1" s="26" t="s">
        <v>384</v>
      </c>
      <c r="R1" s="26" t="s">
        <v>385</v>
      </c>
      <c r="S1" s="26" t="s">
        <v>386</v>
      </c>
      <c r="T1" s="26" t="s">
        <v>50</v>
      </c>
      <c r="U1" s="26" t="s">
        <v>387</v>
      </c>
      <c r="V1" s="26" t="s">
        <v>388</v>
      </c>
      <c r="W1" s="26" t="s">
        <v>389</v>
      </c>
      <c r="X1" s="26" t="s">
        <v>390</v>
      </c>
      <c r="Y1" s="26" t="s">
        <v>75</v>
      </c>
      <c r="Z1" s="26" t="s">
        <v>391</v>
      </c>
      <c r="AA1" s="26" t="s">
        <v>50</v>
      </c>
      <c r="AB1" s="26" t="s">
        <v>392</v>
      </c>
      <c r="AC1" s="28" t="s">
        <v>393</v>
      </c>
      <c r="AD1" s="26" t="s">
        <v>394</v>
      </c>
      <c r="AE1" s="26" t="s">
        <v>50</v>
      </c>
      <c r="AF1" s="26" t="s">
        <v>395</v>
      </c>
      <c r="AG1" s="26" t="s">
        <v>382</v>
      </c>
    </row>
    <row r="2" ht="15">
      <c r="A2" s="30" t="s">
        <v>130</v>
      </c>
      <c r="B2" s="2">
        <v>1</v>
      </c>
      <c r="C2" s="9" t="s">
        <v>131</v>
      </c>
      <c r="D2" s="5">
        <v>1</v>
      </c>
      <c r="E2" s="6" t="s">
        <v>121</v>
      </c>
      <c r="F2" s="5">
        <v>1</v>
      </c>
      <c r="G2" s="7" t="s">
        <v>396</v>
      </c>
      <c r="H2" s="5">
        <v>100</v>
      </c>
      <c r="I2" s="5" t="s">
        <v>397</v>
      </c>
      <c r="J2" s="5">
        <v>1</v>
      </c>
      <c r="K2" s="9" t="s">
        <v>398</v>
      </c>
      <c r="L2" s="5">
        <v>1</v>
      </c>
      <c r="M2" s="3" t="s">
        <v>399</v>
      </c>
      <c r="N2" s="2">
        <v>248</v>
      </c>
      <c r="O2" s="3" t="s">
        <v>400</v>
      </c>
      <c r="P2" s="2">
        <v>1</v>
      </c>
      <c r="Q2" s="6" t="s">
        <v>401</v>
      </c>
      <c r="R2" s="2">
        <v>1</v>
      </c>
      <c r="S2" s="23" t="s">
        <v>402</v>
      </c>
      <c r="T2" s="23">
        <v>8</v>
      </c>
      <c r="U2" s="23" t="s">
        <v>403</v>
      </c>
      <c r="V2" s="23">
        <v>1</v>
      </c>
      <c r="W2" s="2">
        <v>1</v>
      </c>
      <c r="X2" s="2">
        <v>2000</v>
      </c>
      <c r="Y2" s="2" t="s">
        <v>404</v>
      </c>
      <c r="Z2" s="2" t="s">
        <v>405</v>
      </c>
      <c r="AA2" s="2">
        <v>0</v>
      </c>
      <c r="AB2" s="27" t="s">
        <v>406</v>
      </c>
      <c r="AC2" s="29" t="s">
        <v>407</v>
      </c>
      <c r="AD2" s="2" t="s">
        <v>408</v>
      </c>
      <c r="AE2" s="2">
        <v>1</v>
      </c>
      <c r="AF2" s="2" t="s">
        <v>399</v>
      </c>
      <c r="AG2" s="2">
        <v>248</v>
      </c>
    </row>
    <row r="3" ht="15">
      <c r="A3" s="30" t="s">
        <v>409</v>
      </c>
      <c r="B3" s="2">
        <v>2</v>
      </c>
      <c r="C3" s="9" t="s">
        <v>410</v>
      </c>
      <c r="D3" s="5">
        <v>2</v>
      </c>
      <c r="E3" s="6" t="s">
        <v>411</v>
      </c>
      <c r="F3" s="5">
        <v>2</v>
      </c>
      <c r="G3" s="7" t="s">
        <v>412</v>
      </c>
      <c r="H3" s="5">
        <v>110</v>
      </c>
      <c r="I3" s="5" t="s">
        <v>397</v>
      </c>
      <c r="J3" s="5">
        <v>1</v>
      </c>
      <c r="K3" s="3" t="s">
        <v>413</v>
      </c>
      <c r="L3" s="2">
        <v>2</v>
      </c>
      <c r="M3" s="3" t="s">
        <v>414</v>
      </c>
      <c r="N3" s="2">
        <v>8</v>
      </c>
      <c r="O3" s="3" t="s">
        <v>415</v>
      </c>
      <c r="P3" s="2">
        <v>2</v>
      </c>
      <c r="Q3" s="6" t="s">
        <v>416</v>
      </c>
      <c r="R3" s="2">
        <v>2</v>
      </c>
      <c r="S3" s="24" t="s">
        <v>417</v>
      </c>
      <c r="T3" s="24">
        <v>10</v>
      </c>
      <c r="U3" s="24" t="s">
        <v>418</v>
      </c>
      <c r="V3" s="24">
        <v>1</v>
      </c>
      <c r="W3" s="2">
        <v>2</v>
      </c>
      <c r="X3" s="2">
        <v>2001</v>
      </c>
      <c r="Z3" s="2" t="s">
        <v>419</v>
      </c>
      <c r="AA3" s="2">
        <v>1</v>
      </c>
      <c r="AB3" s="27" t="s">
        <v>420</v>
      </c>
      <c r="AC3" s="29" t="s">
        <v>421</v>
      </c>
      <c r="AD3" s="2" t="s">
        <v>422</v>
      </c>
      <c r="AE3" s="2">
        <v>2</v>
      </c>
      <c r="AF3" s="2" t="s">
        <v>414</v>
      </c>
      <c r="AG3" s="2">
        <v>8</v>
      </c>
    </row>
    <row r="4" ht="15">
      <c r="A4" s="30" t="s">
        <v>423</v>
      </c>
      <c r="B4" s="2">
        <v>3</v>
      </c>
      <c r="C4" s="9" t="s">
        <v>424</v>
      </c>
      <c r="D4" s="5">
        <v>3</v>
      </c>
      <c r="E4" s="6" t="s">
        <v>425</v>
      </c>
      <c r="F4" s="2">
        <v>3</v>
      </c>
      <c r="G4" s="7" t="s">
        <v>426</v>
      </c>
      <c r="H4" s="5">
        <f>H3+1</f>
        <v>111</v>
      </c>
      <c r="I4" s="5" t="s">
        <v>397</v>
      </c>
      <c r="J4" s="5">
        <v>1</v>
      </c>
      <c r="K4" s="3" t="s">
        <v>427</v>
      </c>
      <c r="L4" s="2">
        <v>3</v>
      </c>
      <c r="M4" s="3" t="s">
        <v>428</v>
      </c>
      <c r="N4" s="2">
        <v>276</v>
      </c>
      <c r="O4" s="3" t="s">
        <v>126</v>
      </c>
      <c r="P4" s="2">
        <v>3</v>
      </c>
      <c r="Q4" s="6" t="s">
        <v>429</v>
      </c>
      <c r="R4" s="2">
        <v>3</v>
      </c>
      <c r="S4" s="24" t="s">
        <v>430</v>
      </c>
      <c r="T4" s="24">
        <v>12</v>
      </c>
      <c r="U4" s="23" t="s">
        <v>431</v>
      </c>
      <c r="V4" s="23">
        <v>1</v>
      </c>
      <c r="W4" s="2">
        <v>3</v>
      </c>
      <c r="X4" s="2">
        <v>2002</v>
      </c>
      <c r="Z4" s="2" t="s">
        <v>432</v>
      </c>
      <c r="AA4" s="2">
        <v>2</v>
      </c>
      <c r="AB4" s="27" t="s">
        <v>433</v>
      </c>
      <c r="AC4" s="29" t="s">
        <v>434</v>
      </c>
      <c r="AF4" s="2" t="s">
        <v>428</v>
      </c>
      <c r="AG4" s="2">
        <v>276</v>
      </c>
    </row>
    <row r="5" ht="15">
      <c r="A5" s="30" t="s">
        <v>118</v>
      </c>
      <c r="B5" s="2">
        <v>4</v>
      </c>
      <c r="C5" s="4" t="s">
        <v>120</v>
      </c>
      <c r="D5" s="5">
        <v>4</v>
      </c>
      <c r="E5" s="6" t="s">
        <v>435</v>
      </c>
      <c r="F5" s="2">
        <v>4</v>
      </c>
      <c r="G5" s="7" t="s">
        <v>436</v>
      </c>
      <c r="H5" s="5">
        <v>112</v>
      </c>
      <c r="I5" s="5" t="s">
        <v>397</v>
      </c>
      <c r="J5" s="5">
        <v>1</v>
      </c>
      <c r="K5" s="3" t="s">
        <v>437</v>
      </c>
      <c r="L5" s="2">
        <v>4</v>
      </c>
      <c r="M5" s="3" t="s">
        <v>438</v>
      </c>
      <c r="N5" s="2">
        <v>13</v>
      </c>
      <c r="Q5" s="6" t="s">
        <v>439</v>
      </c>
      <c r="R5" s="2">
        <v>4</v>
      </c>
      <c r="S5" s="24" t="s">
        <v>440</v>
      </c>
      <c r="T5" s="24">
        <v>20</v>
      </c>
      <c r="U5" s="24"/>
      <c r="V5" s="24">
        <v>1</v>
      </c>
      <c r="W5" s="2">
        <v>4</v>
      </c>
      <c r="X5" s="2">
        <v>2003</v>
      </c>
      <c r="Z5" s="2" t="s">
        <v>441</v>
      </c>
      <c r="AA5" s="2">
        <v>3</v>
      </c>
      <c r="AB5" s="27" t="s">
        <v>442</v>
      </c>
      <c r="AC5" s="29" t="s">
        <v>443</v>
      </c>
      <c r="AF5" s="2" t="s">
        <v>438</v>
      </c>
      <c r="AG5" s="2">
        <v>13</v>
      </c>
    </row>
    <row r="6" ht="15">
      <c r="C6" s="4"/>
      <c r="D6" s="5"/>
      <c r="E6" s="6" t="s">
        <v>143</v>
      </c>
      <c r="F6" s="2">
        <v>5</v>
      </c>
      <c r="G6" s="7" t="s">
        <v>444</v>
      </c>
      <c r="H6" s="5">
        <v>120</v>
      </c>
      <c r="I6" s="5" t="s">
        <v>397</v>
      </c>
      <c r="J6" s="5">
        <v>1</v>
      </c>
      <c r="K6" s="3" t="s">
        <v>445</v>
      </c>
      <c r="L6" s="2">
        <v>5</v>
      </c>
      <c r="M6" s="3" t="s">
        <v>446</v>
      </c>
      <c r="N6" s="2">
        <v>840</v>
      </c>
      <c r="Q6" s="6" t="s">
        <v>447</v>
      </c>
      <c r="R6" s="2">
        <v>5</v>
      </c>
      <c r="S6" s="24" t="s">
        <v>448</v>
      </c>
      <c r="T6" s="24">
        <v>30</v>
      </c>
      <c r="U6" s="23"/>
      <c r="V6" s="23">
        <v>1</v>
      </c>
      <c r="W6" s="2"/>
      <c r="X6" s="2">
        <v>2004</v>
      </c>
      <c r="Z6" s="2" t="s">
        <v>449</v>
      </c>
      <c r="AA6" s="2">
        <v>4</v>
      </c>
      <c r="AB6" s="27" t="s">
        <v>450</v>
      </c>
      <c r="AC6" s="29" t="s">
        <v>451</v>
      </c>
      <c r="AF6" s="2" t="s">
        <v>446</v>
      </c>
      <c r="AG6" s="2">
        <v>840</v>
      </c>
    </row>
    <row r="7" ht="15">
      <c r="C7" s="4"/>
      <c r="D7" s="10"/>
      <c r="E7" s="6" t="s">
        <v>175</v>
      </c>
      <c r="F7" s="2">
        <v>6</v>
      </c>
      <c r="G7" s="7" t="s">
        <v>452</v>
      </c>
      <c r="H7" s="5">
        <f>H6+1</f>
        <v>121</v>
      </c>
      <c r="I7" s="5" t="s">
        <v>397</v>
      </c>
      <c r="J7" s="5">
        <v>1</v>
      </c>
      <c r="M7" s="3" t="s">
        <v>453</v>
      </c>
      <c r="N7" s="2">
        <v>16</v>
      </c>
      <c r="Q7" s="6" t="s">
        <v>454</v>
      </c>
      <c r="R7" s="2">
        <v>6</v>
      </c>
      <c r="S7" s="24" t="s">
        <v>455</v>
      </c>
      <c r="T7" s="24">
        <v>32</v>
      </c>
      <c r="U7" s="24" t="s">
        <v>456</v>
      </c>
      <c r="V7" s="24">
        <v>1</v>
      </c>
      <c r="W7" s="2"/>
      <c r="X7" s="2">
        <v>2005</v>
      </c>
      <c r="Z7" s="2" t="s">
        <v>457</v>
      </c>
      <c r="AA7" s="2">
        <v>6</v>
      </c>
      <c r="AB7" s="27" t="s">
        <v>458</v>
      </c>
      <c r="AC7" s="29" t="s">
        <v>459</v>
      </c>
      <c r="AF7" s="2" t="s">
        <v>453</v>
      </c>
      <c r="AG7" s="2">
        <v>16</v>
      </c>
    </row>
    <row r="8" ht="15">
      <c r="C8" s="4"/>
      <c r="D8" s="10"/>
      <c r="E8" s="6" t="s">
        <v>460</v>
      </c>
      <c r="F8" s="2">
        <v>7</v>
      </c>
      <c r="G8" s="7" t="s">
        <v>461</v>
      </c>
      <c r="H8" s="5">
        <f>H7+1</f>
        <v>122</v>
      </c>
      <c r="I8" s="5" t="s">
        <v>397</v>
      </c>
      <c r="J8" s="5">
        <v>1</v>
      </c>
      <c r="M8" s="3" t="s">
        <v>462</v>
      </c>
      <c r="N8" s="2">
        <v>20</v>
      </c>
      <c r="Q8" s="6" t="s">
        <v>463</v>
      </c>
      <c r="R8" s="2">
        <v>7</v>
      </c>
      <c r="S8" s="24" t="s">
        <v>464</v>
      </c>
      <c r="T8" s="24">
        <v>36</v>
      </c>
      <c r="U8" s="23" t="s">
        <v>465</v>
      </c>
      <c r="V8" s="23">
        <v>1</v>
      </c>
      <c r="W8" s="2"/>
      <c r="X8" s="2">
        <v>2006</v>
      </c>
      <c r="Z8" s="2" t="s">
        <v>466</v>
      </c>
      <c r="AA8" s="2">
        <v>12</v>
      </c>
      <c r="AB8" s="27" t="s">
        <v>467</v>
      </c>
      <c r="AC8" s="29" t="s">
        <v>468</v>
      </c>
      <c r="AF8" s="2" t="s">
        <v>462</v>
      </c>
      <c r="AG8" s="2">
        <v>20</v>
      </c>
    </row>
    <row r="9" ht="15">
      <c r="E9" s="6" t="s">
        <v>339</v>
      </c>
      <c r="F9" s="2">
        <v>8</v>
      </c>
      <c r="G9" s="7" t="s">
        <v>469</v>
      </c>
      <c r="H9" s="5">
        <v>130</v>
      </c>
      <c r="I9" s="5" t="s">
        <v>397</v>
      </c>
      <c r="J9" s="5">
        <v>1</v>
      </c>
      <c r="M9" s="3" t="s">
        <v>470</v>
      </c>
      <c r="N9" s="2">
        <v>660</v>
      </c>
      <c r="S9" s="24" t="s">
        <v>471</v>
      </c>
      <c r="T9" s="24">
        <v>37</v>
      </c>
      <c r="U9" s="24" t="s">
        <v>472</v>
      </c>
      <c r="V9" s="24">
        <v>1</v>
      </c>
      <c r="W9" s="2"/>
      <c r="X9" s="2">
        <v>2007</v>
      </c>
      <c r="AB9" s="27" t="s">
        <v>473</v>
      </c>
      <c r="AC9" s="29" t="s">
        <v>474</v>
      </c>
      <c r="AF9" s="2" t="s">
        <v>470</v>
      </c>
      <c r="AG9" s="2">
        <v>660</v>
      </c>
    </row>
    <row r="10" ht="15">
      <c r="C10" s="4"/>
      <c r="D10" s="10"/>
      <c r="E10" s="11"/>
      <c r="F10" s="22"/>
      <c r="G10" s="7" t="s">
        <v>475</v>
      </c>
      <c r="H10" s="5">
        <f>H9+1</f>
        <v>131</v>
      </c>
      <c r="I10" s="5" t="s">
        <v>397</v>
      </c>
      <c r="J10" s="5">
        <v>1</v>
      </c>
      <c r="M10" s="3" t="s">
        <v>476</v>
      </c>
      <c r="N10" s="2">
        <v>24</v>
      </c>
      <c r="S10" s="24" t="s">
        <v>477</v>
      </c>
      <c r="T10" s="24">
        <v>40</v>
      </c>
      <c r="U10" s="23"/>
      <c r="V10" s="23">
        <v>1</v>
      </c>
      <c r="W10" s="2"/>
      <c r="X10" s="2">
        <v>2008</v>
      </c>
      <c r="AB10" s="27" t="s">
        <v>478</v>
      </c>
      <c r="AC10" s="29" t="s">
        <v>479</v>
      </c>
      <c r="AF10" s="2" t="s">
        <v>476</v>
      </c>
      <c r="AG10" s="2">
        <v>24</v>
      </c>
    </row>
    <row r="11" ht="15">
      <c r="C11" s="4"/>
      <c r="D11" s="10"/>
      <c r="E11" s="11"/>
      <c r="F11" s="22"/>
      <c r="G11" s="6" t="s">
        <v>480</v>
      </c>
      <c r="H11" s="5">
        <f>H10+1</f>
        <v>132</v>
      </c>
      <c r="I11" s="5" t="s">
        <v>397</v>
      </c>
      <c r="J11" s="5">
        <v>1</v>
      </c>
      <c r="M11" s="3" t="s">
        <v>481</v>
      </c>
      <c r="N11" s="2">
        <v>10</v>
      </c>
      <c r="S11" s="24" t="s">
        <v>482</v>
      </c>
      <c r="T11" s="24">
        <v>44</v>
      </c>
      <c r="U11" s="24" t="s">
        <v>483</v>
      </c>
      <c r="V11" s="24">
        <v>1</v>
      </c>
      <c r="W11" s="2"/>
      <c r="X11" s="2">
        <v>2009</v>
      </c>
      <c r="AB11" s="27" t="s">
        <v>484</v>
      </c>
      <c r="AC11" s="29" t="s">
        <v>485</v>
      </c>
      <c r="AF11" s="2" t="s">
        <v>481</v>
      </c>
      <c r="AG11" s="2">
        <v>10</v>
      </c>
    </row>
    <row r="12" ht="15">
      <c r="C12" s="4"/>
      <c r="D12" s="10"/>
      <c r="E12" s="11"/>
      <c r="F12" s="22"/>
      <c r="G12" s="7" t="s">
        <v>486</v>
      </c>
      <c r="H12" s="5">
        <v>140</v>
      </c>
      <c r="I12" s="5" t="s">
        <v>397</v>
      </c>
      <c r="J12" s="5">
        <v>1</v>
      </c>
      <c r="M12" s="3" t="s">
        <v>487</v>
      </c>
      <c r="N12" s="2">
        <v>28</v>
      </c>
      <c r="S12" s="24" t="s">
        <v>488</v>
      </c>
      <c r="T12" s="24">
        <v>48</v>
      </c>
      <c r="U12" s="23" t="s">
        <v>489</v>
      </c>
      <c r="V12" s="23">
        <v>1</v>
      </c>
      <c r="W12" s="2"/>
      <c r="X12" s="2">
        <v>2010</v>
      </c>
      <c r="AB12" s="27" t="s">
        <v>490</v>
      </c>
      <c r="AC12" s="29" t="s">
        <v>491</v>
      </c>
      <c r="AF12" s="2" t="s">
        <v>487</v>
      </c>
      <c r="AG12" s="2">
        <v>28</v>
      </c>
    </row>
    <row r="13" ht="15">
      <c r="C13" s="4"/>
      <c r="D13" s="10"/>
      <c r="E13" s="11"/>
      <c r="F13" s="22"/>
      <c r="G13" s="7" t="s">
        <v>346</v>
      </c>
      <c r="H13" s="5">
        <f ref="H13:H19" t="shared" si="0">H12+1</f>
        <v>141</v>
      </c>
      <c r="I13" s="5" t="s">
        <v>397</v>
      </c>
      <c r="J13" s="5">
        <v>1</v>
      </c>
      <c r="M13" s="3" t="s">
        <v>492</v>
      </c>
      <c r="N13" s="2">
        <v>32</v>
      </c>
      <c r="S13" s="24" t="s">
        <v>493</v>
      </c>
      <c r="T13" s="24">
        <v>50</v>
      </c>
      <c r="U13" s="24" t="s">
        <v>494</v>
      </c>
      <c r="V13" s="24">
        <v>1</v>
      </c>
      <c r="W13" s="2"/>
      <c r="X13" s="2">
        <v>2011</v>
      </c>
      <c r="AB13" s="27" t="s">
        <v>495</v>
      </c>
      <c r="AC13" s="29" t="s">
        <v>496</v>
      </c>
      <c r="AF13" s="2" t="s">
        <v>492</v>
      </c>
      <c r="AG13" s="2">
        <v>32</v>
      </c>
    </row>
    <row r="14" ht="15">
      <c r="C14" s="4"/>
      <c r="D14" s="10"/>
      <c r="E14" s="11"/>
      <c r="F14" s="22"/>
      <c r="G14" s="7" t="s">
        <v>497</v>
      </c>
      <c r="H14" s="5">
        <v>150</v>
      </c>
      <c r="I14" s="5" t="s">
        <v>397</v>
      </c>
      <c r="J14" s="5">
        <v>1</v>
      </c>
      <c r="M14" s="3" t="s">
        <v>498</v>
      </c>
      <c r="N14" s="2">
        <v>533</v>
      </c>
      <c r="S14" s="24" t="s">
        <v>499</v>
      </c>
      <c r="T14" s="24">
        <v>51</v>
      </c>
      <c r="U14" s="23" t="s">
        <v>500</v>
      </c>
      <c r="V14" s="23">
        <v>1</v>
      </c>
      <c r="W14" s="2"/>
      <c r="X14" s="2">
        <v>2012</v>
      </c>
      <c r="AB14" s="27" t="s">
        <v>501</v>
      </c>
      <c r="AC14" s="29" t="s">
        <v>502</v>
      </c>
      <c r="AF14" s="2" t="s">
        <v>498</v>
      </c>
      <c r="AG14" s="2">
        <v>533</v>
      </c>
    </row>
    <row r="15" ht="15">
      <c r="C15" s="4"/>
      <c r="D15" s="10"/>
      <c r="E15" s="11"/>
      <c r="F15" s="22"/>
      <c r="G15" s="7" t="s">
        <v>503</v>
      </c>
      <c r="H15" s="5">
        <f t="shared" si="0"/>
        <v>151</v>
      </c>
      <c r="I15" s="5" t="s">
        <v>397</v>
      </c>
      <c r="J15" s="5">
        <v>1</v>
      </c>
      <c r="M15" s="3" t="s">
        <v>504</v>
      </c>
      <c r="N15" s="2">
        <v>45</v>
      </c>
      <c r="S15" s="24" t="s">
        <v>505</v>
      </c>
      <c r="T15" s="24">
        <v>52</v>
      </c>
      <c r="U15" s="24" t="s">
        <v>506</v>
      </c>
      <c r="V15" s="24">
        <v>1</v>
      </c>
      <c r="W15" s="2"/>
      <c r="X15" s="2">
        <v>2013</v>
      </c>
      <c r="AB15" s="27" t="s">
        <v>507</v>
      </c>
      <c r="AC15" s="29" t="s">
        <v>508</v>
      </c>
      <c r="AF15" s="2" t="s">
        <v>504</v>
      </c>
      <c r="AG15" s="2">
        <v>45</v>
      </c>
    </row>
    <row r="16" ht="15">
      <c r="C16" s="4"/>
      <c r="D16" s="10"/>
      <c r="E16" s="11"/>
      <c r="F16" s="22"/>
      <c r="G16" s="7" t="s">
        <v>509</v>
      </c>
      <c r="H16" s="5">
        <f t="shared" si="0"/>
        <v>152</v>
      </c>
      <c r="I16" s="5" t="s">
        <v>397</v>
      </c>
      <c r="J16" s="5">
        <v>1</v>
      </c>
      <c r="M16" s="3" t="s">
        <v>510</v>
      </c>
      <c r="N16" s="2">
        <v>43</v>
      </c>
      <c r="S16" s="24" t="s">
        <v>511</v>
      </c>
      <c r="T16" s="24">
        <v>56</v>
      </c>
      <c r="U16" s="23"/>
      <c r="V16" s="23">
        <v>1</v>
      </c>
      <c r="W16" s="2"/>
      <c r="X16" s="2">
        <v>2014</v>
      </c>
      <c r="AB16" s="27" t="s">
        <v>512</v>
      </c>
      <c r="AC16" s="29" t="s">
        <v>513</v>
      </c>
      <c r="AF16" s="2" t="s">
        <v>510</v>
      </c>
      <c r="AG16" s="2">
        <v>43</v>
      </c>
    </row>
    <row r="17" ht="15">
      <c r="C17" s="4"/>
      <c r="D17" s="10"/>
      <c r="E17" s="11"/>
      <c r="F17" s="22"/>
      <c r="G17" s="7" t="s">
        <v>514</v>
      </c>
      <c r="H17" s="5">
        <f t="shared" si="0"/>
        <v>153</v>
      </c>
      <c r="I17" s="5" t="s">
        <v>397</v>
      </c>
      <c r="J17" s="5">
        <v>1</v>
      </c>
      <c r="M17" s="3" t="s">
        <v>515</v>
      </c>
      <c r="N17" s="2">
        <v>18</v>
      </c>
      <c r="Q17" s="22"/>
      <c r="S17" s="24" t="s">
        <v>516</v>
      </c>
      <c r="T17" s="24">
        <v>60</v>
      </c>
      <c r="U17" s="24" t="s">
        <v>517</v>
      </c>
      <c r="V17" s="24">
        <v>1</v>
      </c>
      <c r="W17" s="2"/>
      <c r="X17" s="2">
        <v>2015</v>
      </c>
      <c r="AB17" s="27" t="s">
        <v>518</v>
      </c>
      <c r="AC17" s="29" t="s">
        <v>519</v>
      </c>
      <c r="AF17" s="2" t="s">
        <v>515</v>
      </c>
      <c r="AG17" s="2">
        <v>18</v>
      </c>
    </row>
    <row r="18" ht="15">
      <c r="C18" s="4"/>
      <c r="D18" s="10"/>
      <c r="E18" s="11"/>
      <c r="F18" s="22"/>
      <c r="G18" s="7" t="s">
        <v>520</v>
      </c>
      <c r="H18" s="5">
        <v>160</v>
      </c>
      <c r="I18" s="5" t="s">
        <v>397</v>
      </c>
      <c r="J18" s="5">
        <v>1</v>
      </c>
      <c r="M18" s="3" t="s">
        <v>521</v>
      </c>
      <c r="N18" s="2">
        <v>36</v>
      </c>
      <c r="Q18" s="22"/>
      <c r="S18" s="24" t="s">
        <v>522</v>
      </c>
      <c r="T18" s="24">
        <v>64</v>
      </c>
      <c r="U18" s="23" t="s">
        <v>523</v>
      </c>
      <c r="V18" s="23">
        <v>1</v>
      </c>
      <c r="W18" s="2"/>
      <c r="X18" s="2">
        <v>2016</v>
      </c>
      <c r="AB18" s="27" t="s">
        <v>524</v>
      </c>
      <c r="AC18" s="29" t="s">
        <v>525</v>
      </c>
      <c r="AF18" s="2" t="s">
        <v>521</v>
      </c>
      <c r="AG18" s="2">
        <v>36</v>
      </c>
    </row>
    <row r="19" ht="15">
      <c r="C19" s="4"/>
      <c r="D19" s="10"/>
      <c r="E19" s="11"/>
      <c r="F19" s="22"/>
      <c r="G19" s="7" t="s">
        <v>526</v>
      </c>
      <c r="H19" s="5">
        <f t="shared" si="0"/>
        <v>161</v>
      </c>
      <c r="I19" s="5" t="s">
        <v>397</v>
      </c>
      <c r="J19" s="5">
        <v>1</v>
      </c>
      <c r="M19" s="3" t="s">
        <v>527</v>
      </c>
      <c r="N19" s="2">
        <v>40</v>
      </c>
      <c r="Q19" s="22"/>
      <c r="S19" s="24" t="s">
        <v>528</v>
      </c>
      <c r="T19" s="24">
        <v>68</v>
      </c>
      <c r="U19" s="24" t="s">
        <v>529</v>
      </c>
      <c r="V19" s="24">
        <v>1</v>
      </c>
      <c r="W19" s="2"/>
      <c r="X19" s="2">
        <v>2017</v>
      </c>
      <c r="AB19" s="27" t="s">
        <v>530</v>
      </c>
      <c r="AC19" s="29" t="s">
        <v>531</v>
      </c>
      <c r="AF19" s="2" t="s">
        <v>527</v>
      </c>
      <c r="AG19" s="2">
        <v>40</v>
      </c>
    </row>
    <row r="20" ht="15">
      <c r="C20" s="4"/>
      <c r="D20" s="10"/>
      <c r="E20" s="11"/>
      <c r="F20" s="22"/>
      <c r="G20" s="7" t="s">
        <v>532</v>
      </c>
      <c r="H20" s="5">
        <f>H19+1</f>
        <v>162</v>
      </c>
      <c r="I20" s="5" t="s">
        <v>397</v>
      </c>
      <c r="J20" s="5">
        <v>1</v>
      </c>
      <c r="M20" s="3" t="s">
        <v>533</v>
      </c>
      <c r="N20" s="2">
        <v>31</v>
      </c>
      <c r="Q20" s="22"/>
      <c r="S20" s="24" t="s">
        <v>534</v>
      </c>
      <c r="T20" s="24">
        <v>72</v>
      </c>
      <c r="U20" s="23" t="s">
        <v>535</v>
      </c>
      <c r="V20" s="23">
        <v>1</v>
      </c>
      <c r="W20" s="2"/>
      <c r="X20" s="2">
        <v>2018</v>
      </c>
      <c r="AB20" s="27" t="s">
        <v>536</v>
      </c>
      <c r="AC20" s="29" t="s">
        <v>537</v>
      </c>
      <c r="AF20" s="2" t="s">
        <v>538</v>
      </c>
      <c r="AG20" s="2">
        <v>44</v>
      </c>
    </row>
    <row r="21" ht="15">
      <c r="C21" s="4"/>
      <c r="D21" s="10"/>
      <c r="E21" s="11"/>
      <c r="F21" s="22"/>
      <c r="G21" s="7" t="s">
        <v>539</v>
      </c>
      <c r="H21" s="5">
        <f>H20+1</f>
        <v>163</v>
      </c>
      <c r="I21" s="5" t="s">
        <v>397</v>
      </c>
      <c r="J21" s="5">
        <v>1</v>
      </c>
      <c r="M21" s="3" t="s">
        <v>538</v>
      </c>
      <c r="N21" s="2">
        <v>44</v>
      </c>
      <c r="Q21" s="22"/>
      <c r="S21" s="24" t="s">
        <v>540</v>
      </c>
      <c r="T21" s="24">
        <v>84</v>
      </c>
      <c r="U21" s="24" t="s">
        <v>541</v>
      </c>
      <c r="V21" s="24">
        <v>1</v>
      </c>
      <c r="W21" s="2"/>
      <c r="X21" s="2">
        <v>2019</v>
      </c>
      <c r="AB21" s="27" t="s">
        <v>542</v>
      </c>
      <c r="AC21" s="29" t="s">
        <v>543</v>
      </c>
      <c r="AF21" s="2" t="s">
        <v>544</v>
      </c>
      <c r="AG21" s="2">
        <v>50</v>
      </c>
    </row>
    <row r="22" ht="15">
      <c r="C22" s="4"/>
      <c r="D22" s="10"/>
      <c r="E22" s="11"/>
      <c r="F22" s="22"/>
      <c r="G22" s="7" t="s">
        <v>338</v>
      </c>
      <c r="H22" s="5">
        <v>170</v>
      </c>
      <c r="I22" s="5" t="s">
        <v>397</v>
      </c>
      <c r="J22" s="5">
        <v>1</v>
      </c>
      <c r="M22" s="3" t="s">
        <v>544</v>
      </c>
      <c r="N22" s="2">
        <v>50</v>
      </c>
      <c r="Q22" s="22"/>
      <c r="S22" s="24" t="s">
        <v>545</v>
      </c>
      <c r="T22" s="24">
        <v>90</v>
      </c>
      <c r="U22" s="23" t="s">
        <v>546</v>
      </c>
      <c r="V22" s="23">
        <v>1</v>
      </c>
      <c r="W22" s="2"/>
      <c r="X22" s="2">
        <v>2020</v>
      </c>
      <c r="AB22" s="27" t="s">
        <v>547</v>
      </c>
      <c r="AC22" s="29" t="s">
        <v>548</v>
      </c>
      <c r="AF22" s="2" t="s">
        <v>549</v>
      </c>
      <c r="AG22" s="2">
        <v>52</v>
      </c>
    </row>
    <row r="23" ht="15">
      <c r="C23" s="4"/>
      <c r="D23" s="10"/>
      <c r="E23" s="11"/>
      <c r="F23" s="22"/>
      <c r="G23" s="7" t="s">
        <v>550</v>
      </c>
      <c r="H23" s="5">
        <f ref="H23:H42" t="shared" si="1">H2+100</f>
        <v>200</v>
      </c>
      <c r="I23" s="5" t="s">
        <v>551</v>
      </c>
      <c r="J23" s="5">
        <v>2</v>
      </c>
      <c r="M23" s="3" t="s">
        <v>549</v>
      </c>
      <c r="N23" s="2">
        <v>52</v>
      </c>
      <c r="Q23" s="22"/>
      <c r="S23" s="24" t="s">
        <v>552</v>
      </c>
      <c r="T23" s="24">
        <v>96</v>
      </c>
      <c r="U23" s="24" t="s">
        <v>553</v>
      </c>
      <c r="V23" s="24">
        <v>1</v>
      </c>
      <c r="W23" s="2"/>
      <c r="X23" s="2">
        <v>2021</v>
      </c>
      <c r="AB23" s="27" t="s">
        <v>554</v>
      </c>
      <c r="AC23" s="29" t="s">
        <v>555</v>
      </c>
      <c r="AF23" s="2" t="s">
        <v>556</v>
      </c>
      <c r="AG23" s="2">
        <v>48</v>
      </c>
    </row>
    <row r="24" ht="15">
      <c r="C24" s="4"/>
      <c r="D24" s="10"/>
      <c r="E24" s="11"/>
      <c r="F24" s="22"/>
      <c r="G24" s="7" t="s">
        <v>557</v>
      </c>
      <c r="H24" s="5">
        <f t="shared" si="1"/>
        <v>210</v>
      </c>
      <c r="I24" s="5" t="s">
        <v>551</v>
      </c>
      <c r="J24" s="5">
        <v>2</v>
      </c>
      <c r="M24" s="3" t="s">
        <v>556</v>
      </c>
      <c r="N24" s="2">
        <v>48</v>
      </c>
      <c r="S24" s="24" t="s">
        <v>558</v>
      </c>
      <c r="T24" s="24">
        <v>104</v>
      </c>
      <c r="U24" s="23" t="s">
        <v>559</v>
      </c>
      <c r="V24" s="23">
        <v>1</v>
      </c>
      <c r="W24" s="2"/>
      <c r="X24" s="2">
        <v>2022</v>
      </c>
      <c r="AB24" s="27" t="s">
        <v>560</v>
      </c>
      <c r="AC24" s="29" t="s">
        <v>561</v>
      </c>
      <c r="AF24" s="2" t="s">
        <v>562</v>
      </c>
      <c r="AG24" s="2">
        <v>112</v>
      </c>
    </row>
    <row r="25" ht="15">
      <c r="C25" s="4"/>
      <c r="D25" s="10"/>
      <c r="E25" s="11"/>
      <c r="F25" s="22"/>
      <c r="G25" s="7" t="s">
        <v>563</v>
      </c>
      <c r="H25" s="5">
        <f t="shared" si="1"/>
        <v>211</v>
      </c>
      <c r="I25" s="5" t="s">
        <v>551</v>
      </c>
      <c r="J25" s="5">
        <v>2</v>
      </c>
      <c r="M25" s="3" t="s">
        <v>562</v>
      </c>
      <c r="N25" s="2">
        <v>112</v>
      </c>
      <c r="S25" s="24" t="s">
        <v>564</v>
      </c>
      <c r="T25" s="24">
        <v>108</v>
      </c>
      <c r="U25" s="24" t="s">
        <v>565</v>
      </c>
      <c r="V25" s="24">
        <v>1</v>
      </c>
      <c r="W25" s="2"/>
      <c r="X25" s="2">
        <v>2023</v>
      </c>
      <c r="AB25" s="27" t="s">
        <v>566</v>
      </c>
      <c r="AC25" s="29" t="s">
        <v>567</v>
      </c>
      <c r="AF25" s="2" t="s">
        <v>568</v>
      </c>
      <c r="AG25" s="2">
        <v>56</v>
      </c>
    </row>
    <row r="26" ht="15">
      <c r="C26" s="4"/>
      <c r="D26" s="10"/>
      <c r="E26" s="11"/>
      <c r="F26" s="22"/>
      <c r="G26" s="7" t="s">
        <v>569</v>
      </c>
      <c r="H26" s="5">
        <f t="shared" si="1"/>
        <v>212</v>
      </c>
      <c r="I26" s="5" t="s">
        <v>551</v>
      </c>
      <c r="J26" s="5">
        <v>2</v>
      </c>
      <c r="M26" s="3" t="s">
        <v>568</v>
      </c>
      <c r="N26" s="2">
        <v>56</v>
      </c>
      <c r="S26" s="24" t="s">
        <v>570</v>
      </c>
      <c r="T26" s="24">
        <v>116</v>
      </c>
      <c r="U26" s="23" t="s">
        <v>571</v>
      </c>
      <c r="V26" s="23">
        <v>1</v>
      </c>
      <c r="W26" s="2"/>
      <c r="X26" s="2">
        <v>2024</v>
      </c>
      <c r="AB26" s="27" t="s">
        <v>572</v>
      </c>
      <c r="AC26" s="29" t="s">
        <v>573</v>
      </c>
      <c r="AF26" s="2" t="s">
        <v>574</v>
      </c>
      <c r="AG26" s="2">
        <v>84</v>
      </c>
    </row>
    <row r="27" ht="15">
      <c r="C27" s="4"/>
      <c r="D27" s="10"/>
      <c r="E27" s="11"/>
      <c r="F27" s="22"/>
      <c r="G27" s="7" t="s">
        <v>575</v>
      </c>
      <c r="H27" s="5">
        <f t="shared" si="1"/>
        <v>220</v>
      </c>
      <c r="I27" s="5" t="s">
        <v>551</v>
      </c>
      <c r="J27" s="5">
        <v>2</v>
      </c>
      <c r="M27" s="3" t="s">
        <v>574</v>
      </c>
      <c r="N27" s="2">
        <v>84</v>
      </c>
      <c r="S27" s="24" t="s">
        <v>576</v>
      </c>
      <c r="T27" s="24">
        <v>124</v>
      </c>
      <c r="U27" s="24" t="s">
        <v>577</v>
      </c>
      <c r="V27" s="24">
        <v>1</v>
      </c>
      <c r="W27" s="2"/>
      <c r="X27" s="2">
        <v>2025</v>
      </c>
      <c r="AB27" s="27" t="s">
        <v>578</v>
      </c>
      <c r="AC27" s="29" t="s">
        <v>579</v>
      </c>
      <c r="AF27" s="2" t="s">
        <v>580</v>
      </c>
      <c r="AG27" s="2">
        <v>204</v>
      </c>
    </row>
    <row r="28" ht="15">
      <c r="C28" s="4"/>
      <c r="D28" s="10"/>
      <c r="E28" s="11"/>
      <c r="F28" s="22"/>
      <c r="G28" s="7" t="s">
        <v>581</v>
      </c>
      <c r="H28" s="5">
        <f t="shared" si="1"/>
        <v>221</v>
      </c>
      <c r="I28" s="5" t="s">
        <v>551</v>
      </c>
      <c r="J28" s="5">
        <v>2</v>
      </c>
      <c r="M28" s="3" t="s">
        <v>580</v>
      </c>
      <c r="N28" s="2">
        <v>204</v>
      </c>
      <c r="S28" s="24" t="s">
        <v>582</v>
      </c>
      <c r="T28" s="24">
        <v>132</v>
      </c>
      <c r="U28" s="23" t="s">
        <v>583</v>
      </c>
      <c r="V28" s="23">
        <v>1</v>
      </c>
      <c r="W28" s="2"/>
      <c r="X28" s="2">
        <v>2026</v>
      </c>
      <c r="AB28" s="27" t="s">
        <v>584</v>
      </c>
      <c r="AC28" s="29" t="s">
        <v>585</v>
      </c>
      <c r="AF28" s="2" t="s">
        <v>586</v>
      </c>
      <c r="AG28" s="2">
        <v>60</v>
      </c>
    </row>
    <row r="29" ht="15">
      <c r="C29" s="4"/>
      <c r="D29" s="10"/>
      <c r="E29" s="11"/>
      <c r="F29" s="22"/>
      <c r="G29" s="7" t="s">
        <v>587</v>
      </c>
      <c r="H29" s="5">
        <f t="shared" si="1"/>
        <v>222</v>
      </c>
      <c r="I29" s="5" t="s">
        <v>551</v>
      </c>
      <c r="J29" s="5">
        <v>2</v>
      </c>
      <c r="M29" s="3" t="s">
        <v>586</v>
      </c>
      <c r="N29" s="2">
        <v>60</v>
      </c>
      <c r="S29" s="24" t="s">
        <v>588</v>
      </c>
      <c r="T29" s="24">
        <v>136</v>
      </c>
      <c r="U29" s="24" t="s">
        <v>589</v>
      </c>
      <c r="V29" s="24">
        <v>1</v>
      </c>
      <c r="W29" s="2"/>
      <c r="X29" s="2">
        <v>2027</v>
      </c>
      <c r="AB29" s="27" t="s">
        <v>590</v>
      </c>
      <c r="AC29" s="29" t="s">
        <v>591</v>
      </c>
      <c r="AF29" s="2" t="s">
        <v>592</v>
      </c>
      <c r="AG29" s="2">
        <v>15</v>
      </c>
    </row>
    <row r="30" ht="15">
      <c r="C30" s="4"/>
      <c r="D30" s="10"/>
      <c r="E30" s="11"/>
      <c r="F30" s="22"/>
      <c r="G30" s="7" t="s">
        <v>593</v>
      </c>
      <c r="H30" s="5">
        <f t="shared" si="1"/>
        <v>230</v>
      </c>
      <c r="I30" s="5" t="s">
        <v>551</v>
      </c>
      <c r="J30" s="5">
        <v>2</v>
      </c>
      <c r="M30" s="3" t="s">
        <v>592</v>
      </c>
      <c r="N30" s="2">
        <v>15</v>
      </c>
      <c r="S30" s="24" t="s">
        <v>594</v>
      </c>
      <c r="T30" s="24">
        <v>144</v>
      </c>
      <c r="U30" s="23" t="s">
        <v>595</v>
      </c>
      <c r="V30" s="23">
        <v>1</v>
      </c>
      <c r="W30" s="2"/>
      <c r="X30" s="2">
        <v>2028</v>
      </c>
      <c r="AB30" s="27" t="s">
        <v>596</v>
      </c>
      <c r="AC30" s="29" t="s">
        <v>597</v>
      </c>
      <c r="AF30" s="2" t="s">
        <v>598</v>
      </c>
      <c r="AG30" s="2">
        <v>23</v>
      </c>
    </row>
    <row r="31" ht="15">
      <c r="C31" s="4"/>
      <c r="D31" s="10"/>
      <c r="E31" s="11"/>
      <c r="F31" s="22"/>
      <c r="G31" s="7" t="s">
        <v>599</v>
      </c>
      <c r="H31" s="5">
        <f t="shared" si="1"/>
        <v>231</v>
      </c>
      <c r="I31" s="5" t="s">
        <v>551</v>
      </c>
      <c r="J31" s="5">
        <v>2</v>
      </c>
      <c r="M31" s="3" t="s">
        <v>598</v>
      </c>
      <c r="N31" s="2">
        <v>23</v>
      </c>
      <c r="S31" s="24" t="s">
        <v>600</v>
      </c>
      <c r="T31" s="24">
        <v>152</v>
      </c>
      <c r="U31" s="24" t="s">
        <v>601</v>
      </c>
      <c r="V31" s="24">
        <v>100</v>
      </c>
      <c r="W31" s="2"/>
      <c r="X31" s="2">
        <v>2029</v>
      </c>
      <c r="AB31" s="27" t="s">
        <v>602</v>
      </c>
      <c r="AC31" s="29" t="s">
        <v>603</v>
      </c>
      <c r="AF31" s="2" t="s">
        <v>604</v>
      </c>
      <c r="AG31" s="2">
        <v>27</v>
      </c>
    </row>
    <row r="32" ht="15">
      <c r="C32" s="4"/>
      <c r="D32" s="10"/>
      <c r="E32" s="11"/>
      <c r="F32" s="22"/>
      <c r="G32" s="7" t="s">
        <v>605</v>
      </c>
      <c r="H32" s="5">
        <f t="shared" si="1"/>
        <v>232</v>
      </c>
      <c r="I32" s="5" t="s">
        <v>551</v>
      </c>
      <c r="J32" s="5">
        <v>2</v>
      </c>
      <c r="M32" s="3" t="s">
        <v>604</v>
      </c>
      <c r="N32" s="2">
        <v>27</v>
      </c>
      <c r="S32" s="24" t="s">
        <v>606</v>
      </c>
      <c r="T32" s="24">
        <v>156</v>
      </c>
      <c r="U32" s="23" t="s">
        <v>607</v>
      </c>
      <c r="V32" s="23">
        <v>1</v>
      </c>
      <c r="W32" s="2"/>
      <c r="X32" s="2">
        <v>2030</v>
      </c>
      <c r="AB32" s="27" t="s">
        <v>608</v>
      </c>
      <c r="AC32" s="29" t="s">
        <v>609</v>
      </c>
      <c r="AF32" s="2" t="s">
        <v>610</v>
      </c>
      <c r="AG32" s="2">
        <v>3</v>
      </c>
    </row>
    <row r="33" ht="15">
      <c r="C33" s="4"/>
      <c r="D33" s="10"/>
      <c r="E33" s="11"/>
      <c r="F33" s="22"/>
      <c r="G33" s="7" t="s">
        <v>611</v>
      </c>
      <c r="H33" s="5">
        <f t="shared" si="1"/>
        <v>240</v>
      </c>
      <c r="I33" s="5" t="s">
        <v>551</v>
      </c>
      <c r="J33" s="5">
        <v>2</v>
      </c>
      <c r="M33" s="3" t="s">
        <v>610</v>
      </c>
      <c r="N33" s="2">
        <v>3</v>
      </c>
      <c r="S33" s="24" t="s">
        <v>612</v>
      </c>
      <c r="T33" s="24">
        <v>170</v>
      </c>
      <c r="U33" s="24" t="s">
        <v>613</v>
      </c>
      <c r="V33" s="24">
        <v>1</v>
      </c>
      <c r="W33" s="2"/>
      <c r="X33" s="2">
        <v>2031</v>
      </c>
      <c r="AB33" s="27" t="s">
        <v>614</v>
      </c>
      <c r="AC33" s="29" t="s">
        <v>615</v>
      </c>
      <c r="AF33" s="2" t="s">
        <v>616</v>
      </c>
      <c r="AG33" s="2">
        <v>784</v>
      </c>
    </row>
    <row r="34" ht="15">
      <c r="C34" s="4"/>
      <c r="D34" s="10"/>
      <c r="E34" s="11"/>
      <c r="F34" s="22"/>
      <c r="G34" s="7" t="s">
        <v>119</v>
      </c>
      <c r="H34" s="5">
        <f t="shared" si="1"/>
        <v>241</v>
      </c>
      <c r="I34" s="5" t="s">
        <v>551</v>
      </c>
      <c r="J34" s="5">
        <v>2</v>
      </c>
      <c r="M34" s="3" t="s">
        <v>616</v>
      </c>
      <c r="N34" s="2">
        <v>784</v>
      </c>
      <c r="S34" s="24" t="s">
        <v>617</v>
      </c>
      <c r="T34" s="24">
        <v>174</v>
      </c>
      <c r="U34" s="23" t="s">
        <v>618</v>
      </c>
      <c r="V34" s="23">
        <v>1</v>
      </c>
      <c r="W34" s="2"/>
      <c r="X34" s="2">
        <v>2032</v>
      </c>
      <c r="AB34" s="27" t="s">
        <v>619</v>
      </c>
      <c r="AC34" s="29" t="s">
        <v>620</v>
      </c>
      <c r="AF34" s="2" t="s">
        <v>621</v>
      </c>
      <c r="AG34" s="2">
        <v>826</v>
      </c>
    </row>
    <row r="35" ht="15">
      <c r="C35" s="4"/>
      <c r="D35" s="10"/>
      <c r="E35" s="11"/>
      <c r="F35" s="22"/>
      <c r="G35" s="7" t="s">
        <v>622</v>
      </c>
      <c r="H35" s="5">
        <f t="shared" si="1"/>
        <v>250</v>
      </c>
      <c r="I35" s="5" t="s">
        <v>551</v>
      </c>
      <c r="J35" s="5">
        <v>2</v>
      </c>
      <c r="M35" s="3" t="s">
        <v>621</v>
      </c>
      <c r="N35" s="2">
        <v>826</v>
      </c>
      <c r="S35" s="24" t="s">
        <v>623</v>
      </c>
      <c r="T35" s="24">
        <v>188</v>
      </c>
      <c r="U35" s="24" t="s">
        <v>624</v>
      </c>
      <c r="V35" s="24">
        <v>1</v>
      </c>
      <c r="W35" s="2"/>
      <c r="X35" s="2">
        <v>2033</v>
      </c>
      <c r="AB35" s="27" t="s">
        <v>625</v>
      </c>
      <c r="AC35" s="29" t="s">
        <v>626</v>
      </c>
      <c r="AF35" s="2" t="s">
        <v>627</v>
      </c>
      <c r="AG35" s="2">
        <v>86</v>
      </c>
    </row>
    <row r="36" ht="15">
      <c r="C36" s="4"/>
      <c r="D36" s="10"/>
      <c r="E36" s="11"/>
      <c r="F36" s="22"/>
      <c r="G36" s="7" t="s">
        <v>628</v>
      </c>
      <c r="H36" s="5">
        <f t="shared" si="1"/>
        <v>251</v>
      </c>
      <c r="I36" s="5" t="s">
        <v>551</v>
      </c>
      <c r="J36" s="5">
        <v>2</v>
      </c>
      <c r="M36" s="3" t="s">
        <v>627</v>
      </c>
      <c r="N36" s="2">
        <v>86</v>
      </c>
      <c r="S36" s="24" t="s">
        <v>629</v>
      </c>
      <c r="T36" s="24">
        <v>191</v>
      </c>
      <c r="U36" s="23" t="s">
        <v>630</v>
      </c>
      <c r="V36" s="23">
        <v>1</v>
      </c>
      <c r="W36" s="2"/>
      <c r="X36" s="2">
        <v>2034</v>
      </c>
      <c r="AB36" s="27" t="s">
        <v>631</v>
      </c>
      <c r="AC36" s="29" t="s">
        <v>632</v>
      </c>
      <c r="AF36" s="2" t="s">
        <v>633</v>
      </c>
      <c r="AG36" s="2">
        <v>834</v>
      </c>
    </row>
    <row r="37" ht="15">
      <c r="C37" s="4"/>
      <c r="D37" s="10"/>
      <c r="E37" s="11"/>
      <c r="F37" s="22"/>
      <c r="G37" s="7" t="s">
        <v>634</v>
      </c>
      <c r="H37" s="5">
        <f t="shared" si="1"/>
        <v>252</v>
      </c>
      <c r="I37" s="5" t="s">
        <v>551</v>
      </c>
      <c r="J37" s="5">
        <v>2</v>
      </c>
      <c r="M37" s="3" t="s">
        <v>633</v>
      </c>
      <c r="N37" s="2">
        <v>834</v>
      </c>
      <c r="S37" s="24" t="s">
        <v>635</v>
      </c>
      <c r="T37" s="24">
        <v>192</v>
      </c>
      <c r="U37" s="24" t="s">
        <v>636</v>
      </c>
      <c r="V37" s="24">
        <v>1</v>
      </c>
      <c r="W37" s="2"/>
      <c r="X37" s="2">
        <v>2035</v>
      </c>
      <c r="AB37" s="27" t="s">
        <v>637</v>
      </c>
      <c r="AC37" s="29" t="s">
        <v>638</v>
      </c>
      <c r="AF37" s="2" t="s">
        <v>639</v>
      </c>
      <c r="AG37" s="2">
        <v>68</v>
      </c>
    </row>
    <row r="38" ht="15">
      <c r="C38" s="4"/>
      <c r="D38" s="10"/>
      <c r="E38" s="11"/>
      <c r="F38" s="22"/>
      <c r="G38" s="7" t="s">
        <v>640</v>
      </c>
      <c r="H38" s="5">
        <f t="shared" si="1"/>
        <v>253</v>
      </c>
      <c r="I38" s="5" t="s">
        <v>551</v>
      </c>
      <c r="J38" s="5">
        <v>2</v>
      </c>
      <c r="M38" s="3" t="s">
        <v>639</v>
      </c>
      <c r="N38" s="2">
        <v>68</v>
      </c>
      <c r="S38" s="24" t="s">
        <v>641</v>
      </c>
      <c r="T38" s="24">
        <v>203</v>
      </c>
      <c r="U38" s="23" t="s">
        <v>642</v>
      </c>
      <c r="V38" s="23">
        <v>1</v>
      </c>
      <c r="W38" s="2"/>
      <c r="X38" s="2">
        <v>2036</v>
      </c>
      <c r="AB38" s="27" t="s">
        <v>643</v>
      </c>
      <c r="AC38" s="29" t="s">
        <v>644</v>
      </c>
      <c r="AF38" s="2" t="s">
        <v>645</v>
      </c>
      <c r="AG38" s="2">
        <v>100</v>
      </c>
    </row>
    <row r="39" ht="15">
      <c r="C39" s="4"/>
      <c r="D39" s="10"/>
      <c r="E39" s="11"/>
      <c r="F39" s="22"/>
      <c r="G39" s="7" t="s">
        <v>646</v>
      </c>
      <c r="H39" s="5">
        <f t="shared" si="1"/>
        <v>260</v>
      </c>
      <c r="I39" s="5" t="s">
        <v>551</v>
      </c>
      <c r="J39" s="5">
        <v>2</v>
      </c>
      <c r="M39" s="3" t="s">
        <v>645</v>
      </c>
      <c r="N39" s="2">
        <v>100</v>
      </c>
      <c r="S39" s="24" t="s">
        <v>647</v>
      </c>
      <c r="T39" s="24">
        <v>208</v>
      </c>
      <c r="U39" s="24" t="s">
        <v>648</v>
      </c>
      <c r="V39" s="24">
        <v>1</v>
      </c>
      <c r="W39" s="2"/>
      <c r="X39" s="2">
        <v>2037</v>
      </c>
      <c r="AB39" s="27" t="s">
        <v>649</v>
      </c>
      <c r="AC39" s="29" t="s">
        <v>650</v>
      </c>
      <c r="AF39" s="2" t="s">
        <v>651</v>
      </c>
      <c r="AG39" s="2">
        <v>535</v>
      </c>
    </row>
    <row r="40" ht="15">
      <c r="C40" s="4"/>
      <c r="D40" s="10"/>
      <c r="E40" s="11"/>
      <c r="F40" s="22"/>
      <c r="G40" s="7" t="s">
        <v>652</v>
      </c>
      <c r="H40" s="5">
        <f t="shared" si="1"/>
        <v>261</v>
      </c>
      <c r="I40" s="5" t="s">
        <v>551</v>
      </c>
      <c r="J40" s="5">
        <v>2</v>
      </c>
      <c r="M40" s="3" t="s">
        <v>651</v>
      </c>
      <c r="N40" s="2">
        <v>535</v>
      </c>
      <c r="S40" s="24" t="s">
        <v>653</v>
      </c>
      <c r="T40" s="24">
        <v>214</v>
      </c>
      <c r="U40" s="23" t="s">
        <v>654</v>
      </c>
      <c r="V40" s="23">
        <v>1</v>
      </c>
      <c r="W40" s="2"/>
      <c r="X40" s="2">
        <v>2038</v>
      </c>
      <c r="AB40" s="27" t="s">
        <v>655</v>
      </c>
      <c r="AC40" s="29" t="s">
        <v>656</v>
      </c>
      <c r="AF40" s="2" t="s">
        <v>657</v>
      </c>
      <c r="AG40" s="2">
        <v>70</v>
      </c>
    </row>
    <row r="41" ht="15">
      <c r="C41" s="4"/>
      <c r="D41" s="10"/>
      <c r="E41" s="11"/>
      <c r="F41" s="22"/>
      <c r="G41" s="7" t="s">
        <v>658</v>
      </c>
      <c r="H41" s="5">
        <f t="shared" si="1"/>
        <v>262</v>
      </c>
      <c r="I41" s="5" t="s">
        <v>551</v>
      </c>
      <c r="J41" s="5">
        <v>2</v>
      </c>
      <c r="M41" s="3" t="s">
        <v>657</v>
      </c>
      <c r="N41" s="2">
        <v>70</v>
      </c>
      <c r="S41" s="24" t="s">
        <v>659</v>
      </c>
      <c r="T41" s="24">
        <v>222</v>
      </c>
      <c r="U41" s="24" t="s">
        <v>660</v>
      </c>
      <c r="V41" s="24">
        <v>1</v>
      </c>
      <c r="W41" s="2"/>
      <c r="X41" s="2">
        <v>2039</v>
      </c>
      <c r="AB41" s="27" t="s">
        <v>661</v>
      </c>
      <c r="AC41" s="29" t="s">
        <v>662</v>
      </c>
      <c r="AF41" s="2" t="s">
        <v>663</v>
      </c>
      <c r="AG41" s="2">
        <v>72</v>
      </c>
    </row>
    <row r="42" ht="15">
      <c r="C42" s="4"/>
      <c r="D42" s="10"/>
      <c r="E42" s="11"/>
      <c r="F42" s="22"/>
      <c r="G42" s="7" t="s">
        <v>664</v>
      </c>
      <c r="H42" s="5">
        <f t="shared" si="1"/>
        <v>263</v>
      </c>
      <c r="I42" s="5" t="s">
        <v>551</v>
      </c>
      <c r="J42" s="5">
        <v>2</v>
      </c>
      <c r="M42" s="3" t="s">
        <v>663</v>
      </c>
      <c r="N42" s="2">
        <v>72</v>
      </c>
      <c r="S42" s="24" t="s">
        <v>665</v>
      </c>
      <c r="T42" s="24">
        <v>230</v>
      </c>
      <c r="U42" s="23" t="s">
        <v>666</v>
      </c>
      <c r="V42" s="23">
        <v>1</v>
      </c>
      <c r="W42" s="2"/>
      <c r="X42" s="2">
        <v>2040</v>
      </c>
      <c r="AB42" s="27" t="s">
        <v>667</v>
      </c>
      <c r="AC42" s="29" t="s">
        <v>668</v>
      </c>
      <c r="AF42" s="2" t="s">
        <v>669</v>
      </c>
      <c r="AG42" s="2">
        <v>74</v>
      </c>
    </row>
    <row r="43" ht="15">
      <c r="C43" s="4"/>
      <c r="D43" s="10"/>
      <c r="E43" s="11"/>
      <c r="F43" s="22"/>
      <c r="M43" s="3" t="s">
        <v>669</v>
      </c>
      <c r="N43" s="2">
        <v>74</v>
      </c>
      <c r="S43" s="24" t="s">
        <v>670</v>
      </c>
      <c r="T43" s="24">
        <v>232</v>
      </c>
      <c r="U43" s="24" t="s">
        <v>671</v>
      </c>
      <c r="V43" s="24">
        <v>1</v>
      </c>
      <c r="W43" s="2"/>
      <c r="X43" s="2">
        <v>2041</v>
      </c>
      <c r="AB43" s="27" t="s">
        <v>672</v>
      </c>
      <c r="AC43" s="29" t="s">
        <v>673</v>
      </c>
      <c r="AF43" s="2" t="s">
        <v>674</v>
      </c>
      <c r="AG43" s="2">
        <v>76</v>
      </c>
    </row>
    <row r="44" ht="15">
      <c r="C44" s="4"/>
      <c r="D44" s="10"/>
      <c r="E44" s="11"/>
      <c r="F44" s="22"/>
      <c r="M44" s="3" t="s">
        <v>674</v>
      </c>
      <c r="N44" s="2">
        <v>76</v>
      </c>
      <c r="S44" s="24" t="s">
        <v>675</v>
      </c>
      <c r="T44" s="24">
        <v>233</v>
      </c>
      <c r="U44" s="23"/>
      <c r="V44" s="23">
        <v>1</v>
      </c>
      <c r="W44" s="2"/>
      <c r="X44" s="2">
        <v>2042</v>
      </c>
      <c r="AB44" s="27" t="s">
        <v>676</v>
      </c>
      <c r="AC44" s="29" t="s">
        <v>677</v>
      </c>
      <c r="AF44" s="2" t="s">
        <v>678</v>
      </c>
      <c r="AG44" s="2">
        <v>21</v>
      </c>
    </row>
    <row r="45" ht="15">
      <c r="C45" s="4"/>
      <c r="D45" s="10"/>
      <c r="E45" s="11"/>
      <c r="F45" s="22"/>
      <c r="G45" s="7"/>
      <c r="H45" s="5"/>
      <c r="I45" s="5"/>
      <c r="J45" s="5"/>
      <c r="M45" s="3" t="s">
        <v>678</v>
      </c>
      <c r="N45" s="2">
        <v>21</v>
      </c>
      <c r="S45" s="24" t="s">
        <v>679</v>
      </c>
      <c r="T45" s="24">
        <v>238</v>
      </c>
      <c r="U45" s="24" t="s">
        <v>680</v>
      </c>
      <c r="V45" s="24">
        <v>1</v>
      </c>
      <c r="W45" s="2"/>
      <c r="X45" s="2">
        <v>2043</v>
      </c>
      <c r="AB45" s="27" t="s">
        <v>681</v>
      </c>
      <c r="AC45" s="29" t="s">
        <v>682</v>
      </c>
      <c r="AF45" s="2" t="s">
        <v>683</v>
      </c>
      <c r="AG45" s="2">
        <v>96</v>
      </c>
    </row>
    <row r="46" ht="15">
      <c r="C46" s="4"/>
      <c r="D46" s="10"/>
      <c r="E46" s="11"/>
      <c r="F46" s="22"/>
      <c r="G46" s="7"/>
      <c r="H46" s="5"/>
      <c r="I46" s="5"/>
      <c r="J46" s="5"/>
      <c r="M46" s="3" t="s">
        <v>683</v>
      </c>
      <c r="N46" s="2">
        <v>96</v>
      </c>
      <c r="S46" s="24" t="s">
        <v>684</v>
      </c>
      <c r="T46" s="24">
        <v>242</v>
      </c>
      <c r="U46" s="23" t="s">
        <v>685</v>
      </c>
      <c r="V46" s="23">
        <v>1</v>
      </c>
      <c r="W46" s="2"/>
      <c r="X46" s="2">
        <v>2044</v>
      </c>
      <c r="AB46" s="27" t="s">
        <v>686</v>
      </c>
      <c r="AC46" s="29" t="s">
        <v>687</v>
      </c>
      <c r="AF46" s="2" t="s">
        <v>688</v>
      </c>
      <c r="AG46" s="2">
        <v>854</v>
      </c>
    </row>
    <row r="47" ht="15">
      <c r="C47" s="4"/>
      <c r="D47" s="10"/>
      <c r="E47" s="11"/>
      <c r="F47" s="22"/>
      <c r="G47" s="6" t="s">
        <v>689</v>
      </c>
      <c r="H47" s="5">
        <f>300</f>
        <v>300</v>
      </c>
      <c r="M47" s="3" t="s">
        <v>688</v>
      </c>
      <c r="N47" s="2">
        <v>854</v>
      </c>
      <c r="S47" s="24" t="s">
        <v>690</v>
      </c>
      <c r="T47" s="24">
        <v>246</v>
      </c>
      <c r="U47" s="24"/>
      <c r="V47" s="24">
        <v>1</v>
      </c>
      <c r="W47" s="2"/>
      <c r="X47" s="2">
        <v>2045</v>
      </c>
      <c r="AB47" s="27" t="s">
        <v>691</v>
      </c>
      <c r="AC47" s="29" t="s">
        <v>692</v>
      </c>
      <c r="AF47" s="2" t="s">
        <v>693</v>
      </c>
      <c r="AG47" s="2">
        <v>108</v>
      </c>
    </row>
    <row r="48" ht="15">
      <c r="C48" s="4"/>
      <c r="D48" s="10"/>
      <c r="E48" s="11"/>
      <c r="F48" s="22"/>
      <c r="G48" s="6" t="s">
        <v>694</v>
      </c>
      <c r="H48" s="5">
        <f ref="H48:H51" t="shared" si="2">H47+10</f>
        <v>310</v>
      </c>
      <c r="M48" s="3" t="s">
        <v>693</v>
      </c>
      <c r="N48" s="2">
        <v>108</v>
      </c>
      <c r="S48" s="24" t="s">
        <v>695</v>
      </c>
      <c r="T48" s="24">
        <v>250</v>
      </c>
      <c r="U48" s="23"/>
      <c r="V48" s="23">
        <v>1</v>
      </c>
      <c r="W48" s="2"/>
      <c r="X48" s="2">
        <v>2046</v>
      </c>
      <c r="AB48" s="27" t="s">
        <v>696</v>
      </c>
      <c r="AC48" s="29" t="s">
        <v>697</v>
      </c>
      <c r="AF48" s="2" t="s">
        <v>698</v>
      </c>
      <c r="AG48" s="2">
        <v>64</v>
      </c>
    </row>
    <row r="49" ht="15">
      <c r="C49" s="4"/>
      <c r="D49" s="10"/>
      <c r="E49" s="11"/>
      <c r="G49" s="6" t="s">
        <v>699</v>
      </c>
      <c r="H49" s="5">
        <f t="shared" si="2"/>
        <v>320</v>
      </c>
      <c r="I49" s="5"/>
      <c r="J49" s="5"/>
      <c r="M49" s="3" t="s">
        <v>698</v>
      </c>
      <c r="N49" s="2">
        <v>64</v>
      </c>
      <c r="S49" s="24" t="s">
        <v>700</v>
      </c>
      <c r="T49" s="24">
        <v>262</v>
      </c>
      <c r="U49" s="24" t="s">
        <v>701</v>
      </c>
      <c r="V49" s="24">
        <v>1</v>
      </c>
      <c r="W49" s="2"/>
      <c r="X49" s="2">
        <v>2047</v>
      </c>
      <c r="AB49" s="27" t="s">
        <v>702</v>
      </c>
      <c r="AC49" s="29" t="s">
        <v>703</v>
      </c>
      <c r="AF49" s="2" t="s">
        <v>704</v>
      </c>
      <c r="AG49" s="2">
        <v>148</v>
      </c>
    </row>
    <row r="50" ht="15">
      <c r="C50" s="4"/>
      <c r="D50" s="10"/>
      <c r="E50" s="11"/>
      <c r="G50" s="6" t="s">
        <v>705</v>
      </c>
      <c r="H50" s="5">
        <f t="shared" si="2"/>
        <v>330</v>
      </c>
      <c r="I50" s="5"/>
      <c r="J50" s="5"/>
      <c r="M50" s="3" t="s">
        <v>704</v>
      </c>
      <c r="N50" s="2">
        <v>148</v>
      </c>
      <c r="S50" s="24" t="s">
        <v>706</v>
      </c>
      <c r="T50" s="24">
        <v>270</v>
      </c>
      <c r="U50" s="23" t="s">
        <v>707</v>
      </c>
      <c r="V50" s="23">
        <v>1</v>
      </c>
      <c r="W50" s="2"/>
      <c r="X50" s="2">
        <v>2048</v>
      </c>
      <c r="AB50" s="27" t="s">
        <v>708</v>
      </c>
      <c r="AC50" s="29" t="s">
        <v>709</v>
      </c>
      <c r="AF50" s="2" t="s">
        <v>710</v>
      </c>
      <c r="AG50" s="2">
        <v>292</v>
      </c>
    </row>
    <row r="51" ht="15">
      <c r="C51" s="4"/>
      <c r="D51" s="10"/>
      <c r="E51" s="11"/>
      <c r="G51" s="6" t="s">
        <v>711</v>
      </c>
      <c r="H51" s="5">
        <f t="shared" si="2"/>
        <v>340</v>
      </c>
      <c r="I51" s="5"/>
      <c r="J51" s="5"/>
      <c r="M51" s="3" t="s">
        <v>710</v>
      </c>
      <c r="N51" s="2">
        <v>292</v>
      </c>
      <c r="S51" s="24" t="s">
        <v>712</v>
      </c>
      <c r="T51" s="24">
        <v>280</v>
      </c>
      <c r="U51" s="24"/>
      <c r="V51" s="24">
        <v>1</v>
      </c>
      <c r="W51" s="2"/>
      <c r="X51" s="2">
        <v>2049</v>
      </c>
      <c r="AB51" s="27" t="s">
        <v>713</v>
      </c>
      <c r="AC51" s="29" t="s">
        <v>714</v>
      </c>
      <c r="AF51" s="2" t="s">
        <v>715</v>
      </c>
      <c r="AG51" s="2">
        <v>710</v>
      </c>
    </row>
    <row r="52" ht="15">
      <c r="C52" s="4"/>
      <c r="D52" s="10"/>
      <c r="E52" s="11"/>
      <c r="H52" s="5"/>
      <c r="I52" s="5"/>
      <c r="J52" s="5"/>
      <c r="M52" s="3" t="s">
        <v>715</v>
      </c>
      <c r="N52" s="2">
        <v>710</v>
      </c>
      <c r="S52" s="24" t="s">
        <v>716</v>
      </c>
      <c r="T52" s="24">
        <v>288</v>
      </c>
      <c r="U52" s="23"/>
      <c r="V52" s="23">
        <v>1</v>
      </c>
      <c r="W52" s="2"/>
      <c r="X52" s="2">
        <v>2050</v>
      </c>
      <c r="AB52" s="27" t="s">
        <v>717</v>
      </c>
      <c r="AC52" s="29" t="s">
        <v>718</v>
      </c>
      <c r="AF52" s="2" t="s">
        <v>719</v>
      </c>
      <c r="AG52" s="2">
        <v>239</v>
      </c>
    </row>
    <row r="53" ht="15">
      <c r="C53" s="4"/>
      <c r="D53" s="10"/>
      <c r="E53" s="11"/>
      <c r="H53" s="5"/>
      <c r="I53" s="5"/>
      <c r="J53" s="5"/>
      <c r="M53" s="3" t="s">
        <v>719</v>
      </c>
      <c r="N53" s="2">
        <v>239</v>
      </c>
      <c r="S53" s="24" t="s">
        <v>720</v>
      </c>
      <c r="T53" s="24">
        <v>292</v>
      </c>
      <c r="U53" s="24" t="s">
        <v>721</v>
      </c>
      <c r="V53" s="24">
        <v>1</v>
      </c>
      <c r="W53" s="2"/>
      <c r="X53" s="2">
        <v>2051</v>
      </c>
      <c r="AB53" s="27" t="s">
        <v>722</v>
      </c>
      <c r="AC53" s="29" t="s">
        <v>723</v>
      </c>
      <c r="AF53" s="2" t="s">
        <v>724</v>
      </c>
      <c r="AG53" s="2">
        <v>728</v>
      </c>
    </row>
    <row r="54" ht="15">
      <c r="C54" s="4"/>
      <c r="D54" s="10"/>
      <c r="E54" s="11"/>
      <c r="H54" s="5"/>
      <c r="I54" s="5"/>
      <c r="J54" s="5"/>
      <c r="M54" s="3" t="s">
        <v>724</v>
      </c>
      <c r="N54" s="2">
        <v>728</v>
      </c>
      <c r="S54" s="24" t="s">
        <v>725</v>
      </c>
      <c r="T54" s="24">
        <v>300</v>
      </c>
      <c r="U54" s="23"/>
      <c r="V54" s="23">
        <v>1</v>
      </c>
      <c r="W54" s="2"/>
      <c r="X54" s="2">
        <v>2052</v>
      </c>
      <c r="AB54" s="27" t="s">
        <v>726</v>
      </c>
      <c r="AC54" s="29" t="s">
        <v>727</v>
      </c>
      <c r="AF54" s="2" t="s">
        <v>728</v>
      </c>
      <c r="AG54" s="2">
        <v>832</v>
      </c>
    </row>
    <row r="55" ht="15">
      <c r="C55" s="4"/>
      <c r="D55" s="10"/>
      <c r="E55" s="11"/>
      <c r="H55" s="5"/>
      <c r="I55" s="5"/>
      <c r="J55" s="5"/>
      <c r="M55" s="3" t="s">
        <v>728</v>
      </c>
      <c r="N55" s="2">
        <v>832</v>
      </c>
      <c r="S55" s="24" t="s">
        <v>729</v>
      </c>
      <c r="T55" s="24">
        <v>320</v>
      </c>
      <c r="U55" s="24" t="s">
        <v>730</v>
      </c>
      <c r="V55" s="24">
        <v>1</v>
      </c>
      <c r="W55" s="2"/>
      <c r="X55" s="2">
        <v>2053</v>
      </c>
      <c r="AB55" s="27" t="s">
        <v>731</v>
      </c>
      <c r="AC55" s="29" t="s">
        <v>732</v>
      </c>
      <c r="AF55" s="2" t="s">
        <v>733</v>
      </c>
      <c r="AG55" s="2">
        <v>203</v>
      </c>
    </row>
    <row r="56" ht="15">
      <c r="C56" s="4"/>
      <c r="D56" s="10"/>
      <c r="E56" s="11"/>
      <c r="H56" s="5"/>
      <c r="I56" s="5"/>
      <c r="J56" s="5"/>
      <c r="M56" s="3" t="s">
        <v>733</v>
      </c>
      <c r="N56" s="2">
        <v>203</v>
      </c>
      <c r="S56" s="24" t="s">
        <v>734</v>
      </c>
      <c r="T56" s="24">
        <v>324</v>
      </c>
      <c r="U56" s="23" t="s">
        <v>735</v>
      </c>
      <c r="V56" s="23">
        <v>1</v>
      </c>
      <c r="W56" s="2"/>
      <c r="X56" s="2">
        <v>2054</v>
      </c>
      <c r="AB56" s="27" t="s">
        <v>736</v>
      </c>
      <c r="AC56" s="29" t="s">
        <v>737</v>
      </c>
      <c r="AF56" s="2" t="s">
        <v>738</v>
      </c>
      <c r="AG56" s="2">
        <v>262</v>
      </c>
    </row>
    <row r="57" ht="15">
      <c r="C57" s="4"/>
      <c r="D57" s="10"/>
      <c r="E57" s="11"/>
      <c r="I57" s="5"/>
      <c r="J57" s="5">
        <v>3</v>
      </c>
      <c r="M57" s="3" t="s">
        <v>738</v>
      </c>
      <c r="N57" s="2">
        <v>262</v>
      </c>
      <c r="S57" s="24" t="s">
        <v>739</v>
      </c>
      <c r="T57" s="24">
        <v>328</v>
      </c>
      <c r="U57" s="24" t="s">
        <v>740</v>
      </c>
      <c r="V57" s="24">
        <v>1</v>
      </c>
      <c r="W57" s="2"/>
      <c r="X57" s="2">
        <v>2055</v>
      </c>
      <c r="AB57" s="27" t="s">
        <v>741</v>
      </c>
      <c r="AC57" s="29" t="s">
        <v>742</v>
      </c>
      <c r="AF57" s="2" t="s">
        <v>743</v>
      </c>
      <c r="AG57" s="2">
        <v>152</v>
      </c>
    </row>
    <row r="58" ht="15">
      <c r="C58" s="4"/>
      <c r="D58" s="10"/>
      <c r="E58" s="11"/>
      <c r="I58" s="5"/>
      <c r="J58" s="5">
        <v>3</v>
      </c>
      <c r="M58" s="3" t="s">
        <v>743</v>
      </c>
      <c r="N58" s="2">
        <v>152</v>
      </c>
      <c r="S58" s="24" t="s">
        <v>744</v>
      </c>
      <c r="T58" s="24">
        <v>332</v>
      </c>
      <c r="U58" s="23" t="s">
        <v>745</v>
      </c>
      <c r="V58" s="23">
        <v>1</v>
      </c>
      <c r="W58" s="2"/>
      <c r="X58" s="2">
        <v>2056</v>
      </c>
      <c r="AB58" s="27" t="s">
        <v>746</v>
      </c>
      <c r="AC58" s="29" t="s">
        <v>747</v>
      </c>
      <c r="AF58" s="2" t="s">
        <v>748</v>
      </c>
      <c r="AG58" s="2">
        <v>156</v>
      </c>
    </row>
    <row r="59" ht="15">
      <c r="C59" s="4"/>
      <c r="D59" s="10"/>
      <c r="E59" s="11"/>
      <c r="I59" s="5"/>
      <c r="J59" s="5">
        <v>3</v>
      </c>
      <c r="M59" s="3" t="s">
        <v>748</v>
      </c>
      <c r="N59" s="2">
        <v>156</v>
      </c>
      <c r="S59" s="24" t="s">
        <v>749</v>
      </c>
      <c r="T59" s="24">
        <v>340</v>
      </c>
      <c r="U59" s="24" t="s">
        <v>750</v>
      </c>
      <c r="V59" s="24">
        <v>1</v>
      </c>
      <c r="W59" s="2"/>
      <c r="X59" s="2">
        <v>2057</v>
      </c>
      <c r="AB59" s="27" t="s">
        <v>751</v>
      </c>
      <c r="AC59" s="29" t="s">
        <v>752</v>
      </c>
      <c r="AF59" s="2" t="s">
        <v>753</v>
      </c>
      <c r="AG59" s="2">
        <v>344</v>
      </c>
    </row>
    <row r="60" ht="15">
      <c r="C60" s="4"/>
      <c r="D60" s="10"/>
      <c r="E60" s="11"/>
      <c r="I60" s="5"/>
      <c r="J60" s="5">
        <v>3</v>
      </c>
      <c r="M60" s="3" t="s">
        <v>753</v>
      </c>
      <c r="N60" s="2">
        <v>344</v>
      </c>
      <c r="S60" s="24" t="s">
        <v>754</v>
      </c>
      <c r="T60" s="24">
        <v>344</v>
      </c>
      <c r="U60" s="23" t="s">
        <v>755</v>
      </c>
      <c r="V60" s="23">
        <v>1</v>
      </c>
      <c r="W60" s="2"/>
      <c r="X60" s="2">
        <v>2058</v>
      </c>
      <c r="AB60" s="27" t="s">
        <v>756</v>
      </c>
      <c r="AC60" s="29" t="s">
        <v>757</v>
      </c>
      <c r="AF60" s="2" t="s">
        <v>758</v>
      </c>
      <c r="AG60" s="2">
        <v>446</v>
      </c>
    </row>
    <row r="61" ht="15">
      <c r="C61" s="4"/>
      <c r="D61" s="10"/>
      <c r="E61" s="11"/>
      <c r="I61" s="5"/>
      <c r="J61" s="5">
        <v>3</v>
      </c>
      <c r="M61" s="3" t="s">
        <v>758</v>
      </c>
      <c r="N61" s="2">
        <v>446</v>
      </c>
      <c r="S61" s="24" t="s">
        <v>759</v>
      </c>
      <c r="T61" s="24">
        <v>348</v>
      </c>
      <c r="U61" s="24" t="s">
        <v>760</v>
      </c>
      <c r="V61" s="24">
        <v>1</v>
      </c>
      <c r="W61" s="2"/>
      <c r="X61" s="2">
        <v>2059</v>
      </c>
      <c r="AB61" s="27" t="s">
        <v>761</v>
      </c>
      <c r="AC61" s="29" t="s">
        <v>762</v>
      </c>
      <c r="AF61" s="2" t="s">
        <v>763</v>
      </c>
      <c r="AG61" s="2">
        <v>208</v>
      </c>
    </row>
    <row r="62" ht="15">
      <c r="C62" s="4"/>
      <c r="D62" s="10"/>
      <c r="E62" s="11"/>
      <c r="I62" s="5"/>
      <c r="J62" s="5">
        <v>3</v>
      </c>
      <c r="M62" s="3" t="s">
        <v>763</v>
      </c>
      <c r="N62" s="2">
        <v>208</v>
      </c>
      <c r="S62" s="24" t="s">
        <v>764</v>
      </c>
      <c r="T62" s="24">
        <v>352</v>
      </c>
      <c r="U62" s="23" t="s">
        <v>765</v>
      </c>
      <c r="V62" s="23">
        <v>1</v>
      </c>
      <c r="W62" s="2"/>
      <c r="X62" s="2">
        <v>2060</v>
      </c>
      <c r="AB62" s="27" t="s">
        <v>766</v>
      </c>
      <c r="AC62" s="29" t="s">
        <v>767</v>
      </c>
      <c r="AF62" s="2" t="s">
        <v>768</v>
      </c>
      <c r="AG62" s="2">
        <v>34</v>
      </c>
    </row>
    <row r="63" ht="15">
      <c r="C63" s="4"/>
      <c r="D63" s="10"/>
      <c r="E63" s="11"/>
      <c r="I63" s="5"/>
      <c r="J63" s="5">
        <v>3</v>
      </c>
      <c r="M63" s="3" t="s">
        <v>768</v>
      </c>
      <c r="N63" s="2">
        <v>34</v>
      </c>
      <c r="S63" s="24" t="s">
        <v>769</v>
      </c>
      <c r="T63" s="24">
        <v>356</v>
      </c>
      <c r="U63" s="24" t="s">
        <v>770</v>
      </c>
      <c r="V63" s="24">
        <v>1</v>
      </c>
      <c r="W63" s="2"/>
      <c r="X63" s="2">
        <v>2061</v>
      </c>
      <c r="AB63" s="27" t="s">
        <v>771</v>
      </c>
      <c r="AC63" s="29" t="s">
        <v>772</v>
      </c>
      <c r="AF63" s="2" t="s">
        <v>773</v>
      </c>
      <c r="AG63" s="2">
        <v>1</v>
      </c>
    </row>
    <row r="64" ht="15">
      <c r="C64" s="4"/>
      <c r="D64" s="10"/>
      <c r="E64" s="11"/>
      <c r="H64" s="5"/>
      <c r="I64" s="5"/>
      <c r="J64" s="5"/>
      <c r="M64" s="3" t="s">
        <v>773</v>
      </c>
      <c r="N64" s="2">
        <v>1</v>
      </c>
      <c r="S64" s="24" t="s">
        <v>774</v>
      </c>
      <c r="T64" s="24">
        <v>360</v>
      </c>
      <c r="U64" s="23" t="s">
        <v>775</v>
      </c>
      <c r="V64" s="23">
        <v>100</v>
      </c>
      <c r="W64" s="2"/>
      <c r="X64" s="2">
        <v>2062</v>
      </c>
      <c r="AB64" s="27" t="s">
        <v>776</v>
      </c>
      <c r="AC64" s="29" t="s">
        <v>777</v>
      </c>
      <c r="AF64" s="2" t="s">
        <v>778</v>
      </c>
      <c r="AG64" s="2">
        <v>212</v>
      </c>
    </row>
    <row r="65" ht="15">
      <c r="C65" s="4"/>
      <c r="D65" s="10"/>
      <c r="E65" s="11"/>
      <c r="H65" s="5"/>
      <c r="I65" s="5"/>
      <c r="J65" s="5"/>
      <c r="M65" s="3" t="s">
        <v>778</v>
      </c>
      <c r="N65" s="2">
        <v>212</v>
      </c>
      <c r="S65" s="24" t="s">
        <v>355</v>
      </c>
      <c r="T65" s="24">
        <v>364</v>
      </c>
      <c r="U65" s="24" t="s">
        <v>779</v>
      </c>
      <c r="V65" s="24">
        <v>100</v>
      </c>
      <c r="W65" s="2"/>
      <c r="X65" s="2">
        <v>2063</v>
      </c>
      <c r="AB65" s="27" t="s">
        <v>780</v>
      </c>
      <c r="AC65" s="29" t="s">
        <v>781</v>
      </c>
      <c r="AF65" s="2" t="s">
        <v>782</v>
      </c>
      <c r="AG65" s="2">
        <v>214</v>
      </c>
    </row>
    <row r="66" ht="15">
      <c r="C66" s="4"/>
      <c r="D66" s="10"/>
      <c r="E66" s="11"/>
      <c r="H66" s="5"/>
      <c r="I66" s="5"/>
      <c r="J66" s="5"/>
      <c r="M66" s="3" t="s">
        <v>782</v>
      </c>
      <c r="N66" s="2">
        <v>214</v>
      </c>
      <c r="S66" s="24" t="s">
        <v>783</v>
      </c>
      <c r="T66" s="24">
        <v>368</v>
      </c>
      <c r="U66" s="23" t="s">
        <v>784</v>
      </c>
      <c r="V66" s="23">
        <v>1</v>
      </c>
      <c r="W66" s="2"/>
      <c r="X66" s="2">
        <v>2064</v>
      </c>
      <c r="AB66" s="27" t="s">
        <v>785</v>
      </c>
      <c r="AC66" s="29" t="s">
        <v>786</v>
      </c>
      <c r="AF66" s="2" t="s">
        <v>787</v>
      </c>
      <c r="AG66" s="2">
        <v>33</v>
      </c>
    </row>
    <row r="67" ht="15">
      <c r="C67" s="4"/>
      <c r="D67" s="10"/>
      <c r="E67" s="11"/>
      <c r="H67" s="5"/>
      <c r="I67" s="5"/>
      <c r="J67" s="5"/>
      <c r="M67" s="3" t="s">
        <v>787</v>
      </c>
      <c r="N67" s="2">
        <v>33</v>
      </c>
      <c r="S67" s="24" t="s">
        <v>788</v>
      </c>
      <c r="T67" s="24">
        <v>372</v>
      </c>
      <c r="U67" s="24"/>
      <c r="V67" s="24">
        <v>1</v>
      </c>
      <c r="W67" s="2"/>
      <c r="X67" s="2">
        <v>2065</v>
      </c>
      <c r="AB67" s="27" t="s">
        <v>785</v>
      </c>
      <c r="AC67" s="29" t="s">
        <v>789</v>
      </c>
      <c r="AF67" s="2" t="s">
        <v>790</v>
      </c>
      <c r="AG67" s="2">
        <v>9</v>
      </c>
    </row>
    <row r="68" ht="15">
      <c r="C68" s="4"/>
      <c r="D68" s="10"/>
      <c r="E68" s="11"/>
      <c r="H68" s="5"/>
      <c r="I68" s="5"/>
      <c r="J68" s="5"/>
      <c r="M68" s="3" t="s">
        <v>790</v>
      </c>
      <c r="N68" s="2">
        <v>9</v>
      </c>
      <c r="S68" s="24" t="s">
        <v>791</v>
      </c>
      <c r="T68" s="24">
        <v>376</v>
      </c>
      <c r="U68" s="23" t="s">
        <v>792</v>
      </c>
      <c r="V68" s="23">
        <v>1</v>
      </c>
      <c r="W68" s="2"/>
      <c r="X68" s="2">
        <v>2066</v>
      </c>
      <c r="AB68" s="27" t="s">
        <v>793</v>
      </c>
      <c r="AC68" s="29" t="s">
        <v>794</v>
      </c>
      <c r="AF68" s="2" t="s">
        <v>795</v>
      </c>
      <c r="AG68" s="2">
        <v>4</v>
      </c>
    </row>
    <row r="69" ht="15">
      <c r="C69" s="4"/>
      <c r="D69" s="10"/>
      <c r="E69" s="11"/>
      <c r="H69" s="5"/>
      <c r="I69" s="5"/>
      <c r="J69" s="5"/>
      <c r="M69" s="3" t="s">
        <v>795</v>
      </c>
      <c r="N69" s="2">
        <v>4</v>
      </c>
      <c r="S69" s="24" t="s">
        <v>796</v>
      </c>
      <c r="T69" s="24">
        <v>380</v>
      </c>
      <c r="U69" s="24"/>
      <c r="V69" s="24">
        <v>1</v>
      </c>
      <c r="W69" s="2"/>
      <c r="X69" s="2">
        <v>2084</v>
      </c>
      <c r="AB69" s="27" t="s">
        <v>797</v>
      </c>
      <c r="AC69" s="29" t="s">
        <v>798</v>
      </c>
      <c r="AF69" s="2" t="s">
        <v>799</v>
      </c>
      <c r="AG69" s="2">
        <v>218</v>
      </c>
    </row>
    <row r="70" ht="15">
      <c r="C70" s="4"/>
      <c r="D70" s="10"/>
      <c r="E70" s="11"/>
      <c r="H70" s="5"/>
      <c r="I70" s="5"/>
      <c r="J70" s="5"/>
      <c r="M70" s="3" t="s">
        <v>799</v>
      </c>
      <c r="N70" s="2">
        <v>218</v>
      </c>
      <c r="S70" s="24" t="s">
        <v>800</v>
      </c>
      <c r="T70" s="24">
        <v>388</v>
      </c>
      <c r="U70" s="23" t="s">
        <v>801</v>
      </c>
      <c r="V70" s="23">
        <v>1</v>
      </c>
      <c r="W70" s="2"/>
      <c r="X70" s="2">
        <v>2085</v>
      </c>
      <c r="AB70" s="27" t="s">
        <v>802</v>
      </c>
      <c r="AC70" s="29" t="s">
        <v>803</v>
      </c>
      <c r="AF70" s="2" t="s">
        <v>804</v>
      </c>
      <c r="AG70" s="2">
        <v>226</v>
      </c>
    </row>
    <row r="71" ht="15">
      <c r="C71" s="4"/>
      <c r="D71" s="10"/>
      <c r="E71" s="11"/>
      <c r="H71" s="5"/>
      <c r="I71" s="5"/>
      <c r="J71" s="5"/>
      <c r="M71" s="3" t="s">
        <v>804</v>
      </c>
      <c r="N71" s="2">
        <v>226</v>
      </c>
      <c r="S71" s="24" t="s">
        <v>805</v>
      </c>
      <c r="T71" s="24">
        <v>392</v>
      </c>
      <c r="U71" s="24" t="s">
        <v>806</v>
      </c>
      <c r="V71" s="24">
        <v>100</v>
      </c>
      <c r="W71" s="2"/>
      <c r="X71" s="2">
        <v>2086</v>
      </c>
      <c r="AB71" s="27" t="s">
        <v>807</v>
      </c>
      <c r="AC71" s="29" t="s">
        <v>808</v>
      </c>
      <c r="AF71" s="2" t="s">
        <v>809</v>
      </c>
      <c r="AG71" s="2">
        <v>12</v>
      </c>
    </row>
    <row r="72" ht="15">
      <c r="C72" s="4"/>
      <c r="D72" s="10"/>
      <c r="E72" s="11"/>
      <c r="F72" s="22"/>
      <c r="H72" s="5"/>
      <c r="I72" s="5"/>
      <c r="J72" s="5"/>
      <c r="M72" s="3" t="s">
        <v>809</v>
      </c>
      <c r="N72" s="2">
        <v>12</v>
      </c>
      <c r="S72" s="24" t="s">
        <v>810</v>
      </c>
      <c r="T72" s="24">
        <v>398</v>
      </c>
      <c r="U72" s="23" t="s">
        <v>811</v>
      </c>
      <c r="V72" s="23">
        <v>1</v>
      </c>
      <c r="W72" s="2"/>
      <c r="X72" s="2">
        <v>2087</v>
      </c>
      <c r="AB72" s="27" t="s">
        <v>812</v>
      </c>
      <c r="AC72" s="29" t="s">
        <v>813</v>
      </c>
      <c r="AF72" s="2" t="s">
        <v>814</v>
      </c>
      <c r="AG72" s="2">
        <v>232</v>
      </c>
    </row>
    <row r="73" ht="15">
      <c r="C73" s="4"/>
      <c r="D73" s="10"/>
      <c r="E73" s="11"/>
      <c r="F73" s="22"/>
      <c r="H73" s="5"/>
      <c r="I73" s="5"/>
      <c r="J73" s="5"/>
      <c r="M73" s="3" t="s">
        <v>814</v>
      </c>
      <c r="N73" s="2">
        <v>232</v>
      </c>
      <c r="S73" s="24" t="s">
        <v>815</v>
      </c>
      <c r="T73" s="24">
        <v>400</v>
      </c>
      <c r="U73" s="24" t="s">
        <v>816</v>
      </c>
      <c r="V73" s="24">
        <v>1</v>
      </c>
      <c r="W73" s="2"/>
      <c r="X73" s="2">
        <v>2088</v>
      </c>
      <c r="AB73" s="27" t="s">
        <v>817</v>
      </c>
      <c r="AC73" s="29" t="s">
        <v>818</v>
      </c>
      <c r="AF73" s="2" t="s">
        <v>819</v>
      </c>
      <c r="AG73" s="2">
        <v>51</v>
      </c>
    </row>
    <row r="74" ht="15">
      <c r="C74" s="4"/>
      <c r="D74" s="10"/>
      <c r="E74" s="11"/>
      <c r="F74" s="22"/>
      <c r="H74" s="5"/>
      <c r="I74" s="5"/>
      <c r="J74" s="5"/>
      <c r="M74" s="3" t="s">
        <v>819</v>
      </c>
      <c r="N74" s="2">
        <v>51</v>
      </c>
      <c r="S74" s="24" t="s">
        <v>820</v>
      </c>
      <c r="T74" s="24">
        <v>404</v>
      </c>
      <c r="U74" s="23" t="s">
        <v>821</v>
      </c>
      <c r="V74" s="23">
        <v>1</v>
      </c>
      <c r="W74" s="2"/>
      <c r="X74" s="2">
        <v>2089</v>
      </c>
      <c r="AB74" s="27" t="s">
        <v>822</v>
      </c>
      <c r="AC74" s="29" t="s">
        <v>823</v>
      </c>
      <c r="AF74" s="2" t="s">
        <v>824</v>
      </c>
      <c r="AG74" s="2">
        <v>233</v>
      </c>
    </row>
    <row r="75" ht="15">
      <c r="C75" s="4"/>
      <c r="D75" s="10"/>
      <c r="E75" s="11"/>
      <c r="F75" s="22"/>
      <c r="H75" s="5"/>
      <c r="I75" s="5"/>
      <c r="J75" s="5"/>
      <c r="M75" s="3" t="s">
        <v>824</v>
      </c>
      <c r="N75" s="2">
        <v>233</v>
      </c>
      <c r="S75" s="24" t="s">
        <v>825</v>
      </c>
      <c r="T75" s="24">
        <v>408</v>
      </c>
      <c r="U75" s="24" t="s">
        <v>826</v>
      </c>
      <c r="V75" s="24">
        <v>1</v>
      </c>
      <c r="W75" s="2"/>
      <c r="X75" s="2">
        <v>2090</v>
      </c>
      <c r="AB75" s="27" t="s">
        <v>827</v>
      </c>
      <c r="AC75" s="29" t="s">
        <v>828</v>
      </c>
      <c r="AF75" s="2" t="s">
        <v>829</v>
      </c>
      <c r="AG75" s="2">
        <v>234</v>
      </c>
    </row>
    <row r="76" ht="15">
      <c r="C76" s="4"/>
      <c r="D76" s="10"/>
      <c r="E76" s="11"/>
      <c r="F76" s="22"/>
      <c r="H76" s="5"/>
      <c r="I76" s="5"/>
      <c r="J76" s="5"/>
      <c r="M76" s="3" t="s">
        <v>829</v>
      </c>
      <c r="N76" s="2">
        <v>234</v>
      </c>
      <c r="S76" s="24" t="s">
        <v>830</v>
      </c>
      <c r="T76" s="24">
        <v>410</v>
      </c>
      <c r="U76" s="23" t="s">
        <v>831</v>
      </c>
      <c r="V76" s="23">
        <v>100</v>
      </c>
      <c r="W76" s="2"/>
      <c r="X76" s="2">
        <v>2091</v>
      </c>
      <c r="AB76" s="27" t="s">
        <v>832</v>
      </c>
      <c r="AC76" s="29" t="s">
        <v>833</v>
      </c>
      <c r="AF76" s="2" t="s">
        <v>834</v>
      </c>
      <c r="AG76" s="2">
        <v>242</v>
      </c>
    </row>
    <row r="77" ht="15">
      <c r="C77" s="4"/>
      <c r="D77" s="10"/>
      <c r="E77" s="11"/>
      <c r="F77" s="22"/>
      <c r="H77" s="5"/>
      <c r="I77" s="5"/>
      <c r="J77" s="5"/>
      <c r="M77" s="3" t="s">
        <v>834</v>
      </c>
      <c r="N77" s="2">
        <v>242</v>
      </c>
      <c r="S77" s="24" t="s">
        <v>835</v>
      </c>
      <c r="T77" s="24">
        <v>414</v>
      </c>
      <c r="U77" s="24" t="s">
        <v>836</v>
      </c>
      <c r="V77" s="24">
        <v>1</v>
      </c>
      <c r="W77" s="2"/>
      <c r="X77" s="2">
        <v>2092</v>
      </c>
      <c r="AB77" s="27" t="s">
        <v>837</v>
      </c>
      <c r="AC77" s="29" t="s">
        <v>838</v>
      </c>
      <c r="AF77" s="2" t="s">
        <v>839</v>
      </c>
      <c r="AG77" s="2">
        <v>608</v>
      </c>
    </row>
    <row r="78" ht="15">
      <c r="C78" s="4"/>
      <c r="D78" s="10"/>
      <c r="E78" s="11"/>
      <c r="F78" s="22"/>
      <c r="H78" s="5"/>
      <c r="I78" s="5"/>
      <c r="J78" s="5"/>
      <c r="M78" s="3" t="s">
        <v>839</v>
      </c>
      <c r="N78" s="2">
        <v>608</v>
      </c>
      <c r="S78" s="24" t="s">
        <v>840</v>
      </c>
      <c r="T78" s="24">
        <v>417</v>
      </c>
      <c r="U78" s="23" t="s">
        <v>841</v>
      </c>
      <c r="V78" s="23">
        <v>1</v>
      </c>
      <c r="W78" s="2"/>
      <c r="X78" s="2">
        <v>2093</v>
      </c>
      <c r="AB78" s="27" t="s">
        <v>842</v>
      </c>
      <c r="AC78" s="29" t="s">
        <v>843</v>
      </c>
      <c r="AF78" s="2" t="s">
        <v>844</v>
      </c>
      <c r="AG78" s="2">
        <v>246</v>
      </c>
    </row>
    <row r="79" ht="15">
      <c r="C79" s="4"/>
      <c r="D79" s="10"/>
      <c r="E79" s="11"/>
      <c r="F79" s="22"/>
      <c r="H79" s="5"/>
      <c r="I79" s="5"/>
      <c r="J79" s="5"/>
      <c r="M79" s="3" t="s">
        <v>844</v>
      </c>
      <c r="N79" s="2">
        <v>246</v>
      </c>
      <c r="S79" s="24" t="s">
        <v>845</v>
      </c>
      <c r="T79" s="24">
        <v>418</v>
      </c>
      <c r="U79" s="24" t="s">
        <v>846</v>
      </c>
      <c r="V79" s="24">
        <v>1</v>
      </c>
      <c r="W79" s="2"/>
      <c r="X79" s="2">
        <v>2094</v>
      </c>
      <c r="AB79" s="27" t="s">
        <v>847</v>
      </c>
      <c r="AC79" s="29" t="s">
        <v>848</v>
      </c>
      <c r="AF79" s="2" t="s">
        <v>849</v>
      </c>
      <c r="AG79" s="2">
        <v>238</v>
      </c>
    </row>
    <row r="80" ht="15">
      <c r="C80" s="4"/>
      <c r="D80" s="10"/>
      <c r="E80" s="11"/>
      <c r="H80" s="5"/>
      <c r="I80" s="5"/>
      <c r="J80" s="5"/>
      <c r="M80" s="3" t="s">
        <v>849</v>
      </c>
      <c r="N80" s="2">
        <v>238</v>
      </c>
      <c r="S80" s="24" t="s">
        <v>850</v>
      </c>
      <c r="T80" s="24">
        <v>422</v>
      </c>
      <c r="U80" s="23" t="s">
        <v>851</v>
      </c>
      <c r="V80" s="23">
        <v>100</v>
      </c>
      <c r="W80" s="2"/>
      <c r="X80" s="2">
        <v>2095</v>
      </c>
      <c r="AB80" s="27" t="s">
        <v>852</v>
      </c>
      <c r="AC80" s="29" t="s">
        <v>853</v>
      </c>
      <c r="AF80" s="2" t="s">
        <v>854</v>
      </c>
      <c r="AG80" s="2">
        <v>250</v>
      </c>
    </row>
    <row r="81" ht="15">
      <c r="C81" s="4"/>
      <c r="D81" s="10"/>
      <c r="E81" s="11"/>
      <c r="H81" s="5"/>
      <c r="I81" s="5"/>
      <c r="J81" s="5"/>
      <c r="M81" s="3" t="s">
        <v>854</v>
      </c>
      <c r="N81" s="2">
        <v>250</v>
      </c>
      <c r="S81" s="24" t="s">
        <v>855</v>
      </c>
      <c r="T81" s="24">
        <v>426</v>
      </c>
      <c r="U81" s="24" t="s">
        <v>856</v>
      </c>
      <c r="V81" s="24">
        <v>1</v>
      </c>
      <c r="W81" s="2"/>
      <c r="X81" s="2">
        <v>2096</v>
      </c>
      <c r="AB81" s="27" t="s">
        <v>857</v>
      </c>
      <c r="AC81" s="29" t="s">
        <v>858</v>
      </c>
      <c r="AF81" s="2" t="s">
        <v>859</v>
      </c>
      <c r="AG81" s="2">
        <v>258</v>
      </c>
    </row>
    <row r="82" ht="15">
      <c r="C82" s="4"/>
      <c r="D82" s="10"/>
      <c r="E82" s="11"/>
      <c r="H82" s="5"/>
      <c r="I82" s="5"/>
      <c r="J82" s="5"/>
      <c r="M82" s="3" t="s">
        <v>859</v>
      </c>
      <c r="N82" s="2">
        <v>258</v>
      </c>
      <c r="S82" s="24" t="s">
        <v>860</v>
      </c>
      <c r="T82" s="24">
        <v>428</v>
      </c>
      <c r="U82" s="23" t="s">
        <v>861</v>
      </c>
      <c r="V82" s="23">
        <v>1</v>
      </c>
      <c r="W82" s="2"/>
      <c r="X82" s="2">
        <v>2097</v>
      </c>
      <c r="AB82" s="27" t="s">
        <v>862</v>
      </c>
      <c r="AC82" s="29" t="s">
        <v>863</v>
      </c>
      <c r="AF82" s="2" t="s">
        <v>864</v>
      </c>
      <c r="AG82" s="2">
        <v>254</v>
      </c>
    </row>
    <row r="83" ht="15">
      <c r="C83" s="4"/>
      <c r="D83" s="10"/>
      <c r="E83" s="11"/>
      <c r="H83" s="5"/>
      <c r="I83" s="5"/>
      <c r="J83" s="5"/>
      <c r="M83" s="3" t="s">
        <v>864</v>
      </c>
      <c r="N83" s="2">
        <v>254</v>
      </c>
      <c r="S83" s="24" t="s">
        <v>865</v>
      </c>
      <c r="T83" s="24">
        <v>430</v>
      </c>
      <c r="U83" s="24" t="s">
        <v>866</v>
      </c>
      <c r="V83" s="24">
        <v>1</v>
      </c>
      <c r="W83" s="2"/>
      <c r="X83" s="2">
        <v>2098</v>
      </c>
      <c r="AB83" s="27" t="s">
        <v>867</v>
      </c>
      <c r="AC83" s="29" t="s">
        <v>868</v>
      </c>
      <c r="AF83" s="2" t="s">
        <v>869</v>
      </c>
      <c r="AG83" s="2">
        <v>260</v>
      </c>
    </row>
    <row r="84" ht="15">
      <c r="C84" s="4"/>
      <c r="D84" s="10"/>
      <c r="E84" s="11"/>
      <c r="H84" s="5"/>
      <c r="I84" s="5"/>
      <c r="J84" s="5"/>
      <c r="M84" s="3" t="s">
        <v>869</v>
      </c>
      <c r="N84" s="2">
        <v>260</v>
      </c>
      <c r="S84" s="24" t="s">
        <v>870</v>
      </c>
      <c r="T84" s="24">
        <v>434</v>
      </c>
      <c r="U84" s="23" t="s">
        <v>871</v>
      </c>
      <c r="V84" s="23">
        <v>1</v>
      </c>
      <c r="W84" s="2"/>
      <c r="X84" s="2">
        <v>2099</v>
      </c>
      <c r="AB84" s="27" t="s">
        <v>872</v>
      </c>
      <c r="AC84" s="29" t="s">
        <v>873</v>
      </c>
      <c r="AF84" s="2" t="s">
        <v>874</v>
      </c>
      <c r="AG84" s="2">
        <v>898</v>
      </c>
    </row>
    <row r="85" ht="15">
      <c r="C85" s="12"/>
      <c r="D85" s="13"/>
      <c r="E85" s="14"/>
      <c r="H85" s="5"/>
      <c r="I85" s="5"/>
      <c r="J85" s="5"/>
      <c r="M85" s="3" t="s">
        <v>874</v>
      </c>
      <c r="N85" s="2">
        <v>898</v>
      </c>
      <c r="S85" s="24" t="s">
        <v>875</v>
      </c>
      <c r="T85" s="24">
        <v>440</v>
      </c>
      <c r="U85" s="24" t="s">
        <v>876</v>
      </c>
      <c r="V85" s="24">
        <v>1</v>
      </c>
      <c r="W85" s="2"/>
      <c r="X85" s="2">
        <v>2100</v>
      </c>
      <c r="AB85" s="27" t="s">
        <v>877</v>
      </c>
      <c r="AC85" s="29" t="s">
        <v>878</v>
      </c>
      <c r="AF85" s="2" t="s">
        <v>261</v>
      </c>
      <c r="AG85" s="2">
        <v>268</v>
      </c>
    </row>
    <row r="86" ht="15">
      <c r="C86" s="12"/>
      <c r="D86" s="13"/>
      <c r="E86" s="14"/>
      <c r="H86" s="5"/>
      <c r="I86" s="5"/>
      <c r="J86" s="5"/>
      <c r="M86" s="3" t="s">
        <v>261</v>
      </c>
      <c r="N86" s="2">
        <v>268</v>
      </c>
      <c r="S86" s="24" t="s">
        <v>879</v>
      </c>
      <c r="T86" s="24">
        <v>442</v>
      </c>
      <c r="U86" s="23"/>
      <c r="V86" s="23">
        <v>1</v>
      </c>
      <c r="W86" s="2"/>
      <c r="AB86" s="27" t="s">
        <v>880</v>
      </c>
      <c r="AC86" s="29" t="s">
        <v>881</v>
      </c>
      <c r="AF86" s="2" t="s">
        <v>882</v>
      </c>
      <c r="AG86" s="2">
        <v>332</v>
      </c>
    </row>
    <row r="87" ht="15">
      <c r="C87" s="12"/>
      <c r="D87" s="13"/>
      <c r="E87" s="14"/>
      <c r="H87" s="5"/>
      <c r="I87" s="5"/>
      <c r="J87" s="5"/>
      <c r="M87" s="3" t="s">
        <v>882</v>
      </c>
      <c r="N87" s="2">
        <v>332</v>
      </c>
      <c r="S87" s="24" t="s">
        <v>883</v>
      </c>
      <c r="T87" s="24">
        <v>446</v>
      </c>
      <c r="U87" s="24" t="s">
        <v>884</v>
      </c>
      <c r="V87" s="24">
        <v>1</v>
      </c>
      <c r="W87" s="2"/>
      <c r="AB87" s="27" t="s">
        <v>885</v>
      </c>
      <c r="AC87" s="29" t="s">
        <v>886</v>
      </c>
      <c r="AF87" s="2" t="s">
        <v>887</v>
      </c>
      <c r="AG87" s="2">
        <v>231</v>
      </c>
    </row>
    <row r="88" ht="15">
      <c r="C88" s="12"/>
      <c r="D88" s="13"/>
      <c r="E88" s="14"/>
      <c r="G88" s="7"/>
      <c r="H88" s="5"/>
      <c r="I88" s="5"/>
      <c r="J88" s="5"/>
      <c r="M88" s="3" t="s">
        <v>887</v>
      </c>
      <c r="N88" s="2">
        <v>231</v>
      </c>
      <c r="S88" s="24" t="s">
        <v>888</v>
      </c>
      <c r="T88" s="24">
        <v>450</v>
      </c>
      <c r="U88" s="23"/>
      <c r="V88" s="23">
        <v>1</v>
      </c>
      <c r="W88" s="2"/>
      <c r="AB88" s="27" t="s">
        <v>889</v>
      </c>
      <c r="AC88" s="29" t="s">
        <v>890</v>
      </c>
      <c r="AF88" s="2" t="s">
        <v>891</v>
      </c>
      <c r="AG88" s="2">
        <v>334</v>
      </c>
    </row>
    <row r="89" ht="15">
      <c r="C89" s="12"/>
      <c r="D89" s="13"/>
      <c r="E89" s="14"/>
      <c r="G89" s="7"/>
      <c r="H89" s="5"/>
      <c r="I89" s="5"/>
      <c r="J89" s="5"/>
      <c r="M89" s="3" t="s">
        <v>891</v>
      </c>
      <c r="N89" s="2">
        <v>334</v>
      </c>
      <c r="S89" s="24" t="s">
        <v>892</v>
      </c>
      <c r="T89" s="24">
        <v>454</v>
      </c>
      <c r="U89" s="24" t="s">
        <v>893</v>
      </c>
      <c r="V89" s="24">
        <v>1</v>
      </c>
      <c r="W89" s="2"/>
      <c r="AB89" s="27" t="s">
        <v>894</v>
      </c>
      <c r="AC89" s="29" t="s">
        <v>895</v>
      </c>
      <c r="AF89" s="2" t="s">
        <v>896</v>
      </c>
      <c r="AG89" s="2">
        <v>831</v>
      </c>
    </row>
    <row r="90" ht="15">
      <c r="C90" s="12"/>
      <c r="D90" s="13"/>
      <c r="E90" s="14"/>
      <c r="G90" s="7"/>
      <c r="H90" s="5"/>
      <c r="I90" s="5"/>
      <c r="J90" s="5"/>
      <c r="M90" s="3" t="s">
        <v>896</v>
      </c>
      <c r="N90" s="2">
        <v>831</v>
      </c>
      <c r="S90" s="24" t="s">
        <v>897</v>
      </c>
      <c r="T90" s="24">
        <v>458</v>
      </c>
      <c r="U90" s="23" t="s">
        <v>898</v>
      </c>
      <c r="V90" s="23">
        <v>1</v>
      </c>
      <c r="W90" s="2"/>
      <c r="AB90" s="27" t="s">
        <v>899</v>
      </c>
      <c r="AC90" s="29" t="s">
        <v>900</v>
      </c>
      <c r="AF90" s="2" t="s">
        <v>901</v>
      </c>
      <c r="AG90" s="2">
        <v>356</v>
      </c>
    </row>
    <row r="91" ht="15">
      <c r="C91" s="12"/>
      <c r="D91" s="13"/>
      <c r="E91" s="14"/>
      <c r="G91" s="7"/>
      <c r="H91" s="5"/>
      <c r="I91" s="5"/>
      <c r="J91" s="5"/>
      <c r="M91" s="3" t="s">
        <v>901</v>
      </c>
      <c r="N91" s="2">
        <v>356</v>
      </c>
      <c r="S91" s="24" t="s">
        <v>902</v>
      </c>
      <c r="T91" s="24">
        <v>462</v>
      </c>
      <c r="U91" s="24" t="s">
        <v>903</v>
      </c>
      <c r="V91" s="24">
        <v>1</v>
      </c>
      <c r="W91" s="2"/>
      <c r="AB91" s="27" t="s">
        <v>904</v>
      </c>
      <c r="AC91" s="29" t="s">
        <v>905</v>
      </c>
      <c r="AF91" s="2" t="s">
        <v>906</v>
      </c>
      <c r="AG91" s="2">
        <v>340</v>
      </c>
    </row>
    <row r="92" ht="15">
      <c r="C92" s="12"/>
      <c r="D92" s="13"/>
      <c r="E92" s="14"/>
      <c r="G92" s="7"/>
      <c r="H92" s="5"/>
      <c r="I92" s="5"/>
      <c r="J92" s="5"/>
      <c r="M92" s="3" t="s">
        <v>906</v>
      </c>
      <c r="N92" s="2">
        <v>340</v>
      </c>
      <c r="S92" s="24" t="s">
        <v>907</v>
      </c>
      <c r="T92" s="24">
        <v>470</v>
      </c>
      <c r="U92" s="23" t="s">
        <v>908</v>
      </c>
      <c r="V92" s="23">
        <v>1</v>
      </c>
      <c r="W92" s="2"/>
      <c r="AB92" s="27" t="s">
        <v>909</v>
      </c>
      <c r="AC92" s="29" t="s">
        <v>910</v>
      </c>
      <c r="AF92" s="2" t="s">
        <v>911</v>
      </c>
      <c r="AG92" s="2">
        <v>360</v>
      </c>
    </row>
    <row r="93" ht="15">
      <c r="C93" s="12"/>
      <c r="D93" s="13"/>
      <c r="E93" s="14"/>
      <c r="G93" s="7"/>
      <c r="H93" s="5"/>
      <c r="I93" s="5"/>
      <c r="J93" s="5"/>
      <c r="M93" s="3" t="s">
        <v>911</v>
      </c>
      <c r="N93" s="2">
        <v>360</v>
      </c>
      <c r="S93" s="24" t="s">
        <v>912</v>
      </c>
      <c r="T93" s="24">
        <v>478</v>
      </c>
      <c r="U93" s="24" t="s">
        <v>913</v>
      </c>
      <c r="V93" s="24">
        <v>1</v>
      </c>
      <c r="W93" s="2"/>
      <c r="AB93" s="27" t="s">
        <v>914</v>
      </c>
      <c r="AC93" s="29" t="s">
        <v>915</v>
      </c>
      <c r="AF93" s="2" t="s">
        <v>916</v>
      </c>
      <c r="AG93" s="2">
        <v>400</v>
      </c>
    </row>
    <row r="94" ht="15">
      <c r="C94" s="12"/>
      <c r="D94" s="13"/>
      <c r="E94" s="14"/>
      <c r="G94" s="7"/>
      <c r="H94" s="5"/>
      <c r="I94" s="5"/>
      <c r="J94" s="5"/>
      <c r="M94" s="3" t="s">
        <v>916</v>
      </c>
      <c r="N94" s="2">
        <v>400</v>
      </c>
      <c r="S94" s="24" t="s">
        <v>917</v>
      </c>
      <c r="T94" s="24">
        <v>480</v>
      </c>
      <c r="U94" s="23" t="s">
        <v>918</v>
      </c>
      <c r="V94" s="23">
        <v>1</v>
      </c>
      <c r="W94" s="2"/>
      <c r="AB94" s="27" t="s">
        <v>919</v>
      </c>
      <c r="AC94" s="29" t="s">
        <v>920</v>
      </c>
      <c r="AF94" s="2" t="s">
        <v>122</v>
      </c>
      <c r="AG94" s="2">
        <v>364</v>
      </c>
    </row>
    <row r="95" ht="15">
      <c r="C95" s="12"/>
      <c r="D95" s="13"/>
      <c r="E95" s="14"/>
      <c r="G95" s="7"/>
      <c r="H95" s="5"/>
      <c r="I95" s="5"/>
      <c r="J95" s="5"/>
      <c r="M95" s="3" t="s">
        <v>122</v>
      </c>
      <c r="N95" s="2">
        <v>364</v>
      </c>
      <c r="S95" s="24" t="s">
        <v>921</v>
      </c>
      <c r="T95" s="24">
        <v>484</v>
      </c>
      <c r="U95" s="24" t="s">
        <v>922</v>
      </c>
      <c r="V95" s="24">
        <v>1</v>
      </c>
      <c r="W95" s="2"/>
      <c r="AB95" s="27" t="s">
        <v>923</v>
      </c>
      <c r="AC95" s="29" t="s">
        <v>924</v>
      </c>
      <c r="AF95" s="2" t="s">
        <v>925</v>
      </c>
      <c r="AG95" s="2">
        <v>368</v>
      </c>
    </row>
    <row r="96" ht="15">
      <c r="C96" s="12"/>
      <c r="D96" s="13"/>
      <c r="E96" s="14"/>
      <c r="G96" s="7"/>
      <c r="H96" s="5"/>
      <c r="I96" s="5"/>
      <c r="J96" s="5"/>
      <c r="M96" s="3" t="s">
        <v>925</v>
      </c>
      <c r="N96" s="2">
        <v>368</v>
      </c>
      <c r="S96" s="24" t="s">
        <v>926</v>
      </c>
      <c r="T96" s="24">
        <v>496</v>
      </c>
      <c r="U96" s="23" t="s">
        <v>927</v>
      </c>
      <c r="V96" s="23">
        <v>1</v>
      </c>
      <c r="W96" s="2"/>
      <c r="AB96" s="27" t="s">
        <v>928</v>
      </c>
      <c r="AC96" s="29" t="s">
        <v>929</v>
      </c>
      <c r="AF96" s="2" t="s">
        <v>930</v>
      </c>
      <c r="AG96" s="2">
        <v>372</v>
      </c>
    </row>
    <row r="97" ht="15">
      <c r="C97" s="12"/>
      <c r="D97" s="13"/>
      <c r="E97" s="14"/>
      <c r="G97" s="7"/>
      <c r="H97" s="5"/>
      <c r="I97" s="5"/>
      <c r="J97" s="5"/>
      <c r="M97" s="3" t="s">
        <v>930</v>
      </c>
      <c r="N97" s="2">
        <v>372</v>
      </c>
      <c r="S97" s="24" t="s">
        <v>931</v>
      </c>
      <c r="T97" s="24">
        <v>498</v>
      </c>
      <c r="U97" s="24" t="s">
        <v>932</v>
      </c>
      <c r="V97" s="24">
        <v>1</v>
      </c>
      <c r="W97" s="2"/>
      <c r="AB97" s="27" t="s">
        <v>933</v>
      </c>
      <c r="AC97" s="29" t="s">
        <v>934</v>
      </c>
      <c r="AF97" s="2" t="s">
        <v>935</v>
      </c>
      <c r="AG97" s="2">
        <v>275</v>
      </c>
    </row>
    <row r="98" ht="15">
      <c r="C98" s="12"/>
      <c r="D98" s="13"/>
      <c r="E98" s="14"/>
      <c r="G98" s="7"/>
      <c r="H98" s="5"/>
      <c r="I98" s="5"/>
      <c r="J98" s="5"/>
      <c r="M98" s="3" t="s">
        <v>935</v>
      </c>
      <c r="N98" s="2">
        <v>275</v>
      </c>
      <c r="S98" s="24" t="s">
        <v>936</v>
      </c>
      <c r="T98" s="24">
        <v>504</v>
      </c>
      <c r="U98" s="23" t="s">
        <v>937</v>
      </c>
      <c r="V98" s="23">
        <v>1</v>
      </c>
      <c r="W98" s="2"/>
      <c r="AB98" s="27" t="s">
        <v>938</v>
      </c>
      <c r="AC98" s="29" t="s">
        <v>939</v>
      </c>
      <c r="AF98" s="2" t="s">
        <v>940</v>
      </c>
      <c r="AG98" s="2">
        <v>30</v>
      </c>
    </row>
    <row r="99" ht="15">
      <c r="C99" s="12"/>
      <c r="D99" s="13"/>
      <c r="E99" s="14"/>
      <c r="G99" s="7"/>
      <c r="H99" s="5"/>
      <c r="I99" s="5"/>
      <c r="J99" s="5"/>
      <c r="M99" s="3" t="s">
        <v>940</v>
      </c>
      <c r="N99" s="2">
        <v>30</v>
      </c>
      <c r="S99" s="24" t="s">
        <v>941</v>
      </c>
      <c r="T99" s="24">
        <v>508</v>
      </c>
      <c r="U99" s="24" t="s">
        <v>942</v>
      </c>
      <c r="V99" s="24">
        <v>1</v>
      </c>
      <c r="W99" s="2"/>
      <c r="AB99" s="27" t="s">
        <v>943</v>
      </c>
      <c r="AC99" s="29" t="s">
        <v>944</v>
      </c>
      <c r="AF99" s="2" t="s">
        <v>945</v>
      </c>
      <c r="AG99" s="2">
        <v>11</v>
      </c>
    </row>
    <row r="100" ht="15">
      <c r="C100" s="12"/>
      <c r="D100" s="13"/>
      <c r="E100" s="14"/>
      <c r="G100" s="7"/>
      <c r="H100" s="5"/>
      <c r="I100" s="5"/>
      <c r="J100" s="5"/>
      <c r="M100" s="3" t="s">
        <v>945</v>
      </c>
      <c r="N100" s="2">
        <v>11</v>
      </c>
      <c r="S100" s="24" t="s">
        <v>946</v>
      </c>
      <c r="T100" s="24">
        <v>512</v>
      </c>
      <c r="U100" s="23" t="s">
        <v>947</v>
      </c>
      <c r="V100" s="23">
        <v>1</v>
      </c>
      <c r="W100" s="2"/>
      <c r="AB100" s="27" t="s">
        <v>948</v>
      </c>
      <c r="AC100" s="29" t="s">
        <v>949</v>
      </c>
      <c r="AF100" s="2" t="s">
        <v>950</v>
      </c>
      <c r="AG100" s="2">
        <v>352</v>
      </c>
    </row>
    <row r="101" ht="15">
      <c r="C101" s="12"/>
      <c r="D101" s="13"/>
      <c r="E101" s="14"/>
      <c r="G101" s="7"/>
      <c r="H101" s="5"/>
      <c r="I101" s="5"/>
      <c r="J101" s="5"/>
      <c r="M101" s="3" t="s">
        <v>950</v>
      </c>
      <c r="N101" s="2">
        <v>352</v>
      </c>
      <c r="S101" s="24" t="s">
        <v>951</v>
      </c>
      <c r="T101" s="24">
        <v>516</v>
      </c>
      <c r="U101" s="24" t="s">
        <v>952</v>
      </c>
      <c r="V101" s="24">
        <v>1</v>
      </c>
      <c r="W101" s="2"/>
      <c r="AB101" s="27" t="s">
        <v>953</v>
      </c>
      <c r="AC101" s="29" t="s">
        <v>954</v>
      </c>
      <c r="AF101" s="2" t="s">
        <v>955</v>
      </c>
      <c r="AG101" s="2">
        <v>724</v>
      </c>
    </row>
    <row r="102" ht="15">
      <c r="C102" s="12"/>
      <c r="D102" s="13"/>
      <c r="E102" s="14"/>
      <c r="G102" s="7"/>
      <c r="H102" s="5"/>
      <c r="I102" s="5"/>
      <c r="J102" s="5"/>
      <c r="M102" s="3" t="s">
        <v>955</v>
      </c>
      <c r="N102" s="2">
        <v>724</v>
      </c>
      <c r="S102" s="24" t="s">
        <v>956</v>
      </c>
      <c r="T102" s="24">
        <v>524</v>
      </c>
      <c r="U102" s="23" t="s">
        <v>957</v>
      </c>
      <c r="V102" s="23">
        <v>1</v>
      </c>
      <c r="W102" s="2"/>
      <c r="AB102" s="27" t="s">
        <v>958</v>
      </c>
      <c r="AC102" s="29" t="s">
        <v>959</v>
      </c>
      <c r="AF102" s="2" t="s">
        <v>960</v>
      </c>
      <c r="AG102" s="2">
        <v>376</v>
      </c>
    </row>
    <row r="103" ht="15">
      <c r="C103" s="12"/>
      <c r="D103" s="13"/>
      <c r="E103" s="14"/>
      <c r="G103" s="7"/>
      <c r="H103" s="5"/>
      <c r="I103" s="5"/>
      <c r="J103" s="5"/>
      <c r="M103" s="3" t="s">
        <v>960</v>
      </c>
      <c r="N103" s="2">
        <v>376</v>
      </c>
      <c r="S103" s="24" t="s">
        <v>961</v>
      </c>
      <c r="T103" s="24">
        <v>528</v>
      </c>
      <c r="U103" s="24"/>
      <c r="V103" s="24">
        <v>1</v>
      </c>
      <c r="W103" s="2"/>
      <c r="AB103" s="27" t="s">
        <v>962</v>
      </c>
      <c r="AC103" s="29" t="s">
        <v>963</v>
      </c>
      <c r="AF103" s="2" t="s">
        <v>964</v>
      </c>
      <c r="AG103" s="2">
        <v>752</v>
      </c>
    </row>
    <row r="104" ht="15">
      <c r="C104" s="12"/>
      <c r="D104" s="13"/>
      <c r="E104" s="14"/>
      <c r="G104" s="7"/>
      <c r="H104" s="5"/>
      <c r="I104" s="5"/>
      <c r="J104" s="5"/>
      <c r="M104" s="3" t="s">
        <v>964</v>
      </c>
      <c r="N104" s="2">
        <v>752</v>
      </c>
      <c r="S104" s="24" t="s">
        <v>965</v>
      </c>
      <c r="T104" s="24">
        <v>532</v>
      </c>
      <c r="U104" s="23" t="s">
        <v>966</v>
      </c>
      <c r="V104" s="23">
        <v>1</v>
      </c>
      <c r="W104" s="2"/>
      <c r="AB104" s="27" t="s">
        <v>967</v>
      </c>
      <c r="AC104" s="29" t="s">
        <v>968</v>
      </c>
      <c r="AF104" s="2" t="s">
        <v>969</v>
      </c>
      <c r="AG104" s="2">
        <v>756</v>
      </c>
    </row>
    <row r="105" ht="15">
      <c r="C105" s="12"/>
      <c r="D105" s="13"/>
      <c r="E105" s="14"/>
      <c r="G105" s="7"/>
      <c r="H105" s="5"/>
      <c r="I105" s="5"/>
      <c r="J105" s="5"/>
      <c r="M105" s="3" t="s">
        <v>969</v>
      </c>
      <c r="N105" s="2">
        <v>756</v>
      </c>
      <c r="S105" s="24" t="s">
        <v>970</v>
      </c>
      <c r="T105" s="24">
        <v>533</v>
      </c>
      <c r="U105" s="24" t="s">
        <v>971</v>
      </c>
      <c r="V105" s="24">
        <v>1</v>
      </c>
      <c r="W105" s="2"/>
      <c r="AB105" s="27" t="s">
        <v>972</v>
      </c>
      <c r="AC105" s="29" t="s">
        <v>973</v>
      </c>
      <c r="AF105" s="2" t="s">
        <v>974</v>
      </c>
      <c r="AG105" s="2">
        <v>380</v>
      </c>
    </row>
    <row r="106" ht="15">
      <c r="C106" s="12"/>
      <c r="D106" s="13"/>
      <c r="E106" s="14"/>
      <c r="G106" s="7"/>
      <c r="H106" s="5"/>
      <c r="I106" s="5"/>
      <c r="J106" s="5"/>
      <c r="M106" s="3" t="s">
        <v>974</v>
      </c>
      <c r="N106" s="2">
        <v>380</v>
      </c>
      <c r="S106" s="24" t="s">
        <v>975</v>
      </c>
      <c r="T106" s="24">
        <v>548</v>
      </c>
      <c r="U106" s="23" t="s">
        <v>976</v>
      </c>
      <c r="V106" s="23">
        <v>1</v>
      </c>
      <c r="W106" s="2"/>
      <c r="AB106" s="27" t="s">
        <v>977</v>
      </c>
      <c r="AC106" s="29" t="s">
        <v>978</v>
      </c>
      <c r="AF106" s="2" t="s">
        <v>979</v>
      </c>
      <c r="AG106" s="2">
        <v>132</v>
      </c>
    </row>
    <row r="107" ht="15">
      <c r="C107" s="12"/>
      <c r="D107" s="13"/>
      <c r="E107" s="14"/>
      <c r="G107" s="7"/>
      <c r="H107" s="5"/>
      <c r="I107" s="5"/>
      <c r="J107" s="5"/>
      <c r="M107" s="3" t="s">
        <v>979</v>
      </c>
      <c r="N107" s="2">
        <v>132</v>
      </c>
      <c r="S107" s="24" t="s">
        <v>980</v>
      </c>
      <c r="T107" s="24">
        <v>554</v>
      </c>
      <c r="U107" s="24" t="s">
        <v>981</v>
      </c>
      <c r="V107" s="24">
        <v>1</v>
      </c>
      <c r="W107" s="2"/>
      <c r="AB107" s="27" t="s">
        <v>982</v>
      </c>
      <c r="AC107" s="29" t="s">
        <v>983</v>
      </c>
      <c r="AF107" s="2" t="s">
        <v>984</v>
      </c>
      <c r="AG107" s="2">
        <v>116</v>
      </c>
    </row>
    <row r="108" ht="15">
      <c r="C108" s="12"/>
      <c r="D108" s="13"/>
      <c r="E108" s="14"/>
      <c r="G108" s="7"/>
      <c r="H108" s="5"/>
      <c r="I108" s="5"/>
      <c r="J108" s="5"/>
      <c r="M108" s="3" t="s">
        <v>984</v>
      </c>
      <c r="N108" s="2">
        <v>116</v>
      </c>
      <c r="S108" s="24" t="s">
        <v>985</v>
      </c>
      <c r="T108" s="24">
        <v>558</v>
      </c>
      <c r="U108" s="23" t="s">
        <v>986</v>
      </c>
      <c r="V108" s="23">
        <v>1</v>
      </c>
      <c r="W108" s="2"/>
      <c r="AB108" s="27" t="s">
        <v>987</v>
      </c>
      <c r="AC108" s="29" t="s">
        <v>988</v>
      </c>
      <c r="AF108" s="2" t="s">
        <v>989</v>
      </c>
      <c r="AG108" s="2">
        <v>120</v>
      </c>
    </row>
    <row r="109" ht="15">
      <c r="C109" s="12"/>
      <c r="D109" s="13"/>
      <c r="E109" s="14"/>
      <c r="G109" s="7"/>
      <c r="H109" s="5"/>
      <c r="I109" s="5"/>
      <c r="J109" s="5"/>
      <c r="M109" s="3" t="s">
        <v>989</v>
      </c>
      <c r="N109" s="2">
        <v>120</v>
      </c>
      <c r="S109" s="24" t="s">
        <v>990</v>
      </c>
      <c r="T109" s="24">
        <v>566</v>
      </c>
      <c r="U109" s="24" t="s">
        <v>991</v>
      </c>
      <c r="V109" s="24">
        <v>1</v>
      </c>
      <c r="W109" s="2"/>
      <c r="AB109" s="27" t="s">
        <v>992</v>
      </c>
      <c r="AC109" s="29" t="s">
        <v>993</v>
      </c>
      <c r="AF109" s="2" t="s">
        <v>994</v>
      </c>
      <c r="AG109" s="2">
        <v>124</v>
      </c>
    </row>
    <row r="110" ht="15">
      <c r="C110" s="12"/>
      <c r="D110" s="13"/>
      <c r="E110" s="14"/>
      <c r="G110" s="7"/>
      <c r="H110" s="5"/>
      <c r="I110" s="5"/>
      <c r="J110" s="5"/>
      <c r="M110" s="3" t="s">
        <v>994</v>
      </c>
      <c r="N110" s="2">
        <v>124</v>
      </c>
      <c r="S110" s="24" t="s">
        <v>995</v>
      </c>
      <c r="T110" s="24">
        <v>578</v>
      </c>
      <c r="U110" s="23" t="s">
        <v>996</v>
      </c>
      <c r="V110" s="23">
        <v>1</v>
      </c>
      <c r="W110" s="2"/>
      <c r="AB110" s="27" t="s">
        <v>997</v>
      </c>
      <c r="AC110" s="29" t="s">
        <v>998</v>
      </c>
      <c r="AF110" s="2" t="s">
        <v>999</v>
      </c>
      <c r="AG110" s="2">
        <v>136</v>
      </c>
    </row>
    <row r="111" ht="15">
      <c r="C111" s="12"/>
      <c r="D111" s="13"/>
      <c r="E111" s="14"/>
      <c r="G111" s="7"/>
      <c r="H111" s="5"/>
      <c r="I111" s="5"/>
      <c r="J111" s="5"/>
      <c r="M111" s="3" t="s">
        <v>999</v>
      </c>
      <c r="N111" s="2">
        <v>136</v>
      </c>
      <c r="S111" s="24" t="s">
        <v>1000</v>
      </c>
      <c r="T111" s="24">
        <v>586</v>
      </c>
      <c r="U111" s="24" t="s">
        <v>1001</v>
      </c>
      <c r="V111" s="24">
        <v>1</v>
      </c>
      <c r="W111" s="2"/>
      <c r="AB111" s="27" t="s">
        <v>1002</v>
      </c>
      <c r="AC111" s="29" t="s">
        <v>1003</v>
      </c>
      <c r="AF111" s="2" t="s">
        <v>1004</v>
      </c>
      <c r="AG111" s="2">
        <v>807</v>
      </c>
    </row>
    <row r="112" ht="15">
      <c r="C112" s="12"/>
      <c r="D112" s="13"/>
      <c r="E112" s="14"/>
      <c r="G112" s="7"/>
      <c r="H112" s="5"/>
      <c r="I112" s="5"/>
      <c r="J112" s="5"/>
      <c r="M112" s="3" t="s">
        <v>1004</v>
      </c>
      <c r="N112" s="2">
        <v>807</v>
      </c>
      <c r="S112" s="24" t="s">
        <v>1005</v>
      </c>
      <c r="T112" s="24">
        <v>590</v>
      </c>
      <c r="U112" s="23" t="s">
        <v>1006</v>
      </c>
      <c r="V112" s="23">
        <v>1</v>
      </c>
      <c r="W112" s="2"/>
      <c r="AB112" s="27" t="s">
        <v>1007</v>
      </c>
      <c r="AC112" s="29" t="s">
        <v>1008</v>
      </c>
      <c r="AF112" s="2" t="s">
        <v>1009</v>
      </c>
      <c r="AG112" s="2">
        <v>14</v>
      </c>
    </row>
    <row r="113" ht="15">
      <c r="C113" s="12"/>
      <c r="D113" s="13"/>
      <c r="E113" s="14"/>
      <c r="G113" s="7"/>
      <c r="H113" s="5"/>
      <c r="I113" s="5"/>
      <c r="J113" s="5"/>
      <c r="M113" s="3" t="s">
        <v>1009</v>
      </c>
      <c r="N113" s="2">
        <v>14</v>
      </c>
      <c r="S113" s="24" t="s">
        <v>1010</v>
      </c>
      <c r="T113" s="24">
        <v>598</v>
      </c>
      <c r="U113" s="24" t="s">
        <v>1011</v>
      </c>
      <c r="V113" s="24">
        <v>1</v>
      </c>
      <c r="W113" s="2"/>
      <c r="AB113" s="27" t="s">
        <v>1012</v>
      </c>
      <c r="AC113" s="29" t="s">
        <v>1013</v>
      </c>
      <c r="AF113" s="2" t="s">
        <v>1014</v>
      </c>
      <c r="AG113" s="2">
        <v>404</v>
      </c>
    </row>
    <row r="114" ht="15">
      <c r="C114" s="12"/>
      <c r="D114" s="13"/>
      <c r="E114" s="14"/>
      <c r="G114" s="7"/>
      <c r="H114" s="5"/>
      <c r="I114" s="5"/>
      <c r="J114" s="5"/>
      <c r="M114" s="3" t="s">
        <v>1014</v>
      </c>
      <c r="N114" s="2">
        <v>404</v>
      </c>
      <c r="S114" s="24" t="s">
        <v>1015</v>
      </c>
      <c r="T114" s="24">
        <v>600</v>
      </c>
      <c r="U114" s="23" t="s">
        <v>1016</v>
      </c>
      <c r="V114" s="23">
        <v>1</v>
      </c>
      <c r="W114" s="2"/>
      <c r="AB114" s="27" t="s">
        <v>1017</v>
      </c>
      <c r="AC114" s="29" t="s">
        <v>1018</v>
      </c>
      <c r="AF114" s="2" t="s">
        <v>1019</v>
      </c>
      <c r="AG114" s="2">
        <v>196</v>
      </c>
    </row>
    <row r="115" ht="15">
      <c r="C115" s="12"/>
      <c r="D115" s="13"/>
      <c r="E115" s="14"/>
      <c r="G115" s="7"/>
      <c r="H115" s="5"/>
      <c r="I115" s="5"/>
      <c r="J115" s="5"/>
      <c r="M115" s="3" t="s">
        <v>1019</v>
      </c>
      <c r="N115" s="2">
        <v>196</v>
      </c>
      <c r="S115" s="24" t="s">
        <v>1020</v>
      </c>
      <c r="T115" s="24">
        <v>604</v>
      </c>
      <c r="U115" s="24" t="s">
        <v>1021</v>
      </c>
      <c r="V115" s="24">
        <v>1</v>
      </c>
      <c r="W115" s="2"/>
      <c r="AB115" s="27" t="s">
        <v>1022</v>
      </c>
      <c r="AC115" s="29" t="s">
        <v>1023</v>
      </c>
      <c r="AF115" s="2" t="s">
        <v>1024</v>
      </c>
      <c r="AG115" s="2">
        <v>296</v>
      </c>
    </row>
    <row r="116" ht="15">
      <c r="C116" s="12"/>
      <c r="D116" s="13"/>
      <c r="E116" s="14"/>
      <c r="G116" s="7"/>
      <c r="H116" s="5"/>
      <c r="I116" s="5"/>
      <c r="J116" s="5"/>
      <c r="M116" s="3" t="s">
        <v>1024</v>
      </c>
      <c r="N116" s="2">
        <v>296</v>
      </c>
      <c r="S116" s="24" t="s">
        <v>1025</v>
      </c>
      <c r="T116" s="24">
        <v>608</v>
      </c>
      <c r="U116" s="23" t="s">
        <v>1026</v>
      </c>
      <c r="V116" s="23">
        <v>1</v>
      </c>
      <c r="W116" s="2"/>
      <c r="AB116" s="27" t="s">
        <v>1027</v>
      </c>
      <c r="AC116" s="29" t="s">
        <v>1028</v>
      </c>
      <c r="AF116" s="2" t="s">
        <v>1029</v>
      </c>
      <c r="AG116" s="2">
        <v>166</v>
      </c>
    </row>
    <row r="117" ht="15">
      <c r="C117" s="12"/>
      <c r="D117" s="13"/>
      <c r="E117" s="14"/>
      <c r="G117" s="7"/>
      <c r="H117" s="5"/>
      <c r="I117" s="5"/>
      <c r="J117" s="5"/>
      <c r="M117" s="3" t="s">
        <v>1029</v>
      </c>
      <c r="N117" s="2">
        <v>166</v>
      </c>
      <c r="S117" s="24" t="s">
        <v>1030</v>
      </c>
      <c r="T117" s="24">
        <v>620</v>
      </c>
      <c r="U117" s="24"/>
      <c r="V117" s="24">
        <v>1</v>
      </c>
      <c r="W117" s="2"/>
      <c r="AB117" s="27" t="s">
        <v>1031</v>
      </c>
      <c r="AC117" s="29" t="s">
        <v>1032</v>
      </c>
      <c r="AF117" s="2" t="s">
        <v>1033</v>
      </c>
      <c r="AG117" s="2">
        <v>170</v>
      </c>
    </row>
    <row r="118" ht="15">
      <c r="C118" s="12"/>
      <c r="D118" s="13"/>
      <c r="E118" s="14"/>
      <c r="G118" s="7"/>
      <c r="H118" s="5"/>
      <c r="I118" s="5"/>
      <c r="J118" s="5"/>
      <c r="M118" s="3" t="s">
        <v>1033</v>
      </c>
      <c r="N118" s="2">
        <v>170</v>
      </c>
      <c r="S118" s="24" t="s">
        <v>1034</v>
      </c>
      <c r="T118" s="24">
        <v>624</v>
      </c>
      <c r="U118" s="23"/>
      <c r="V118" s="23">
        <v>1</v>
      </c>
      <c r="W118" s="2"/>
      <c r="AB118" s="27" t="s">
        <v>1035</v>
      </c>
      <c r="AC118" s="29" t="s">
        <v>1036</v>
      </c>
      <c r="AF118" s="2" t="s">
        <v>1037</v>
      </c>
      <c r="AG118" s="2">
        <v>178</v>
      </c>
    </row>
    <row r="119" ht="15">
      <c r="C119" s="12"/>
      <c r="D119" s="13"/>
      <c r="E119" s="14"/>
      <c r="G119" s="7"/>
      <c r="H119" s="5"/>
      <c r="I119" s="5"/>
      <c r="J119" s="5"/>
      <c r="M119" s="3" t="s">
        <v>1037</v>
      </c>
      <c r="N119" s="2">
        <v>178</v>
      </c>
      <c r="S119" s="24" t="s">
        <v>1038</v>
      </c>
      <c r="T119" s="24">
        <v>634</v>
      </c>
      <c r="U119" s="24" t="s">
        <v>1039</v>
      </c>
      <c r="V119" s="24">
        <v>1</v>
      </c>
      <c r="W119" s="2"/>
      <c r="AB119" s="27" t="s">
        <v>1040</v>
      </c>
      <c r="AC119" s="29" t="s">
        <v>1041</v>
      </c>
      <c r="AF119" s="2" t="s">
        <v>1042</v>
      </c>
      <c r="AG119" s="2">
        <v>180</v>
      </c>
    </row>
    <row r="120" ht="15">
      <c r="C120" s="12"/>
      <c r="D120" s="13"/>
      <c r="E120" s="14"/>
      <c r="G120" s="7"/>
      <c r="H120" s="5"/>
      <c r="I120" s="5"/>
      <c r="J120" s="5"/>
      <c r="M120" s="3" t="s">
        <v>1042</v>
      </c>
      <c r="N120" s="2">
        <v>180</v>
      </c>
      <c r="S120" s="24" t="s">
        <v>1043</v>
      </c>
      <c r="T120" s="24">
        <v>642</v>
      </c>
      <c r="U120" s="23"/>
      <c r="V120" s="23">
        <v>1</v>
      </c>
      <c r="W120" s="2"/>
      <c r="AB120" s="27" t="s">
        <v>1044</v>
      </c>
      <c r="AC120" s="29" t="s">
        <v>1045</v>
      </c>
      <c r="AF120" s="2" t="s">
        <v>1046</v>
      </c>
      <c r="AG120" s="2">
        <v>410</v>
      </c>
    </row>
    <row r="121" ht="15">
      <c r="C121" s="12"/>
      <c r="D121" s="13"/>
      <c r="E121" s="14"/>
      <c r="G121" s="7"/>
      <c r="H121" s="5"/>
      <c r="I121" s="5"/>
      <c r="J121" s="5"/>
      <c r="M121" s="3" t="s">
        <v>1046</v>
      </c>
      <c r="N121" s="2">
        <v>410</v>
      </c>
      <c r="S121" s="24" t="s">
        <v>1047</v>
      </c>
      <c r="T121" s="24">
        <v>643</v>
      </c>
      <c r="U121" s="24" t="s">
        <v>1048</v>
      </c>
      <c r="V121" s="24">
        <v>1</v>
      </c>
      <c r="W121" s="2"/>
      <c r="AB121" s="27" t="s">
        <v>1049</v>
      </c>
      <c r="AC121" s="29" t="s">
        <v>1050</v>
      </c>
      <c r="AF121" s="2" t="s">
        <v>1051</v>
      </c>
      <c r="AG121" s="2">
        <v>408</v>
      </c>
    </row>
    <row r="122" ht="15">
      <c r="C122" s="12"/>
      <c r="D122" s="13"/>
      <c r="E122" s="14"/>
      <c r="G122" s="7"/>
      <c r="H122" s="5"/>
      <c r="I122" s="5"/>
      <c r="J122" s="5"/>
      <c r="M122" s="3" t="s">
        <v>1051</v>
      </c>
      <c r="N122" s="2">
        <v>408</v>
      </c>
      <c r="S122" s="24" t="s">
        <v>1052</v>
      </c>
      <c r="T122" s="24">
        <v>646</v>
      </c>
      <c r="U122" s="23" t="s">
        <v>1053</v>
      </c>
      <c r="V122" s="23">
        <v>1</v>
      </c>
      <c r="W122" s="2"/>
      <c r="AB122" s="27" t="s">
        <v>1054</v>
      </c>
      <c r="AC122" s="29" t="s">
        <v>1055</v>
      </c>
      <c r="AF122" s="2" t="s">
        <v>1056</v>
      </c>
      <c r="AG122" s="2">
        <v>188</v>
      </c>
    </row>
    <row r="123" ht="15">
      <c r="C123" s="12"/>
      <c r="D123" s="13"/>
      <c r="E123" s="14"/>
      <c r="G123" s="7"/>
      <c r="H123" s="5"/>
      <c r="I123" s="5"/>
      <c r="J123" s="5"/>
      <c r="M123" s="3" t="s">
        <v>1056</v>
      </c>
      <c r="N123" s="2">
        <v>188</v>
      </c>
      <c r="S123" s="24" t="s">
        <v>1057</v>
      </c>
      <c r="T123" s="24">
        <v>654</v>
      </c>
      <c r="U123" s="24" t="s">
        <v>1058</v>
      </c>
      <c r="V123" s="24">
        <v>1</v>
      </c>
      <c r="W123" s="2"/>
      <c r="AB123" s="27" t="s">
        <v>1059</v>
      </c>
      <c r="AC123" s="29" t="s">
        <v>1060</v>
      </c>
      <c r="AF123" s="2" t="s">
        <v>1061</v>
      </c>
      <c r="AG123" s="2">
        <v>384</v>
      </c>
    </row>
    <row r="124" ht="15">
      <c r="C124" s="12"/>
      <c r="D124" s="13"/>
      <c r="E124" s="14"/>
      <c r="G124" s="7"/>
      <c r="H124" s="5"/>
      <c r="I124" s="5"/>
      <c r="J124" s="5"/>
      <c r="M124" s="3" t="s">
        <v>1061</v>
      </c>
      <c r="N124" s="2">
        <v>384</v>
      </c>
      <c r="S124" s="24" t="s">
        <v>1062</v>
      </c>
      <c r="T124" s="24">
        <v>678</v>
      </c>
      <c r="U124" s="23" t="s">
        <v>1063</v>
      </c>
      <c r="V124" s="23">
        <v>1</v>
      </c>
      <c r="W124" s="2"/>
      <c r="AB124" s="27" t="s">
        <v>1064</v>
      </c>
      <c r="AC124" s="29" t="s">
        <v>1065</v>
      </c>
      <c r="AF124" s="2" t="s">
        <v>1066</v>
      </c>
      <c r="AG124" s="2">
        <v>162</v>
      </c>
    </row>
    <row r="125" ht="15">
      <c r="C125" s="12"/>
      <c r="D125" s="13"/>
      <c r="E125" s="14"/>
      <c r="G125" s="7"/>
      <c r="H125" s="5"/>
      <c r="I125" s="5"/>
      <c r="J125" s="5"/>
      <c r="M125" s="3" t="s">
        <v>1066</v>
      </c>
      <c r="N125" s="2">
        <v>162</v>
      </c>
      <c r="S125" s="24" t="s">
        <v>1067</v>
      </c>
      <c r="T125" s="24">
        <v>682</v>
      </c>
      <c r="U125" s="24" t="s">
        <v>1068</v>
      </c>
      <c r="V125" s="24">
        <v>1</v>
      </c>
      <c r="W125" s="2"/>
      <c r="AB125" s="27" t="s">
        <v>1069</v>
      </c>
      <c r="AC125" s="29" t="s">
        <v>1070</v>
      </c>
      <c r="AF125" s="2" t="s">
        <v>1071</v>
      </c>
      <c r="AG125" s="2">
        <v>192</v>
      </c>
    </row>
    <row r="126" ht="15">
      <c r="C126" s="12"/>
      <c r="D126" s="13"/>
      <c r="E126" s="14"/>
      <c r="G126" s="7"/>
      <c r="H126" s="5"/>
      <c r="I126" s="5"/>
      <c r="J126" s="5"/>
      <c r="M126" s="3" t="s">
        <v>1071</v>
      </c>
      <c r="N126" s="2">
        <v>192</v>
      </c>
      <c r="S126" s="24" t="s">
        <v>1072</v>
      </c>
      <c r="T126" s="24">
        <v>690</v>
      </c>
      <c r="U126" s="23" t="s">
        <v>1073</v>
      </c>
      <c r="V126" s="23">
        <v>1</v>
      </c>
      <c r="W126" s="2"/>
      <c r="AB126" s="27" t="s">
        <v>1074</v>
      </c>
      <c r="AC126" s="29" t="s">
        <v>1075</v>
      </c>
      <c r="AF126" s="2" t="s">
        <v>1076</v>
      </c>
      <c r="AG126" s="2">
        <v>184</v>
      </c>
    </row>
    <row r="127" ht="15">
      <c r="C127" s="12"/>
      <c r="D127" s="13"/>
      <c r="E127" s="14"/>
      <c r="G127" s="7"/>
      <c r="H127" s="5"/>
      <c r="I127" s="5"/>
      <c r="J127" s="5"/>
      <c r="M127" s="3" t="s">
        <v>1076</v>
      </c>
      <c r="N127" s="2">
        <v>184</v>
      </c>
      <c r="S127" s="24" t="s">
        <v>1077</v>
      </c>
      <c r="T127" s="24">
        <v>694</v>
      </c>
      <c r="U127" s="24" t="s">
        <v>1078</v>
      </c>
      <c r="V127" s="24">
        <v>1</v>
      </c>
      <c r="W127" s="2"/>
      <c r="AB127" s="27" t="s">
        <v>1079</v>
      </c>
      <c r="AC127" s="29" t="s">
        <v>1080</v>
      </c>
      <c r="AF127" s="2" t="s">
        <v>1081</v>
      </c>
      <c r="AG127" s="2">
        <v>531</v>
      </c>
    </row>
    <row r="128" ht="15">
      <c r="C128" s="12"/>
      <c r="D128" s="13"/>
      <c r="E128" s="14"/>
      <c r="G128" s="7"/>
      <c r="H128" s="5"/>
      <c r="I128" s="5"/>
      <c r="J128" s="5"/>
      <c r="M128" s="3" t="s">
        <v>1081</v>
      </c>
      <c r="N128" s="2">
        <v>531</v>
      </c>
      <c r="S128" s="24" t="s">
        <v>1082</v>
      </c>
      <c r="T128" s="24">
        <v>702</v>
      </c>
      <c r="U128" s="23" t="s">
        <v>1083</v>
      </c>
      <c r="V128" s="23">
        <v>1</v>
      </c>
      <c r="W128" s="2"/>
      <c r="AB128" s="27" t="s">
        <v>1084</v>
      </c>
      <c r="AC128" s="29" t="s">
        <v>1085</v>
      </c>
      <c r="AF128" s="2" t="s">
        <v>1086</v>
      </c>
      <c r="AG128" s="2">
        <v>414</v>
      </c>
    </row>
    <row r="129" ht="15">
      <c r="C129" s="12"/>
      <c r="D129" s="13"/>
      <c r="E129" s="14"/>
      <c r="G129" s="7"/>
      <c r="H129" s="5"/>
      <c r="I129" s="5"/>
      <c r="J129" s="5"/>
      <c r="M129" s="3" t="s">
        <v>1086</v>
      </c>
      <c r="N129" s="2">
        <v>414</v>
      </c>
      <c r="S129" s="24" t="s">
        <v>1087</v>
      </c>
      <c r="T129" s="24">
        <v>703</v>
      </c>
      <c r="U129" s="24"/>
      <c r="V129" s="24">
        <v>1</v>
      </c>
      <c r="W129" s="2"/>
      <c r="AB129" s="27" t="s">
        <v>1088</v>
      </c>
      <c r="AC129" s="29" t="s">
        <v>1089</v>
      </c>
      <c r="AF129" s="2" t="s">
        <v>1090</v>
      </c>
      <c r="AG129" s="2">
        <v>418</v>
      </c>
    </row>
    <row r="130" ht="15">
      <c r="C130" s="12"/>
      <c r="D130" s="13"/>
      <c r="E130" s="14"/>
      <c r="G130" s="7"/>
      <c r="H130" s="5"/>
      <c r="I130" s="5"/>
      <c r="J130" s="5"/>
      <c r="M130" s="3" t="s">
        <v>1090</v>
      </c>
      <c r="N130" s="2">
        <v>418</v>
      </c>
      <c r="S130" s="24" t="s">
        <v>1091</v>
      </c>
      <c r="T130" s="24">
        <v>704</v>
      </c>
      <c r="U130" s="23" t="s">
        <v>1092</v>
      </c>
      <c r="V130" s="23">
        <v>1</v>
      </c>
      <c r="W130" s="2"/>
      <c r="AB130" s="27" t="s">
        <v>1093</v>
      </c>
      <c r="AC130" s="29" t="s">
        <v>1094</v>
      </c>
      <c r="AF130" s="2" t="s">
        <v>1095</v>
      </c>
      <c r="AG130" s="2">
        <v>428</v>
      </c>
    </row>
    <row r="131" ht="15">
      <c r="C131" s="12"/>
      <c r="D131" s="13"/>
      <c r="E131" s="14"/>
      <c r="G131" s="7"/>
      <c r="H131" s="5"/>
      <c r="I131" s="5"/>
      <c r="J131" s="5"/>
      <c r="M131" s="3" t="s">
        <v>1095</v>
      </c>
      <c r="N131" s="2">
        <v>428</v>
      </c>
      <c r="S131" s="24" t="s">
        <v>1096</v>
      </c>
      <c r="T131" s="24">
        <v>705</v>
      </c>
      <c r="U131" s="24"/>
      <c r="V131" s="24">
        <v>1</v>
      </c>
      <c r="W131" s="2"/>
      <c r="AB131" s="27" t="s">
        <v>1097</v>
      </c>
      <c r="AC131" s="29" t="s">
        <v>1098</v>
      </c>
      <c r="AF131" s="2" t="s">
        <v>1099</v>
      </c>
      <c r="AG131" s="2">
        <v>426</v>
      </c>
    </row>
    <row r="132" ht="15">
      <c r="C132" s="12"/>
      <c r="D132" s="13"/>
      <c r="E132" s="14"/>
      <c r="G132" s="7"/>
      <c r="H132" s="5"/>
      <c r="I132" s="5"/>
      <c r="J132" s="5"/>
      <c r="M132" s="3" t="s">
        <v>1099</v>
      </c>
      <c r="N132" s="2">
        <v>426</v>
      </c>
      <c r="S132" s="24" t="s">
        <v>1100</v>
      </c>
      <c r="T132" s="24">
        <v>706</v>
      </c>
      <c r="U132" s="23" t="s">
        <v>1101</v>
      </c>
      <c r="V132" s="23">
        <v>1</v>
      </c>
      <c r="W132" s="2"/>
      <c r="AB132" s="27" t="s">
        <v>1102</v>
      </c>
      <c r="AC132" s="29" t="s">
        <v>1103</v>
      </c>
      <c r="AF132" s="2" t="s">
        <v>1104</v>
      </c>
      <c r="AG132" s="2">
        <v>430</v>
      </c>
    </row>
    <row r="133" ht="15">
      <c r="C133" s="12"/>
      <c r="D133" s="13"/>
      <c r="E133" s="14"/>
      <c r="G133" s="7"/>
      <c r="H133" s="5"/>
      <c r="I133" s="5"/>
      <c r="J133" s="5"/>
      <c r="M133" s="3" t="s">
        <v>1104</v>
      </c>
      <c r="N133" s="2">
        <v>430</v>
      </c>
      <c r="S133" s="24" t="s">
        <v>1105</v>
      </c>
      <c r="T133" s="24">
        <v>710</v>
      </c>
      <c r="U133" s="24" t="s">
        <v>1106</v>
      </c>
      <c r="V133" s="24">
        <v>1</v>
      </c>
      <c r="W133" s="2"/>
      <c r="AB133" s="27" t="s">
        <v>1107</v>
      </c>
      <c r="AC133" s="29" t="s">
        <v>1108</v>
      </c>
      <c r="AF133" s="2" t="s">
        <v>1109</v>
      </c>
      <c r="AG133" s="2">
        <v>440</v>
      </c>
    </row>
    <row r="134" ht="15">
      <c r="C134" s="12"/>
      <c r="D134" s="13"/>
      <c r="E134" s="14"/>
      <c r="G134" s="7"/>
      <c r="H134" s="5"/>
      <c r="I134" s="5"/>
      <c r="J134" s="5"/>
      <c r="M134" s="3" t="s">
        <v>1109</v>
      </c>
      <c r="N134" s="2">
        <v>440</v>
      </c>
      <c r="S134" s="24" t="s">
        <v>1110</v>
      </c>
      <c r="T134" s="24">
        <v>716</v>
      </c>
      <c r="U134" s="23"/>
      <c r="V134" s="23">
        <v>1</v>
      </c>
      <c r="W134" s="2"/>
      <c r="AB134" s="27" t="s">
        <v>1111</v>
      </c>
      <c r="AC134" s="29" t="s">
        <v>1112</v>
      </c>
      <c r="AF134" s="2" t="s">
        <v>1113</v>
      </c>
      <c r="AG134" s="2">
        <v>422</v>
      </c>
    </row>
    <row r="135" ht="15">
      <c r="C135" s="12"/>
      <c r="D135" s="13"/>
      <c r="E135" s="14"/>
      <c r="G135" s="7"/>
      <c r="H135" s="5"/>
      <c r="I135" s="5"/>
      <c r="J135" s="5"/>
      <c r="M135" s="3" t="s">
        <v>1113</v>
      </c>
      <c r="N135" s="2">
        <v>422</v>
      </c>
      <c r="S135" s="24" t="s">
        <v>1114</v>
      </c>
      <c r="T135" s="24">
        <v>724</v>
      </c>
      <c r="U135" s="24"/>
      <c r="V135" s="24">
        <v>1</v>
      </c>
      <c r="W135" s="2"/>
      <c r="AB135" s="27" t="s">
        <v>1115</v>
      </c>
      <c r="AC135" s="29" t="s">
        <v>1116</v>
      </c>
      <c r="AF135" s="2" t="s">
        <v>1117</v>
      </c>
      <c r="AG135" s="2">
        <v>434</v>
      </c>
    </row>
    <row r="136" ht="15">
      <c r="C136" s="12"/>
      <c r="D136" s="13"/>
      <c r="E136" s="14"/>
      <c r="G136" s="7"/>
      <c r="H136" s="5"/>
      <c r="I136" s="5"/>
      <c r="J136" s="5"/>
      <c r="M136" s="3" t="s">
        <v>1117</v>
      </c>
      <c r="N136" s="2">
        <v>434</v>
      </c>
      <c r="S136" s="24" t="s">
        <v>1118</v>
      </c>
      <c r="T136" s="24">
        <v>728</v>
      </c>
      <c r="U136" s="23" t="s">
        <v>1119</v>
      </c>
      <c r="V136" s="23">
        <v>1</v>
      </c>
      <c r="W136" s="2"/>
      <c r="AB136" s="27" t="s">
        <v>1120</v>
      </c>
      <c r="AC136" s="29" t="s">
        <v>1121</v>
      </c>
      <c r="AF136" s="2" t="s">
        <v>1122</v>
      </c>
      <c r="AG136" s="2">
        <v>438</v>
      </c>
    </row>
    <row r="137" ht="15">
      <c r="C137" s="12"/>
      <c r="D137" s="13"/>
      <c r="E137" s="14"/>
      <c r="G137" s="7"/>
      <c r="H137" s="5"/>
      <c r="I137" s="5"/>
      <c r="J137" s="5"/>
      <c r="M137" s="3" t="s">
        <v>1122</v>
      </c>
      <c r="N137" s="2">
        <v>438</v>
      </c>
      <c r="S137" s="24" t="s">
        <v>1123</v>
      </c>
      <c r="T137" s="24">
        <v>736</v>
      </c>
      <c r="U137" s="24"/>
      <c r="V137" s="24">
        <v>1</v>
      </c>
      <c r="W137" s="2"/>
      <c r="AB137" s="27" t="s">
        <v>1124</v>
      </c>
      <c r="AC137" s="29" t="s">
        <v>1125</v>
      </c>
      <c r="AF137" s="2" t="s">
        <v>1126</v>
      </c>
      <c r="AG137" s="2">
        <v>442</v>
      </c>
    </row>
    <row r="138" ht="15">
      <c r="C138" s="12"/>
      <c r="D138" s="13"/>
      <c r="E138" s="14"/>
      <c r="G138" s="7"/>
      <c r="H138" s="5"/>
      <c r="I138" s="5"/>
      <c r="J138" s="5"/>
      <c r="M138" s="3" t="s">
        <v>1126</v>
      </c>
      <c r="N138" s="2">
        <v>442</v>
      </c>
      <c r="S138" s="24" t="s">
        <v>1127</v>
      </c>
      <c r="T138" s="24">
        <v>740</v>
      </c>
      <c r="U138" s="23"/>
      <c r="V138" s="23">
        <v>1</v>
      </c>
      <c r="W138" s="2"/>
      <c r="AB138" s="27" t="s">
        <v>1128</v>
      </c>
      <c r="AC138" s="29" t="s">
        <v>1129</v>
      </c>
      <c r="AF138" s="2" t="s">
        <v>1130</v>
      </c>
      <c r="AG138" s="2">
        <v>348</v>
      </c>
    </row>
    <row r="139" ht="15">
      <c r="C139" s="12"/>
      <c r="D139" s="13"/>
      <c r="E139" s="14"/>
      <c r="G139" s="7"/>
      <c r="H139" s="5"/>
      <c r="I139" s="5"/>
      <c r="J139" s="5"/>
      <c r="M139" s="3" t="s">
        <v>1130</v>
      </c>
      <c r="N139" s="2">
        <v>348</v>
      </c>
      <c r="S139" s="24" t="s">
        <v>1131</v>
      </c>
      <c r="T139" s="24">
        <v>748</v>
      </c>
      <c r="U139" s="24" t="s">
        <v>1132</v>
      </c>
      <c r="V139" s="24">
        <v>1</v>
      </c>
      <c r="W139" s="2"/>
      <c r="AB139" s="27" t="s">
        <v>1133</v>
      </c>
      <c r="AC139" s="29" t="s">
        <v>1134</v>
      </c>
      <c r="AF139" s="2" t="s">
        <v>1135</v>
      </c>
      <c r="AG139" s="2">
        <v>450</v>
      </c>
    </row>
    <row r="140" ht="15">
      <c r="C140" s="12"/>
      <c r="D140" s="13"/>
      <c r="E140" s="14"/>
      <c r="G140" s="7"/>
      <c r="H140" s="5"/>
      <c r="I140" s="5"/>
      <c r="J140" s="5"/>
      <c r="M140" s="3" t="s">
        <v>1135</v>
      </c>
      <c r="N140" s="2">
        <v>450</v>
      </c>
      <c r="S140" s="24" t="s">
        <v>1136</v>
      </c>
      <c r="T140" s="24">
        <v>752</v>
      </c>
      <c r="U140" s="23" t="s">
        <v>1137</v>
      </c>
      <c r="V140" s="23">
        <v>1</v>
      </c>
      <c r="W140" s="2"/>
      <c r="AB140" s="27" t="s">
        <v>1138</v>
      </c>
      <c r="AC140" s="29" t="s">
        <v>1139</v>
      </c>
      <c r="AF140" s="2" t="s">
        <v>1140</v>
      </c>
      <c r="AG140" s="2">
        <v>454</v>
      </c>
    </row>
    <row r="141" ht="15">
      <c r="C141" s="12"/>
      <c r="D141" s="13"/>
      <c r="E141" s="14"/>
      <c r="G141" s="7"/>
      <c r="H141" s="5"/>
      <c r="I141" s="5"/>
      <c r="J141" s="5"/>
      <c r="M141" s="3" t="s">
        <v>1140</v>
      </c>
      <c r="N141" s="2">
        <v>454</v>
      </c>
      <c r="S141" s="24" t="s">
        <v>1141</v>
      </c>
      <c r="T141" s="24">
        <v>756</v>
      </c>
      <c r="U141" s="24" t="s">
        <v>1142</v>
      </c>
      <c r="V141" s="24">
        <v>1</v>
      </c>
      <c r="W141" s="2"/>
      <c r="AB141" s="27" t="s">
        <v>1143</v>
      </c>
      <c r="AC141" s="29" t="s">
        <v>1144</v>
      </c>
      <c r="AF141" s="2" t="s">
        <v>1145</v>
      </c>
      <c r="AG141" s="2">
        <v>458</v>
      </c>
    </row>
    <row r="142" ht="15">
      <c r="C142" s="12"/>
      <c r="D142" s="13"/>
      <c r="E142" s="14"/>
      <c r="G142" s="7"/>
      <c r="H142" s="5"/>
      <c r="I142" s="5"/>
      <c r="J142" s="5"/>
      <c r="M142" s="3" t="s">
        <v>1145</v>
      </c>
      <c r="N142" s="2">
        <v>458</v>
      </c>
      <c r="S142" s="24" t="s">
        <v>1146</v>
      </c>
      <c r="T142" s="24">
        <v>760</v>
      </c>
      <c r="U142" s="23" t="s">
        <v>1147</v>
      </c>
      <c r="V142" s="23">
        <v>1</v>
      </c>
      <c r="W142" s="2"/>
      <c r="AB142" s="27" t="s">
        <v>1148</v>
      </c>
      <c r="AC142" s="29" t="s">
        <v>1149</v>
      </c>
      <c r="AF142" s="2" t="s">
        <v>1150</v>
      </c>
      <c r="AG142" s="2">
        <v>462</v>
      </c>
    </row>
    <row r="143" ht="15">
      <c r="C143" s="12"/>
      <c r="D143" s="13"/>
      <c r="E143" s="14"/>
      <c r="G143" s="7"/>
      <c r="H143" s="5"/>
      <c r="I143" s="5"/>
      <c r="J143" s="5"/>
      <c r="M143" s="3" t="s">
        <v>1150</v>
      </c>
      <c r="N143" s="2">
        <v>462</v>
      </c>
      <c r="S143" s="24" t="s">
        <v>1151</v>
      </c>
      <c r="T143" s="24">
        <v>764</v>
      </c>
      <c r="U143" s="24" t="s">
        <v>1152</v>
      </c>
      <c r="V143" s="24">
        <v>1</v>
      </c>
      <c r="W143" s="2"/>
      <c r="AB143" s="27" t="s">
        <v>1153</v>
      </c>
      <c r="AC143" s="29" t="s">
        <v>1154</v>
      </c>
      <c r="AF143" s="2" t="s">
        <v>1155</v>
      </c>
      <c r="AG143" s="2">
        <v>466</v>
      </c>
    </row>
    <row r="144" ht="15">
      <c r="C144" s="12"/>
      <c r="D144" s="13"/>
      <c r="E144" s="14"/>
      <c r="G144" s="7"/>
      <c r="H144" s="5"/>
      <c r="I144" s="5"/>
      <c r="J144" s="5"/>
      <c r="M144" s="3" t="s">
        <v>1155</v>
      </c>
      <c r="N144" s="2">
        <v>466</v>
      </c>
      <c r="S144" s="24" t="s">
        <v>1156</v>
      </c>
      <c r="T144" s="24">
        <v>776</v>
      </c>
      <c r="U144" s="23" t="s">
        <v>1157</v>
      </c>
      <c r="V144" s="23">
        <v>1</v>
      </c>
      <c r="W144" s="2"/>
      <c r="AB144" s="27" t="s">
        <v>1158</v>
      </c>
      <c r="AC144" s="29" t="s">
        <v>1159</v>
      </c>
      <c r="AF144" s="2" t="s">
        <v>1160</v>
      </c>
      <c r="AG144" s="2">
        <v>470</v>
      </c>
    </row>
    <row r="145" ht="15">
      <c r="C145" s="12"/>
      <c r="D145" s="13"/>
      <c r="E145" s="14"/>
      <c r="G145" s="7"/>
      <c r="H145" s="5"/>
      <c r="I145" s="5"/>
      <c r="J145" s="5"/>
      <c r="M145" s="3" t="s">
        <v>1160</v>
      </c>
      <c r="N145" s="2">
        <v>470</v>
      </c>
      <c r="S145" s="24" t="s">
        <v>1161</v>
      </c>
      <c r="T145" s="24">
        <v>780</v>
      </c>
      <c r="U145" s="24" t="s">
        <v>1162</v>
      </c>
      <c r="V145" s="24">
        <v>1</v>
      </c>
      <c r="W145" s="2"/>
      <c r="AB145" s="27" t="s">
        <v>1163</v>
      </c>
      <c r="AC145" s="29" t="s">
        <v>1164</v>
      </c>
      <c r="AF145" s="2" t="s">
        <v>1165</v>
      </c>
      <c r="AG145" s="2">
        <v>584</v>
      </c>
    </row>
    <row r="146" ht="15">
      <c r="C146" s="12"/>
      <c r="D146" s="13"/>
      <c r="E146" s="14"/>
      <c r="G146" s="7"/>
      <c r="H146" s="5"/>
      <c r="I146" s="5"/>
      <c r="J146" s="5"/>
      <c r="M146" s="3" t="s">
        <v>1165</v>
      </c>
      <c r="N146" s="2">
        <v>584</v>
      </c>
      <c r="S146" s="24" t="s">
        <v>347</v>
      </c>
      <c r="T146" s="24">
        <v>784</v>
      </c>
      <c r="U146" s="23" t="s">
        <v>1166</v>
      </c>
      <c r="V146" s="23">
        <v>1</v>
      </c>
      <c r="W146" s="2"/>
      <c r="AB146" s="27" t="s">
        <v>1167</v>
      </c>
      <c r="AC146" s="29" t="s">
        <v>1168</v>
      </c>
      <c r="AF146" s="2" t="s">
        <v>1169</v>
      </c>
      <c r="AG146" s="2">
        <v>474</v>
      </c>
    </row>
    <row r="147" ht="15">
      <c r="C147" s="12"/>
      <c r="D147" s="13"/>
      <c r="E147" s="14"/>
      <c r="G147" s="7"/>
      <c r="H147" s="5"/>
      <c r="I147" s="5"/>
      <c r="J147" s="5"/>
      <c r="M147" s="3" t="s">
        <v>1169</v>
      </c>
      <c r="N147" s="2">
        <v>474</v>
      </c>
      <c r="S147" s="24" t="s">
        <v>1170</v>
      </c>
      <c r="T147" s="24">
        <v>788</v>
      </c>
      <c r="U147" s="24" t="s">
        <v>1171</v>
      </c>
      <c r="V147" s="24">
        <v>1</v>
      </c>
      <c r="W147" s="2"/>
      <c r="AB147" s="27" t="s">
        <v>1172</v>
      </c>
      <c r="AC147" s="29" t="s">
        <v>1173</v>
      </c>
      <c r="AF147" s="2" t="s">
        <v>1174</v>
      </c>
      <c r="AG147" s="2">
        <v>480</v>
      </c>
    </row>
    <row r="148" ht="15">
      <c r="C148" s="12"/>
      <c r="D148" s="13"/>
      <c r="E148" s="14"/>
      <c r="G148" s="7"/>
      <c r="H148" s="5"/>
      <c r="I148" s="5"/>
      <c r="J148" s="5"/>
      <c r="M148" s="3" t="s">
        <v>1174</v>
      </c>
      <c r="N148" s="2">
        <v>480</v>
      </c>
      <c r="S148" s="24" t="s">
        <v>1175</v>
      </c>
      <c r="T148" s="24">
        <v>795</v>
      </c>
      <c r="U148" s="23"/>
      <c r="V148" s="23">
        <v>1</v>
      </c>
      <c r="W148" s="2"/>
      <c r="AB148" s="27" t="s">
        <v>1176</v>
      </c>
      <c r="AC148" s="29" t="s">
        <v>1177</v>
      </c>
      <c r="AF148" s="2" t="s">
        <v>1178</v>
      </c>
      <c r="AG148" s="2">
        <v>478</v>
      </c>
    </row>
    <row r="149" ht="15">
      <c r="C149" s="12"/>
      <c r="D149" s="13"/>
      <c r="E149" s="14"/>
      <c r="G149" s="7"/>
      <c r="H149" s="5"/>
      <c r="I149" s="5"/>
      <c r="J149" s="5"/>
      <c r="M149" s="3" t="s">
        <v>1178</v>
      </c>
      <c r="N149" s="2">
        <v>478</v>
      </c>
      <c r="S149" s="24" t="s">
        <v>1179</v>
      </c>
      <c r="T149" s="24">
        <v>800</v>
      </c>
      <c r="U149" s="24" t="s">
        <v>1180</v>
      </c>
      <c r="V149" s="24">
        <v>1</v>
      </c>
      <c r="W149" s="2"/>
      <c r="AB149" s="27" t="s">
        <v>1181</v>
      </c>
      <c r="AC149" s="29" t="s">
        <v>1182</v>
      </c>
      <c r="AF149" s="2" t="s">
        <v>1183</v>
      </c>
      <c r="AG149" s="2">
        <v>484</v>
      </c>
    </row>
    <row r="150" ht="15">
      <c r="C150" s="12"/>
      <c r="D150" s="13"/>
      <c r="E150" s="14"/>
      <c r="G150" s="7"/>
      <c r="H150" s="5"/>
      <c r="I150" s="5"/>
      <c r="J150" s="5"/>
      <c r="M150" s="3" t="s">
        <v>1183</v>
      </c>
      <c r="N150" s="2">
        <v>484</v>
      </c>
      <c r="S150" s="24" t="s">
        <v>1184</v>
      </c>
      <c r="T150" s="24">
        <v>807</v>
      </c>
      <c r="U150" s="23" t="s">
        <v>1185</v>
      </c>
      <c r="V150" s="23">
        <v>1</v>
      </c>
      <c r="W150" s="2"/>
      <c r="AB150" s="27" t="s">
        <v>1186</v>
      </c>
      <c r="AC150" s="29" t="s">
        <v>1187</v>
      </c>
      <c r="AF150" s="2" t="s">
        <v>1188</v>
      </c>
      <c r="AG150" s="2">
        <v>833</v>
      </c>
    </row>
    <row r="151" ht="15">
      <c r="C151" s="12"/>
      <c r="D151" s="13"/>
      <c r="E151" s="14"/>
      <c r="G151" s="7"/>
      <c r="H151" s="5"/>
      <c r="I151" s="5"/>
      <c r="J151" s="5"/>
      <c r="M151" s="3" t="s">
        <v>1188</v>
      </c>
      <c r="N151" s="2">
        <v>833</v>
      </c>
      <c r="S151" s="24" t="s">
        <v>1189</v>
      </c>
      <c r="T151" s="24">
        <v>810</v>
      </c>
      <c r="U151" s="24" t="s">
        <v>1190</v>
      </c>
      <c r="V151" s="24">
        <v>1</v>
      </c>
      <c r="W151" s="2"/>
      <c r="AB151" s="27" t="s">
        <v>1191</v>
      </c>
      <c r="AC151" s="29" t="s">
        <v>1192</v>
      </c>
      <c r="AF151" s="2" t="s">
        <v>1193</v>
      </c>
      <c r="AG151" s="2">
        <v>504</v>
      </c>
    </row>
    <row r="152" ht="15">
      <c r="C152" s="12"/>
      <c r="D152" s="13"/>
      <c r="E152" s="14"/>
      <c r="G152" s="7"/>
      <c r="H152" s="5"/>
      <c r="I152" s="5"/>
      <c r="J152" s="5"/>
      <c r="M152" s="3" t="s">
        <v>1193</v>
      </c>
      <c r="N152" s="2">
        <v>504</v>
      </c>
      <c r="S152" s="24" t="s">
        <v>1194</v>
      </c>
      <c r="T152" s="24">
        <v>818</v>
      </c>
      <c r="U152" s="23" t="s">
        <v>1195</v>
      </c>
      <c r="V152" s="23">
        <v>1</v>
      </c>
      <c r="W152" s="2"/>
      <c r="AB152" s="27" t="s">
        <v>1196</v>
      </c>
      <c r="AC152" s="29" t="s">
        <v>1197</v>
      </c>
      <c r="AF152" s="2" t="s">
        <v>1198</v>
      </c>
      <c r="AG152" s="2">
        <v>140</v>
      </c>
    </row>
    <row r="153" ht="15">
      <c r="C153" s="12"/>
      <c r="D153" s="13"/>
      <c r="E153" s="14"/>
      <c r="G153" s="7"/>
      <c r="H153" s="5"/>
      <c r="I153" s="5"/>
      <c r="J153" s="5"/>
      <c r="M153" s="3" t="s">
        <v>1198</v>
      </c>
      <c r="N153" s="2">
        <v>140</v>
      </c>
      <c r="S153" s="24" t="s">
        <v>1199</v>
      </c>
      <c r="T153" s="24">
        <v>826</v>
      </c>
      <c r="U153" s="24" t="s">
        <v>1200</v>
      </c>
      <c r="V153" s="24">
        <v>1</v>
      </c>
      <c r="W153" s="2"/>
      <c r="AB153" s="27" t="s">
        <v>1201</v>
      </c>
      <c r="AC153" s="29" t="s">
        <v>1202</v>
      </c>
      <c r="AF153" s="2" t="s">
        <v>1203</v>
      </c>
      <c r="AG153" s="2">
        <v>175</v>
      </c>
    </row>
    <row r="154" ht="15">
      <c r="C154" s="12"/>
      <c r="D154" s="13"/>
      <c r="E154" s="14"/>
      <c r="G154" s="7"/>
      <c r="H154" s="5"/>
      <c r="I154" s="5"/>
      <c r="J154" s="5"/>
      <c r="M154" s="3" t="s">
        <v>1203</v>
      </c>
      <c r="N154" s="2">
        <v>175</v>
      </c>
      <c r="S154" s="24" t="s">
        <v>1204</v>
      </c>
      <c r="T154" s="24">
        <v>834</v>
      </c>
      <c r="U154" s="23" t="s">
        <v>1205</v>
      </c>
      <c r="V154" s="23">
        <v>1</v>
      </c>
      <c r="W154" s="2"/>
      <c r="AB154" s="27" t="s">
        <v>1206</v>
      </c>
      <c r="AC154" s="29" t="s">
        <v>1207</v>
      </c>
      <c r="AF154" s="2" t="s">
        <v>1208</v>
      </c>
      <c r="AG154" s="2">
        <v>583</v>
      </c>
    </row>
    <row r="155" ht="15">
      <c r="C155" s="12"/>
      <c r="D155" s="13"/>
      <c r="E155" s="14"/>
      <c r="G155" s="7"/>
      <c r="H155" s="5"/>
      <c r="I155" s="5"/>
      <c r="J155" s="5"/>
      <c r="M155" s="3" t="s">
        <v>1208</v>
      </c>
      <c r="N155" s="2">
        <v>583</v>
      </c>
      <c r="S155" s="24" t="s">
        <v>341</v>
      </c>
      <c r="T155" s="24">
        <v>840</v>
      </c>
      <c r="U155" s="24" t="s">
        <v>1209</v>
      </c>
      <c r="V155" s="24">
        <v>1</v>
      </c>
      <c r="W155" s="2"/>
      <c r="AB155" s="27" t="s">
        <v>1210</v>
      </c>
      <c r="AC155" s="29" t="s">
        <v>1211</v>
      </c>
      <c r="AF155" s="2" t="s">
        <v>1212</v>
      </c>
      <c r="AG155" s="2">
        <v>818</v>
      </c>
    </row>
    <row r="156" ht="15">
      <c r="C156" s="12"/>
      <c r="D156" s="13"/>
      <c r="E156" s="14"/>
      <c r="G156" s="7"/>
      <c r="H156" s="5"/>
      <c r="I156" s="5"/>
      <c r="J156" s="5"/>
      <c r="M156" s="3" t="s">
        <v>1212</v>
      </c>
      <c r="N156" s="2">
        <v>818</v>
      </c>
      <c r="S156" s="24" t="s">
        <v>1213</v>
      </c>
      <c r="T156" s="24">
        <v>858</v>
      </c>
      <c r="U156" s="23" t="s">
        <v>1214</v>
      </c>
      <c r="V156" s="23">
        <v>1</v>
      </c>
      <c r="W156" s="2"/>
      <c r="AB156" s="27" t="s">
        <v>1215</v>
      </c>
      <c r="AC156" s="29" t="s">
        <v>1216</v>
      </c>
      <c r="AF156" s="2" t="s">
        <v>1217</v>
      </c>
      <c r="AG156" s="2">
        <v>498</v>
      </c>
    </row>
    <row r="157" ht="15">
      <c r="C157" s="12"/>
      <c r="D157" s="13"/>
      <c r="E157" s="14"/>
      <c r="G157" s="7"/>
      <c r="H157" s="5"/>
      <c r="I157" s="5"/>
      <c r="J157" s="5"/>
      <c r="M157" s="3" t="s">
        <v>1217</v>
      </c>
      <c r="N157" s="2">
        <v>498</v>
      </c>
      <c r="S157" s="24" t="s">
        <v>1218</v>
      </c>
      <c r="T157" s="24">
        <v>860</v>
      </c>
      <c r="U157" s="24" t="s">
        <v>1219</v>
      </c>
      <c r="V157" s="24">
        <v>100</v>
      </c>
      <c r="W157" s="2"/>
      <c r="AB157" s="27" t="s">
        <v>1220</v>
      </c>
      <c r="AC157" s="29" t="s">
        <v>1221</v>
      </c>
      <c r="AF157" s="2" t="s">
        <v>1222</v>
      </c>
      <c r="AG157" s="2">
        <v>492</v>
      </c>
    </row>
    <row r="158" ht="15">
      <c r="C158" s="12"/>
      <c r="D158" s="13"/>
      <c r="E158" s="14"/>
      <c r="G158" s="7"/>
      <c r="H158" s="5"/>
      <c r="I158" s="5"/>
      <c r="J158" s="5"/>
      <c r="M158" s="3" t="s">
        <v>1222</v>
      </c>
      <c r="N158" s="2">
        <v>492</v>
      </c>
      <c r="S158" s="24" t="s">
        <v>1223</v>
      </c>
      <c r="T158" s="24">
        <v>862</v>
      </c>
      <c r="U158" s="23"/>
      <c r="V158" s="23">
        <v>1</v>
      </c>
      <c r="W158" s="2"/>
      <c r="AB158" s="27" t="s">
        <v>1224</v>
      </c>
      <c r="AC158" s="29" t="s">
        <v>1225</v>
      </c>
      <c r="AF158" s="2" t="s">
        <v>1226</v>
      </c>
      <c r="AG158" s="2">
        <v>496</v>
      </c>
    </row>
    <row r="159" ht="15">
      <c r="C159" s="12"/>
      <c r="D159" s="13"/>
      <c r="E159" s="14"/>
      <c r="G159" s="7"/>
      <c r="H159" s="5"/>
      <c r="I159" s="5"/>
      <c r="J159" s="5"/>
      <c r="M159" s="3" t="s">
        <v>1226</v>
      </c>
      <c r="N159" s="2">
        <v>496</v>
      </c>
      <c r="S159" s="24" t="s">
        <v>1227</v>
      </c>
      <c r="T159" s="24">
        <v>882</v>
      </c>
      <c r="U159" s="24" t="s">
        <v>1228</v>
      </c>
      <c r="V159" s="24">
        <v>1</v>
      </c>
      <c r="W159" s="2"/>
      <c r="AB159" s="27" t="s">
        <v>1229</v>
      </c>
      <c r="AC159" s="29" t="s">
        <v>1230</v>
      </c>
      <c r="AF159" s="2" t="s">
        <v>1231</v>
      </c>
      <c r="AG159" s="2">
        <v>500</v>
      </c>
    </row>
    <row r="160" ht="15">
      <c r="C160" s="12"/>
      <c r="D160" s="13"/>
      <c r="E160" s="14"/>
      <c r="G160" s="7"/>
      <c r="H160" s="5"/>
      <c r="I160" s="5"/>
      <c r="J160" s="5"/>
      <c r="M160" s="3" t="s">
        <v>1231</v>
      </c>
      <c r="N160" s="2">
        <v>500</v>
      </c>
      <c r="S160" s="24" t="s">
        <v>1232</v>
      </c>
      <c r="T160" s="24">
        <v>886</v>
      </c>
      <c r="U160" s="23" t="s">
        <v>1233</v>
      </c>
      <c r="V160" s="23">
        <v>1</v>
      </c>
      <c r="W160" s="2"/>
      <c r="AB160" s="27" t="s">
        <v>1234</v>
      </c>
      <c r="AC160" s="29" t="s">
        <v>1235</v>
      </c>
      <c r="AF160" s="2" t="s">
        <v>1236</v>
      </c>
      <c r="AG160" s="2">
        <v>499</v>
      </c>
    </row>
    <row r="161" ht="15">
      <c r="C161" s="12"/>
      <c r="D161" s="13"/>
      <c r="E161" s="14"/>
      <c r="G161" s="7"/>
      <c r="H161" s="5"/>
      <c r="I161" s="5"/>
      <c r="J161" s="5"/>
      <c r="M161" s="3" t="s">
        <v>1236</v>
      </c>
      <c r="N161" s="2">
        <v>499</v>
      </c>
      <c r="S161" s="24" t="s">
        <v>1237</v>
      </c>
      <c r="T161" s="24">
        <v>891</v>
      </c>
      <c r="U161" s="24"/>
      <c r="V161" s="24">
        <v>1</v>
      </c>
      <c r="W161" s="2"/>
      <c r="AB161" s="27" t="s">
        <v>1238</v>
      </c>
      <c r="AC161" s="29" t="s">
        <v>1239</v>
      </c>
      <c r="AF161" s="2" t="s">
        <v>1240</v>
      </c>
      <c r="AG161" s="2">
        <v>508</v>
      </c>
    </row>
    <row r="162" ht="15">
      <c r="C162" s="12"/>
      <c r="D162" s="13"/>
      <c r="E162" s="14"/>
      <c r="G162" s="7"/>
      <c r="H162" s="5"/>
      <c r="I162" s="5"/>
      <c r="J162" s="5"/>
      <c r="M162" s="3" t="s">
        <v>1240</v>
      </c>
      <c r="N162" s="2">
        <v>508</v>
      </c>
      <c r="S162" s="24" t="s">
        <v>1241</v>
      </c>
      <c r="T162" s="24">
        <v>894</v>
      </c>
      <c r="U162" s="23" t="s">
        <v>1242</v>
      </c>
      <c r="V162" s="23">
        <v>1</v>
      </c>
      <c r="W162" s="2"/>
      <c r="AB162" s="27" t="s">
        <v>1243</v>
      </c>
      <c r="AC162" s="29" t="s">
        <v>1244</v>
      </c>
      <c r="AF162" s="2" t="s">
        <v>1245</v>
      </c>
      <c r="AG162" s="2">
        <v>336</v>
      </c>
    </row>
    <row r="163" ht="15">
      <c r="C163" s="12"/>
      <c r="D163" s="13"/>
      <c r="E163" s="14"/>
      <c r="G163" s="7"/>
      <c r="H163" s="5"/>
      <c r="I163" s="5"/>
      <c r="J163" s="5"/>
      <c r="M163" s="3" t="s">
        <v>1245</v>
      </c>
      <c r="N163" s="2">
        <v>336</v>
      </c>
      <c r="S163" s="24" t="s">
        <v>1246</v>
      </c>
      <c r="T163" s="24">
        <v>901</v>
      </c>
      <c r="U163" s="24" t="s">
        <v>1247</v>
      </c>
      <c r="V163" s="24">
        <v>1</v>
      </c>
      <c r="W163" s="2"/>
      <c r="AB163" s="27" t="s">
        <v>1248</v>
      </c>
      <c r="AC163" s="29" t="s">
        <v>1249</v>
      </c>
      <c r="AF163" s="2" t="s">
        <v>1250</v>
      </c>
      <c r="AG163" s="2">
        <v>654</v>
      </c>
    </row>
    <row r="164" ht="15">
      <c r="C164" s="12"/>
      <c r="D164" s="13"/>
      <c r="E164" s="14"/>
      <c r="G164" s="7"/>
      <c r="H164" s="5"/>
      <c r="I164" s="5"/>
      <c r="J164" s="5"/>
      <c r="M164" s="3" t="s">
        <v>1250</v>
      </c>
      <c r="N164" s="2">
        <v>654</v>
      </c>
      <c r="S164" s="24" t="s">
        <v>1251</v>
      </c>
      <c r="T164" s="24">
        <v>933</v>
      </c>
      <c r="U164" s="23" t="s">
        <v>1252</v>
      </c>
      <c r="V164" s="23">
        <v>1</v>
      </c>
      <c r="W164" s="2"/>
      <c r="AB164" s="27" t="s">
        <v>1253</v>
      </c>
      <c r="AC164" s="29" t="s">
        <v>1254</v>
      </c>
      <c r="AF164" s="2" t="s">
        <v>1255</v>
      </c>
      <c r="AG164" s="2">
        <v>104</v>
      </c>
    </row>
    <row r="165" ht="15">
      <c r="C165" s="12"/>
      <c r="D165" s="13"/>
      <c r="E165" s="14"/>
      <c r="G165" s="7"/>
      <c r="H165" s="5"/>
      <c r="I165" s="5"/>
      <c r="J165" s="5"/>
      <c r="M165" s="3" t="s">
        <v>1255</v>
      </c>
      <c r="N165" s="2">
        <v>104</v>
      </c>
      <c r="S165" s="24" t="s">
        <v>1256</v>
      </c>
      <c r="T165" s="24">
        <v>934</v>
      </c>
      <c r="U165" s="24" t="s">
        <v>1257</v>
      </c>
      <c r="V165" s="24">
        <v>100</v>
      </c>
      <c r="W165" s="2"/>
      <c r="AB165" s="27" t="s">
        <v>1258</v>
      </c>
      <c r="AC165" s="29" t="s">
        <v>1259</v>
      </c>
      <c r="AF165" s="2" t="s">
        <v>1260</v>
      </c>
      <c r="AG165" s="2">
        <v>516</v>
      </c>
    </row>
    <row r="166" ht="15">
      <c r="C166" s="12"/>
      <c r="D166" s="13"/>
      <c r="E166" s="14"/>
      <c r="G166" s="7"/>
      <c r="H166" s="5"/>
      <c r="I166" s="5"/>
      <c r="J166" s="5"/>
      <c r="M166" s="3" t="s">
        <v>1260</v>
      </c>
      <c r="N166" s="2">
        <v>516</v>
      </c>
      <c r="S166" s="24" t="s">
        <v>1261</v>
      </c>
      <c r="T166" s="24">
        <v>937</v>
      </c>
      <c r="U166" s="23" t="s">
        <v>1262</v>
      </c>
      <c r="V166" s="23">
        <v>1</v>
      </c>
      <c r="W166" s="2"/>
      <c r="AB166" s="27" t="s">
        <v>1263</v>
      </c>
      <c r="AC166" s="29" t="s">
        <v>1264</v>
      </c>
      <c r="AF166" s="2" t="s">
        <v>1265</v>
      </c>
      <c r="AG166" s="2">
        <v>520</v>
      </c>
    </row>
    <row r="167" ht="15">
      <c r="C167" s="12"/>
      <c r="D167" s="13"/>
      <c r="E167" s="14"/>
      <c r="G167" s="7"/>
      <c r="H167" s="5"/>
      <c r="I167" s="5"/>
      <c r="J167" s="5"/>
      <c r="M167" s="3" t="s">
        <v>1265</v>
      </c>
      <c r="N167" s="2">
        <v>520</v>
      </c>
      <c r="S167" s="24" t="s">
        <v>1266</v>
      </c>
      <c r="T167" s="24">
        <v>938</v>
      </c>
      <c r="U167" s="24" t="s">
        <v>1267</v>
      </c>
      <c r="V167" s="24">
        <v>1</v>
      </c>
      <c r="W167" s="2"/>
      <c r="AB167" s="27" t="s">
        <v>1268</v>
      </c>
      <c r="AC167" s="29" t="s">
        <v>1269</v>
      </c>
      <c r="AF167" s="2" t="s">
        <v>1270</v>
      </c>
      <c r="AG167" s="2">
        <v>524</v>
      </c>
    </row>
    <row r="168" ht="15">
      <c r="C168" s="12"/>
      <c r="D168" s="13"/>
      <c r="E168" s="14"/>
      <c r="G168" s="7"/>
      <c r="H168" s="5"/>
      <c r="I168" s="5"/>
      <c r="J168" s="5"/>
      <c r="M168" s="3" t="s">
        <v>1270</v>
      </c>
      <c r="N168" s="2">
        <v>524</v>
      </c>
      <c r="S168" s="24" t="s">
        <v>1271</v>
      </c>
      <c r="T168" s="24">
        <v>941</v>
      </c>
      <c r="U168" s="23" t="s">
        <v>1272</v>
      </c>
      <c r="V168" s="23">
        <v>1</v>
      </c>
      <c r="W168" s="2"/>
      <c r="AB168" s="27" t="s">
        <v>1273</v>
      </c>
      <c r="AC168" s="29" t="s">
        <v>1274</v>
      </c>
      <c r="AF168" s="2" t="s">
        <v>1275</v>
      </c>
      <c r="AG168" s="2">
        <v>528</v>
      </c>
    </row>
    <row r="169" ht="15">
      <c r="C169" s="12"/>
      <c r="D169" s="13"/>
      <c r="E169" s="14"/>
      <c r="G169" s="7"/>
      <c r="H169" s="5"/>
      <c r="I169" s="5"/>
      <c r="J169" s="5"/>
      <c r="M169" s="3" t="s">
        <v>1275</v>
      </c>
      <c r="N169" s="2">
        <v>528</v>
      </c>
      <c r="S169" s="24" t="s">
        <v>1276</v>
      </c>
      <c r="T169" s="24">
        <v>944</v>
      </c>
      <c r="U169" s="24" t="s">
        <v>1277</v>
      </c>
      <c r="V169" s="24">
        <v>1</v>
      </c>
      <c r="W169" s="2"/>
      <c r="AB169" s="27" t="s">
        <v>1278</v>
      </c>
      <c r="AC169" s="29" t="s">
        <v>1279</v>
      </c>
      <c r="AF169" s="2" t="s">
        <v>1280</v>
      </c>
      <c r="AG169" s="2">
        <v>530</v>
      </c>
    </row>
    <row r="170" ht="15">
      <c r="C170" s="12"/>
      <c r="D170" s="13"/>
      <c r="E170" s="14"/>
      <c r="G170" s="7"/>
      <c r="H170" s="5"/>
      <c r="I170" s="5"/>
      <c r="J170" s="5"/>
      <c r="M170" s="3" t="s">
        <v>1280</v>
      </c>
      <c r="N170" s="2">
        <v>530</v>
      </c>
      <c r="S170" s="24" t="s">
        <v>1281</v>
      </c>
      <c r="T170" s="24">
        <v>946</v>
      </c>
      <c r="U170" s="23" t="s">
        <v>1282</v>
      </c>
      <c r="V170" s="23">
        <v>1</v>
      </c>
      <c r="W170" s="2"/>
      <c r="AB170" s="27" t="s">
        <v>1283</v>
      </c>
      <c r="AC170" s="29" t="s">
        <v>1284</v>
      </c>
      <c r="AF170" s="2" t="s">
        <v>1285</v>
      </c>
      <c r="AG170" s="2">
        <v>562</v>
      </c>
    </row>
    <row r="171" ht="15">
      <c r="C171" s="12"/>
      <c r="D171" s="13"/>
      <c r="E171" s="14"/>
      <c r="G171" s="7"/>
      <c r="H171" s="5"/>
      <c r="I171" s="5"/>
      <c r="J171" s="5"/>
      <c r="M171" s="3" t="s">
        <v>1285</v>
      </c>
      <c r="N171" s="2">
        <v>562</v>
      </c>
      <c r="S171" s="24" t="s">
        <v>1286</v>
      </c>
      <c r="T171" s="24">
        <v>949</v>
      </c>
      <c r="U171" s="24" t="s">
        <v>1287</v>
      </c>
      <c r="V171" s="24">
        <v>1</v>
      </c>
      <c r="W171" s="2"/>
      <c r="AB171" s="27" t="s">
        <v>1288</v>
      </c>
      <c r="AC171" s="29" t="s">
        <v>1289</v>
      </c>
      <c r="AF171" s="2" t="s">
        <v>1290</v>
      </c>
      <c r="AG171" s="2">
        <v>566</v>
      </c>
    </row>
    <row r="172" ht="15">
      <c r="C172" s="12"/>
      <c r="D172" s="13"/>
      <c r="E172" s="14"/>
      <c r="G172" s="7"/>
      <c r="H172" s="5"/>
      <c r="I172" s="5"/>
      <c r="J172" s="5"/>
      <c r="M172" s="3" t="s">
        <v>1290</v>
      </c>
      <c r="N172" s="2">
        <v>566</v>
      </c>
      <c r="S172" s="24" t="s">
        <v>1291</v>
      </c>
      <c r="T172" s="24">
        <v>950</v>
      </c>
      <c r="U172" s="23" t="s">
        <v>1292</v>
      </c>
      <c r="V172" s="23">
        <v>1</v>
      </c>
      <c r="W172" s="2"/>
      <c r="AB172" s="27" t="s">
        <v>1293</v>
      </c>
      <c r="AC172" s="29" t="s">
        <v>1294</v>
      </c>
      <c r="AF172" s="2" t="s">
        <v>1295</v>
      </c>
      <c r="AG172" s="2">
        <v>558</v>
      </c>
    </row>
    <row r="173" ht="15">
      <c r="C173" s="12"/>
      <c r="D173" s="13"/>
      <c r="E173" s="14"/>
      <c r="G173" s="7"/>
      <c r="H173" s="5"/>
      <c r="I173" s="5"/>
      <c r="J173" s="5"/>
      <c r="M173" s="3" t="s">
        <v>1295</v>
      </c>
      <c r="N173" s="2">
        <v>558</v>
      </c>
      <c r="S173" s="24" t="s">
        <v>1296</v>
      </c>
      <c r="T173" s="24">
        <v>951</v>
      </c>
      <c r="U173" s="24" t="s">
        <v>1297</v>
      </c>
      <c r="V173" s="24">
        <v>1</v>
      </c>
      <c r="W173" s="2"/>
      <c r="AB173" s="27" t="s">
        <v>1298</v>
      </c>
      <c r="AC173" s="29" t="s">
        <v>1299</v>
      </c>
      <c r="AF173" s="2" t="s">
        <v>1300</v>
      </c>
      <c r="AG173" s="2">
        <v>570</v>
      </c>
    </row>
    <row r="174" ht="15">
      <c r="C174" s="12"/>
      <c r="D174" s="13"/>
      <c r="E174" s="14"/>
      <c r="G174" s="7"/>
      <c r="H174" s="5"/>
      <c r="I174" s="5"/>
      <c r="J174" s="5"/>
      <c r="M174" s="3" t="s">
        <v>1300</v>
      </c>
      <c r="N174" s="2">
        <v>570</v>
      </c>
      <c r="S174" s="24" t="s">
        <v>1301</v>
      </c>
      <c r="T174" s="24">
        <v>952</v>
      </c>
      <c r="U174" s="23" t="s">
        <v>1302</v>
      </c>
      <c r="V174" s="23">
        <v>1</v>
      </c>
      <c r="W174" s="2"/>
      <c r="AB174" s="27" t="s">
        <v>1303</v>
      </c>
      <c r="AC174" s="29" t="s">
        <v>1304</v>
      </c>
      <c r="AF174" s="2" t="s">
        <v>1305</v>
      </c>
      <c r="AG174" s="2">
        <v>574</v>
      </c>
    </row>
    <row r="175" ht="15">
      <c r="C175" s="12"/>
      <c r="D175" s="13"/>
      <c r="E175" s="14"/>
      <c r="G175" s="7"/>
      <c r="H175" s="5"/>
      <c r="I175" s="5"/>
      <c r="J175" s="5"/>
      <c r="M175" s="3" t="s">
        <v>1305</v>
      </c>
      <c r="N175" s="2">
        <v>574</v>
      </c>
      <c r="S175" s="24" t="s">
        <v>1306</v>
      </c>
      <c r="T175" s="24">
        <v>953</v>
      </c>
      <c r="U175" s="24" t="s">
        <v>1307</v>
      </c>
      <c r="V175" s="24">
        <v>1</v>
      </c>
      <c r="W175" s="2"/>
      <c r="AB175" s="27" t="s">
        <v>1308</v>
      </c>
      <c r="AC175" s="29" t="s">
        <v>1309</v>
      </c>
      <c r="AF175" s="2" t="s">
        <v>1310</v>
      </c>
      <c r="AG175" s="2">
        <v>830</v>
      </c>
    </row>
    <row r="176" ht="15">
      <c r="C176" s="12"/>
      <c r="D176" s="13"/>
      <c r="E176" s="14"/>
      <c r="G176" s="7"/>
      <c r="H176" s="5"/>
      <c r="I176" s="5"/>
      <c r="J176" s="5"/>
      <c r="M176" s="3" t="s">
        <v>1310</v>
      </c>
      <c r="N176" s="2">
        <v>830</v>
      </c>
      <c r="S176" s="24" t="s">
        <v>1311</v>
      </c>
      <c r="T176" s="24">
        <v>959</v>
      </c>
      <c r="U176" s="23" t="s">
        <v>1312</v>
      </c>
      <c r="V176" s="23">
        <v>1</v>
      </c>
      <c r="W176" s="2"/>
      <c r="AB176" s="27" t="s">
        <v>1313</v>
      </c>
      <c r="AC176" s="29" t="s">
        <v>1314</v>
      </c>
      <c r="AF176" s="2" t="s">
        <v>1315</v>
      </c>
      <c r="AG176" s="2">
        <v>578</v>
      </c>
    </row>
    <row r="177" ht="15">
      <c r="C177" s="12"/>
      <c r="D177" s="13"/>
      <c r="E177" s="14"/>
      <c r="G177" s="7"/>
      <c r="H177" s="5"/>
      <c r="I177" s="5"/>
      <c r="J177" s="5"/>
      <c r="M177" s="3" t="s">
        <v>1315</v>
      </c>
      <c r="N177" s="2">
        <v>578</v>
      </c>
      <c r="S177" s="24" t="s">
        <v>1316</v>
      </c>
      <c r="T177" s="24">
        <v>961</v>
      </c>
      <c r="U177" s="24" t="s">
        <v>1317</v>
      </c>
      <c r="V177" s="24">
        <v>1</v>
      </c>
      <c r="W177" s="2"/>
      <c r="AB177" s="27" t="s">
        <v>1318</v>
      </c>
      <c r="AC177" s="29" t="s">
        <v>1319</v>
      </c>
      <c r="AF177" s="2" t="s">
        <v>1320</v>
      </c>
      <c r="AG177" s="2">
        <v>896</v>
      </c>
    </row>
    <row r="178" ht="15">
      <c r="C178" s="12"/>
      <c r="D178" s="13"/>
      <c r="E178" s="14"/>
      <c r="G178" s="7"/>
      <c r="H178" s="5"/>
      <c r="I178" s="5"/>
      <c r="J178" s="5"/>
      <c r="M178" s="3" t="s">
        <v>1320</v>
      </c>
      <c r="N178" s="2">
        <v>896</v>
      </c>
      <c r="S178" s="24" t="s">
        <v>1321</v>
      </c>
      <c r="T178" s="24">
        <v>964</v>
      </c>
      <c r="U178" s="23" t="s">
        <v>1322</v>
      </c>
      <c r="V178" s="23">
        <v>1</v>
      </c>
      <c r="W178" s="2"/>
      <c r="AB178" s="27" t="s">
        <v>1323</v>
      </c>
      <c r="AC178" s="29" t="s">
        <v>1324</v>
      </c>
      <c r="AF178" s="2" t="s">
        <v>1325</v>
      </c>
      <c r="AG178" s="2">
        <v>512</v>
      </c>
    </row>
    <row r="179" ht="15">
      <c r="C179" s="12"/>
      <c r="D179" s="13"/>
      <c r="E179" s="14"/>
      <c r="G179" s="7"/>
      <c r="H179" s="5"/>
      <c r="I179" s="5"/>
      <c r="J179" s="5"/>
      <c r="M179" s="3" t="s">
        <v>1325</v>
      </c>
      <c r="N179" s="2">
        <v>512</v>
      </c>
      <c r="S179" s="24" t="s">
        <v>1326</v>
      </c>
      <c r="T179" s="24">
        <v>971</v>
      </c>
      <c r="U179" s="24" t="s">
        <v>1327</v>
      </c>
      <c r="V179" s="24">
        <v>1</v>
      </c>
      <c r="W179" s="2"/>
      <c r="AB179" s="27" t="s">
        <v>1328</v>
      </c>
      <c r="AC179" s="29" t="s">
        <v>1329</v>
      </c>
      <c r="AF179" s="2" t="s">
        <v>1330</v>
      </c>
      <c r="AG179" s="2">
        <v>46</v>
      </c>
    </row>
    <row r="180" ht="15">
      <c r="C180" s="12"/>
      <c r="D180" s="13"/>
      <c r="E180" s="14"/>
      <c r="G180" s="7"/>
      <c r="H180" s="5"/>
      <c r="I180" s="5"/>
      <c r="J180" s="5"/>
      <c r="M180" s="3" t="s">
        <v>1330</v>
      </c>
      <c r="N180" s="2">
        <v>46</v>
      </c>
      <c r="S180" s="24" t="s">
        <v>1331</v>
      </c>
      <c r="T180" s="24">
        <v>972</v>
      </c>
      <c r="U180" s="23" t="s">
        <v>1332</v>
      </c>
      <c r="V180" s="23">
        <v>1</v>
      </c>
      <c r="W180" s="2"/>
      <c r="AB180" s="27" t="s">
        <v>1333</v>
      </c>
      <c r="AC180" s="29" t="s">
        <v>1334</v>
      </c>
      <c r="AF180" s="2" t="s">
        <v>1335</v>
      </c>
      <c r="AG180" s="2">
        <v>860</v>
      </c>
    </row>
    <row r="181" ht="15">
      <c r="C181" s="12"/>
      <c r="D181" s="13"/>
      <c r="E181" s="14"/>
      <c r="G181" s="7"/>
      <c r="H181" s="5"/>
      <c r="I181" s="5"/>
      <c r="J181" s="5"/>
      <c r="M181" s="3" t="s">
        <v>1335</v>
      </c>
      <c r="N181" s="2">
        <v>860</v>
      </c>
      <c r="S181" s="24" t="s">
        <v>1336</v>
      </c>
      <c r="T181" s="24">
        <v>973</v>
      </c>
      <c r="U181" s="24" t="s">
        <v>1337</v>
      </c>
      <c r="V181" s="24">
        <v>1</v>
      </c>
      <c r="W181" s="2"/>
      <c r="AB181" s="27" t="s">
        <v>1338</v>
      </c>
      <c r="AC181" s="29" t="s">
        <v>1339</v>
      </c>
      <c r="AF181" s="2" t="s">
        <v>1340</v>
      </c>
      <c r="AG181" s="2">
        <v>586</v>
      </c>
    </row>
    <row r="182" ht="15">
      <c r="C182" s="12"/>
      <c r="D182" s="13"/>
      <c r="E182" s="14"/>
      <c r="G182" s="7"/>
      <c r="H182" s="5"/>
      <c r="I182" s="5"/>
      <c r="J182" s="5"/>
      <c r="M182" s="3" t="s">
        <v>1340</v>
      </c>
      <c r="N182" s="2">
        <v>586</v>
      </c>
      <c r="S182" s="24" t="s">
        <v>1341</v>
      </c>
      <c r="T182" s="24">
        <v>974</v>
      </c>
      <c r="U182" s="23" t="s">
        <v>1252</v>
      </c>
      <c r="V182" s="23">
        <v>1</v>
      </c>
      <c r="W182" s="2"/>
      <c r="AB182" s="27" t="s">
        <v>1342</v>
      </c>
      <c r="AC182" s="29" t="s">
        <v>1343</v>
      </c>
      <c r="AF182" s="2" t="s">
        <v>1344</v>
      </c>
      <c r="AG182" s="2">
        <v>585</v>
      </c>
    </row>
    <row r="183" ht="15">
      <c r="C183" s="12"/>
      <c r="D183" s="13"/>
      <c r="E183" s="14"/>
      <c r="G183" s="7"/>
      <c r="H183" s="5"/>
      <c r="I183" s="5"/>
      <c r="J183" s="5"/>
      <c r="M183" s="3" t="s">
        <v>1344</v>
      </c>
      <c r="N183" s="2">
        <v>585</v>
      </c>
      <c r="S183" s="24" t="s">
        <v>1345</v>
      </c>
      <c r="T183" s="24">
        <v>975</v>
      </c>
      <c r="U183" s="24" t="s">
        <v>1346</v>
      </c>
      <c r="V183" s="24">
        <v>1</v>
      </c>
      <c r="W183" s="2"/>
      <c r="AB183" s="27" t="s">
        <v>1347</v>
      </c>
      <c r="AC183" s="29" t="s">
        <v>1348</v>
      </c>
      <c r="AF183" s="2" t="s">
        <v>1349</v>
      </c>
      <c r="AG183" s="2">
        <v>591</v>
      </c>
    </row>
    <row r="184" ht="15">
      <c r="C184" s="12"/>
      <c r="D184" s="13"/>
      <c r="E184" s="14"/>
      <c r="G184" s="7"/>
      <c r="H184" s="5"/>
      <c r="I184" s="5"/>
      <c r="J184" s="5"/>
      <c r="M184" s="3" t="s">
        <v>1349</v>
      </c>
      <c r="N184" s="2">
        <v>591</v>
      </c>
      <c r="S184" s="24" t="s">
        <v>1350</v>
      </c>
      <c r="T184" s="24">
        <v>976</v>
      </c>
      <c r="U184" s="23" t="s">
        <v>1351</v>
      </c>
      <c r="V184" s="23">
        <v>1</v>
      </c>
      <c r="W184" s="2"/>
      <c r="AB184" s="27" t="s">
        <v>1352</v>
      </c>
      <c r="AC184" s="29" t="s">
        <v>1353</v>
      </c>
      <c r="AF184" s="2" t="s">
        <v>1354</v>
      </c>
      <c r="AG184" s="2">
        <v>598</v>
      </c>
    </row>
    <row r="185" ht="15">
      <c r="C185" s="12"/>
      <c r="D185" s="13"/>
      <c r="E185" s="14"/>
      <c r="G185" s="7"/>
      <c r="H185" s="5"/>
      <c r="I185" s="5"/>
      <c r="J185" s="5"/>
      <c r="M185" s="3" t="s">
        <v>1354</v>
      </c>
      <c r="N185" s="2">
        <v>598</v>
      </c>
      <c r="S185" s="24" t="s">
        <v>1355</v>
      </c>
      <c r="T185" s="24">
        <v>977</v>
      </c>
      <c r="U185" s="24" t="s">
        <v>1356</v>
      </c>
      <c r="V185" s="24">
        <v>1</v>
      </c>
      <c r="W185" s="2"/>
      <c r="AB185" s="27" t="s">
        <v>1357</v>
      </c>
      <c r="AC185" s="29" t="s">
        <v>1358</v>
      </c>
      <c r="AF185" s="2" t="s">
        <v>1359</v>
      </c>
      <c r="AG185" s="2">
        <v>600</v>
      </c>
    </row>
    <row r="186" ht="15">
      <c r="C186" s="12"/>
      <c r="D186" s="13"/>
      <c r="E186" s="14"/>
      <c r="G186" s="7"/>
      <c r="H186" s="5"/>
      <c r="I186" s="5"/>
      <c r="J186" s="5"/>
      <c r="M186" s="3" t="s">
        <v>1359</v>
      </c>
      <c r="N186" s="2">
        <v>600</v>
      </c>
      <c r="S186" s="24" t="s">
        <v>344</v>
      </c>
      <c r="T186" s="24">
        <v>978</v>
      </c>
      <c r="U186" s="23" t="s">
        <v>1360</v>
      </c>
      <c r="V186" s="23">
        <v>1</v>
      </c>
      <c r="W186" s="2"/>
      <c r="AB186" s="27" t="s">
        <v>1361</v>
      </c>
      <c r="AC186" s="29" t="s">
        <v>1362</v>
      </c>
      <c r="AF186" s="2" t="s">
        <v>1363</v>
      </c>
      <c r="AG186" s="2">
        <v>26</v>
      </c>
    </row>
    <row r="187" ht="15">
      <c r="C187" s="12"/>
      <c r="D187" s="13"/>
      <c r="E187" s="14"/>
      <c r="G187" s="7"/>
      <c r="H187" s="5"/>
      <c r="I187" s="5"/>
      <c r="J187" s="5"/>
      <c r="M187" s="3" t="s">
        <v>1363</v>
      </c>
      <c r="N187" s="2">
        <v>26</v>
      </c>
      <c r="S187" s="24" t="s">
        <v>1364</v>
      </c>
      <c r="T187" s="24">
        <v>979</v>
      </c>
      <c r="U187" s="24" t="s">
        <v>1365</v>
      </c>
      <c r="V187" s="24">
        <v>1</v>
      </c>
      <c r="W187" s="2"/>
      <c r="AB187" s="27" t="s">
        <v>1366</v>
      </c>
      <c r="AC187" s="29" t="s">
        <v>1367</v>
      </c>
      <c r="AF187" s="2" t="s">
        <v>1368</v>
      </c>
      <c r="AG187" s="2">
        <v>604</v>
      </c>
    </row>
    <row r="188" ht="15">
      <c r="C188" s="12"/>
      <c r="D188" s="13"/>
      <c r="E188" s="14"/>
      <c r="G188" s="7"/>
      <c r="H188" s="5"/>
      <c r="I188" s="5"/>
      <c r="J188" s="5"/>
      <c r="M188" s="3" t="s">
        <v>1368</v>
      </c>
      <c r="N188" s="2">
        <v>604</v>
      </c>
      <c r="S188" s="24" t="s">
        <v>1369</v>
      </c>
      <c r="T188" s="24">
        <v>980</v>
      </c>
      <c r="U188" s="23" t="s">
        <v>1370</v>
      </c>
      <c r="V188" s="23">
        <v>1</v>
      </c>
      <c r="W188" s="2"/>
      <c r="AB188" s="27" t="s">
        <v>1371</v>
      </c>
      <c r="AC188" s="29" t="s">
        <v>1372</v>
      </c>
      <c r="AF188" s="2" t="s">
        <v>1373</v>
      </c>
      <c r="AG188" s="2">
        <v>612</v>
      </c>
    </row>
    <row r="189" ht="15">
      <c r="C189" s="12"/>
      <c r="D189" s="13"/>
      <c r="E189" s="14"/>
      <c r="G189" s="7"/>
      <c r="H189" s="5"/>
      <c r="I189" s="5"/>
      <c r="J189" s="5"/>
      <c r="M189" s="3" t="s">
        <v>1373</v>
      </c>
      <c r="N189" s="2">
        <v>612</v>
      </c>
      <c r="S189" s="24" t="s">
        <v>1374</v>
      </c>
      <c r="T189" s="24">
        <v>981</v>
      </c>
      <c r="U189" s="24" t="s">
        <v>1375</v>
      </c>
      <c r="V189" s="24">
        <v>1</v>
      </c>
      <c r="W189" s="2"/>
      <c r="AB189" s="27" t="s">
        <v>1376</v>
      </c>
      <c r="AC189" s="29" t="s">
        <v>1377</v>
      </c>
      <c r="AF189" s="2" t="s">
        <v>1378</v>
      </c>
      <c r="AG189" s="2">
        <v>616</v>
      </c>
    </row>
    <row r="190" ht="15">
      <c r="C190" s="12"/>
      <c r="D190" s="13"/>
      <c r="E190" s="14"/>
      <c r="G190" s="7"/>
      <c r="H190" s="5"/>
      <c r="I190" s="5"/>
      <c r="J190" s="5"/>
      <c r="M190" s="3" t="s">
        <v>1378</v>
      </c>
      <c r="N190" s="2">
        <v>616</v>
      </c>
      <c r="S190" s="24" t="s">
        <v>1379</v>
      </c>
      <c r="T190" s="24">
        <v>985</v>
      </c>
      <c r="U190" s="23" t="s">
        <v>1380</v>
      </c>
      <c r="V190" s="23">
        <v>1</v>
      </c>
      <c r="W190" s="2"/>
      <c r="AB190" s="27" t="s">
        <v>1381</v>
      </c>
      <c r="AC190" s="29" t="s">
        <v>1382</v>
      </c>
      <c r="AF190" s="2" t="s">
        <v>1383</v>
      </c>
      <c r="AG190" s="2">
        <v>620</v>
      </c>
    </row>
    <row r="191" ht="15">
      <c r="C191" s="12"/>
      <c r="D191" s="13"/>
      <c r="E191" s="14"/>
      <c r="G191" s="7"/>
      <c r="H191" s="5"/>
      <c r="I191" s="5"/>
      <c r="J191" s="5"/>
      <c r="M191" s="3" t="s">
        <v>1383</v>
      </c>
      <c r="N191" s="2">
        <v>620</v>
      </c>
      <c r="S191" s="24" t="s">
        <v>1384</v>
      </c>
      <c r="T191" s="24">
        <v>986</v>
      </c>
      <c r="U191" s="24" t="s">
        <v>1385</v>
      </c>
      <c r="V191" s="24">
        <v>1</v>
      </c>
      <c r="W191" s="2"/>
      <c r="AB191" s="27" t="s">
        <v>1386</v>
      </c>
      <c r="AC191" s="29" t="s">
        <v>1387</v>
      </c>
      <c r="AF191" s="2" t="s">
        <v>1388</v>
      </c>
      <c r="AG191" s="2">
        <v>630</v>
      </c>
    </row>
    <row r="192" ht="15">
      <c r="C192" s="12"/>
      <c r="D192" s="13"/>
      <c r="E192" s="14"/>
      <c r="G192" s="7"/>
      <c r="H192" s="5"/>
      <c r="I192" s="5"/>
      <c r="J192" s="5"/>
      <c r="M192" s="3" t="s">
        <v>1388</v>
      </c>
      <c r="N192" s="2">
        <v>630</v>
      </c>
      <c r="S192" s="24" t="s">
        <v>1389</v>
      </c>
      <c r="T192" s="24">
        <v>997</v>
      </c>
      <c r="U192" s="23" t="s">
        <v>1390</v>
      </c>
      <c r="V192" s="23">
        <v>1</v>
      </c>
      <c r="W192" s="2"/>
      <c r="AB192" s="27" t="s">
        <v>1391</v>
      </c>
      <c r="AC192" s="29" t="s">
        <v>1392</v>
      </c>
      <c r="AF192" s="2" t="s">
        <v>1393</v>
      </c>
      <c r="AG192" s="2">
        <v>266</v>
      </c>
    </row>
    <row r="193" ht="15">
      <c r="C193" s="12"/>
      <c r="D193" s="13"/>
      <c r="E193" s="14"/>
      <c r="G193" s="7"/>
      <c r="H193" s="5"/>
      <c r="I193" s="5"/>
      <c r="J193" s="5"/>
      <c r="M193" s="3" t="s">
        <v>1393</v>
      </c>
      <c r="N193" s="2">
        <v>266</v>
      </c>
      <c r="S193" s="25" t="s">
        <v>1394</v>
      </c>
      <c r="T193" s="25">
        <v>998</v>
      </c>
      <c r="U193" s="24" t="s">
        <v>1395</v>
      </c>
      <c r="V193" s="24">
        <v>1</v>
      </c>
      <c r="W193" s="2"/>
      <c r="AB193" s="27" t="s">
        <v>1396</v>
      </c>
      <c r="AC193" s="29" t="s">
        <v>1397</v>
      </c>
      <c r="AF193" s="2" t="s">
        <v>1398</v>
      </c>
      <c r="AG193" s="2">
        <v>270</v>
      </c>
    </row>
    <row r="194" ht="15">
      <c r="C194" s="12"/>
      <c r="D194" s="13"/>
      <c r="E194" s="14"/>
      <c r="G194" s="7"/>
      <c r="H194" s="5"/>
      <c r="I194" s="5"/>
      <c r="J194" s="5"/>
      <c r="M194" s="3" t="s">
        <v>1398</v>
      </c>
      <c r="N194" s="2">
        <v>270</v>
      </c>
      <c r="S194" s="23"/>
      <c r="T194" s="23"/>
      <c r="AB194" s="27" t="s">
        <v>1399</v>
      </c>
      <c r="AC194" s="29" t="s">
        <v>1400</v>
      </c>
      <c r="AF194" s="2" t="s">
        <v>1401</v>
      </c>
      <c r="AG194" s="2">
        <v>288</v>
      </c>
    </row>
    <row r="195" ht="15">
      <c r="C195" s="12"/>
      <c r="D195" s="13"/>
      <c r="E195" s="14"/>
      <c r="G195" s="7"/>
      <c r="H195" s="5"/>
      <c r="I195" s="5"/>
      <c r="J195" s="5"/>
      <c r="M195" s="3" t="s">
        <v>1401</v>
      </c>
      <c r="N195" s="2">
        <v>288</v>
      </c>
      <c r="S195" s="23"/>
      <c r="T195" s="23"/>
      <c r="AB195" s="27" t="s">
        <v>1402</v>
      </c>
      <c r="AC195" s="29" t="s">
        <v>1403</v>
      </c>
      <c r="AF195" s="2" t="s">
        <v>1404</v>
      </c>
      <c r="AG195" s="2">
        <v>25</v>
      </c>
    </row>
    <row r="196" ht="15">
      <c r="C196" s="12"/>
      <c r="D196" s="13"/>
      <c r="E196" s="14"/>
      <c r="G196" s="7"/>
      <c r="H196" s="5"/>
      <c r="I196" s="5"/>
      <c r="J196" s="5"/>
      <c r="M196" s="3" t="s">
        <v>1404</v>
      </c>
      <c r="N196" s="2">
        <v>25</v>
      </c>
      <c r="S196" s="23"/>
      <c r="T196" s="23"/>
      <c r="AB196" s="27" t="s">
        <v>1405</v>
      </c>
      <c r="AC196" s="29" t="s">
        <v>1406</v>
      </c>
      <c r="AF196" s="2" t="s">
        <v>1407</v>
      </c>
      <c r="AG196" s="2">
        <v>328</v>
      </c>
    </row>
    <row r="197" ht="15">
      <c r="C197" s="12"/>
      <c r="D197" s="13"/>
      <c r="E197" s="14"/>
      <c r="G197" s="7"/>
      <c r="H197" s="5"/>
      <c r="I197" s="5"/>
      <c r="J197" s="5"/>
      <c r="M197" s="3" t="s">
        <v>1407</v>
      </c>
      <c r="N197" s="2">
        <v>328</v>
      </c>
      <c r="S197" s="23"/>
      <c r="T197" s="23"/>
      <c r="AB197" s="27" t="s">
        <v>1408</v>
      </c>
      <c r="AC197" s="29" t="s">
        <v>1409</v>
      </c>
      <c r="AF197" s="2" t="s">
        <v>1410</v>
      </c>
      <c r="AG197" s="2">
        <v>398</v>
      </c>
    </row>
    <row r="198" ht="15">
      <c r="C198" s="12"/>
      <c r="D198" s="13"/>
      <c r="E198" s="14"/>
      <c r="G198" s="7"/>
      <c r="H198" s="5"/>
      <c r="I198" s="5"/>
      <c r="J198" s="5"/>
      <c r="M198" s="3" t="s">
        <v>1410</v>
      </c>
      <c r="N198" s="2">
        <v>398</v>
      </c>
      <c r="S198" s="23"/>
      <c r="T198" s="23"/>
      <c r="AB198" s="27" t="s">
        <v>1411</v>
      </c>
      <c r="AC198" s="29" t="s">
        <v>1412</v>
      </c>
      <c r="AF198" s="2" t="s">
        <v>1413</v>
      </c>
      <c r="AG198" s="2">
        <v>174</v>
      </c>
    </row>
    <row r="199" ht="15">
      <c r="C199" s="12"/>
      <c r="D199" s="13"/>
      <c r="E199" s="14"/>
      <c r="G199" s="7"/>
      <c r="H199" s="5"/>
      <c r="I199" s="5"/>
      <c r="J199" s="5"/>
      <c r="M199" s="3" t="s">
        <v>1413</v>
      </c>
      <c r="N199" s="2">
        <v>174</v>
      </c>
      <c r="S199" s="23"/>
      <c r="T199" s="23"/>
      <c r="AB199" s="27" t="s">
        <v>1414</v>
      </c>
      <c r="AC199" s="29" t="s">
        <v>1415</v>
      </c>
      <c r="AF199" s="2" t="s">
        <v>1416</v>
      </c>
      <c r="AG199" s="2">
        <v>893</v>
      </c>
    </row>
    <row r="200" ht="15">
      <c r="C200" s="12"/>
      <c r="D200" s="13"/>
      <c r="E200" s="14"/>
      <c r="G200" s="7"/>
      <c r="H200" s="5"/>
      <c r="I200" s="5"/>
      <c r="J200" s="5"/>
      <c r="M200" s="3" t="s">
        <v>1416</v>
      </c>
      <c r="N200" s="2">
        <v>893</v>
      </c>
      <c r="S200" s="23"/>
      <c r="T200" s="23"/>
      <c r="AB200" s="27" t="s">
        <v>1417</v>
      </c>
      <c r="AC200" s="29" t="s">
        <v>1418</v>
      </c>
      <c r="AF200" s="2" t="s">
        <v>1419</v>
      </c>
      <c r="AG200" s="2">
        <v>732</v>
      </c>
    </row>
    <row r="201" ht="15">
      <c r="C201" s="12"/>
      <c r="D201" s="13"/>
      <c r="E201" s="14"/>
      <c r="G201" s="7"/>
      <c r="H201" s="5"/>
      <c r="I201" s="5"/>
      <c r="J201" s="5"/>
      <c r="M201" s="3" t="s">
        <v>1419</v>
      </c>
      <c r="N201" s="2">
        <v>732</v>
      </c>
      <c r="S201" s="23"/>
      <c r="T201" s="23"/>
      <c r="AB201" s="27" t="s">
        <v>1420</v>
      </c>
      <c r="AC201" s="29" t="s">
        <v>1421</v>
      </c>
      <c r="AF201" s="2" t="s">
        <v>1422</v>
      </c>
      <c r="AG201" s="2">
        <v>634</v>
      </c>
    </row>
    <row r="202" ht="15">
      <c r="C202" s="12"/>
      <c r="D202" s="13"/>
      <c r="E202" s="14"/>
      <c r="G202" s="7"/>
      <c r="H202" s="5"/>
      <c r="I202" s="5"/>
      <c r="J202" s="5"/>
      <c r="M202" s="3" t="s">
        <v>1422</v>
      </c>
      <c r="N202" s="2">
        <v>634</v>
      </c>
      <c r="S202" s="23"/>
      <c r="T202" s="23"/>
      <c r="AB202" s="27" t="s">
        <v>1423</v>
      </c>
      <c r="AC202" s="29" t="s">
        <v>1424</v>
      </c>
      <c r="AF202" s="2" t="s">
        <v>1425</v>
      </c>
      <c r="AG202" s="2">
        <v>417</v>
      </c>
    </row>
    <row r="203" ht="15">
      <c r="C203" s="12"/>
      <c r="D203" s="13"/>
      <c r="E203" s="14"/>
      <c r="G203" s="7"/>
      <c r="H203" s="5"/>
      <c r="I203" s="5"/>
      <c r="J203" s="5"/>
      <c r="M203" s="3" t="s">
        <v>1425</v>
      </c>
      <c r="N203" s="2">
        <v>417</v>
      </c>
      <c r="S203" s="23"/>
      <c r="T203" s="23"/>
      <c r="AB203" s="27" t="s">
        <v>1426</v>
      </c>
      <c r="AC203" s="29" t="s">
        <v>1427</v>
      </c>
      <c r="AF203" s="2" t="s">
        <v>1428</v>
      </c>
      <c r="AG203" s="2">
        <v>308</v>
      </c>
    </row>
    <row r="204" ht="15">
      <c r="C204" s="12"/>
      <c r="D204" s="13"/>
      <c r="E204" s="14"/>
      <c r="G204" s="7"/>
      <c r="H204" s="5"/>
      <c r="I204" s="5"/>
      <c r="J204" s="5"/>
      <c r="M204" s="3" t="s">
        <v>1428</v>
      </c>
      <c r="N204" s="2">
        <v>308</v>
      </c>
      <c r="S204" s="23"/>
      <c r="T204" s="23"/>
      <c r="AB204" s="27" t="s">
        <v>1429</v>
      </c>
      <c r="AC204" s="29" t="s">
        <v>1430</v>
      </c>
      <c r="AF204" s="2" t="s">
        <v>1431</v>
      </c>
      <c r="AG204" s="2">
        <v>304</v>
      </c>
    </row>
    <row r="205" ht="15">
      <c r="C205" s="12"/>
      <c r="D205" s="13"/>
      <c r="E205" s="14"/>
      <c r="G205" s="7"/>
      <c r="H205" s="5"/>
      <c r="I205" s="5"/>
      <c r="J205" s="5"/>
      <c r="M205" s="3" t="s">
        <v>1431</v>
      </c>
      <c r="N205" s="2">
        <v>304</v>
      </c>
      <c r="S205" s="23"/>
      <c r="T205" s="23"/>
      <c r="AB205" s="27" t="s">
        <v>1432</v>
      </c>
      <c r="AC205" s="29" t="s">
        <v>1433</v>
      </c>
      <c r="AF205" s="2" t="s">
        <v>1434</v>
      </c>
      <c r="AG205" s="2">
        <v>316</v>
      </c>
    </row>
    <row r="206" ht="15">
      <c r="C206" s="12"/>
      <c r="D206" s="13"/>
      <c r="E206" s="14"/>
      <c r="G206" s="7"/>
      <c r="H206" s="5"/>
      <c r="I206" s="5"/>
      <c r="J206" s="5"/>
      <c r="M206" s="3" t="s">
        <v>1434</v>
      </c>
      <c r="N206" s="2">
        <v>316</v>
      </c>
      <c r="S206" s="23"/>
      <c r="T206" s="23"/>
      <c r="AB206" s="27" t="s">
        <v>1435</v>
      </c>
      <c r="AC206" s="29" t="s">
        <v>1436</v>
      </c>
      <c r="AF206" s="2" t="s">
        <v>1437</v>
      </c>
      <c r="AG206" s="2">
        <v>312</v>
      </c>
    </row>
    <row r="207" ht="15">
      <c r="C207" s="12"/>
      <c r="D207" s="13"/>
      <c r="E207" s="14"/>
      <c r="G207" s="7"/>
      <c r="H207" s="5"/>
      <c r="I207" s="5"/>
      <c r="J207" s="5"/>
      <c r="M207" s="3" t="s">
        <v>1437</v>
      </c>
      <c r="N207" s="2">
        <v>312</v>
      </c>
      <c r="S207" s="23"/>
      <c r="T207" s="23"/>
      <c r="AB207" s="27" t="s">
        <v>1438</v>
      </c>
      <c r="AC207" s="29" t="s">
        <v>1439</v>
      </c>
      <c r="AF207" s="2" t="s">
        <v>1440</v>
      </c>
      <c r="AG207" s="2">
        <v>320</v>
      </c>
    </row>
    <row r="208" ht="15">
      <c r="C208" s="12"/>
      <c r="D208" s="13"/>
      <c r="E208" s="14"/>
      <c r="G208" s="7"/>
      <c r="H208" s="5"/>
      <c r="I208" s="5"/>
      <c r="J208" s="5"/>
      <c r="M208" s="3" t="s">
        <v>1440</v>
      </c>
      <c r="N208" s="2">
        <v>320</v>
      </c>
      <c r="S208" s="23"/>
      <c r="T208" s="23"/>
      <c r="AB208" s="27" t="s">
        <v>1441</v>
      </c>
      <c r="AC208" s="29" t="s">
        <v>1442</v>
      </c>
      <c r="AF208" s="2" t="s">
        <v>1443</v>
      </c>
      <c r="AG208" s="2">
        <v>324</v>
      </c>
    </row>
    <row r="209" ht="15">
      <c r="C209" s="12"/>
      <c r="D209" s="13"/>
      <c r="E209" s="14"/>
      <c r="G209" s="7"/>
      <c r="H209" s="5"/>
      <c r="I209" s="5"/>
      <c r="J209" s="5"/>
      <c r="M209" s="3" t="s">
        <v>1443</v>
      </c>
      <c r="N209" s="2">
        <v>324</v>
      </c>
      <c r="S209" s="23"/>
      <c r="T209" s="23"/>
      <c r="AB209" s="27" t="s">
        <v>1444</v>
      </c>
      <c r="AC209" s="29" t="s">
        <v>1445</v>
      </c>
      <c r="AF209" s="2" t="s">
        <v>1446</v>
      </c>
      <c r="AG209" s="2">
        <v>624</v>
      </c>
    </row>
    <row r="210" ht="15">
      <c r="C210" s="12"/>
      <c r="D210" s="13"/>
      <c r="E210" s="14"/>
      <c r="G210" s="7"/>
      <c r="H210" s="5"/>
      <c r="I210" s="5"/>
      <c r="J210" s="5"/>
      <c r="M210" s="3" t="s">
        <v>1446</v>
      </c>
      <c r="N210" s="2">
        <v>624</v>
      </c>
      <c r="S210" s="23"/>
      <c r="T210" s="23"/>
      <c r="AB210" s="27" t="s">
        <v>1447</v>
      </c>
      <c r="AC210" s="29" t="s">
        <v>1448</v>
      </c>
      <c r="AF210" s="2" t="s">
        <v>1449</v>
      </c>
      <c r="AG210" s="2">
        <v>638</v>
      </c>
    </row>
    <row r="211" ht="15">
      <c r="C211" s="12"/>
      <c r="D211" s="13"/>
      <c r="E211" s="14"/>
      <c r="G211" s="7"/>
      <c r="H211" s="5"/>
      <c r="I211" s="5"/>
      <c r="J211" s="5"/>
      <c r="M211" s="3" t="s">
        <v>1449</v>
      </c>
      <c r="N211" s="2">
        <v>638</v>
      </c>
      <c r="S211" s="23"/>
      <c r="T211" s="23"/>
      <c r="AB211" s="27" t="s">
        <v>1450</v>
      </c>
      <c r="AC211" s="29" t="s">
        <v>1451</v>
      </c>
      <c r="AF211" s="2" t="s">
        <v>1452</v>
      </c>
      <c r="AG211" s="2">
        <v>646</v>
      </c>
    </row>
    <row r="212" ht="15">
      <c r="C212" s="12"/>
      <c r="D212" s="13"/>
      <c r="E212" s="14"/>
      <c r="G212" s="7"/>
      <c r="H212" s="5"/>
      <c r="I212" s="5"/>
      <c r="J212" s="5"/>
      <c r="M212" s="3" t="s">
        <v>1452</v>
      </c>
      <c r="N212" s="2">
        <v>646</v>
      </c>
      <c r="S212" s="23"/>
      <c r="T212" s="23"/>
      <c r="AB212" s="27" t="s">
        <v>1453</v>
      </c>
      <c r="AC212" s="29" t="s">
        <v>1454</v>
      </c>
      <c r="AF212" s="2" t="s">
        <v>1455</v>
      </c>
      <c r="AG212" s="2">
        <v>642</v>
      </c>
    </row>
    <row r="213" ht="15">
      <c r="C213" s="12"/>
      <c r="D213" s="13"/>
      <c r="E213" s="14"/>
      <c r="G213" s="7"/>
      <c r="H213" s="5"/>
      <c r="I213" s="5"/>
      <c r="J213" s="5"/>
      <c r="M213" s="3" t="s">
        <v>1455</v>
      </c>
      <c r="N213" s="2">
        <v>642</v>
      </c>
      <c r="S213" s="23"/>
      <c r="T213" s="23"/>
      <c r="AB213" s="27" t="s">
        <v>1456</v>
      </c>
      <c r="AC213" s="29" t="s">
        <v>1457</v>
      </c>
      <c r="AF213" s="2" t="s">
        <v>1458</v>
      </c>
      <c r="AG213" s="2">
        <v>643</v>
      </c>
    </row>
    <row r="214" ht="15">
      <c r="G214" s="7"/>
      <c r="H214" s="5"/>
      <c r="I214" s="5"/>
      <c r="J214" s="5"/>
      <c r="M214" s="3" t="s">
        <v>1458</v>
      </c>
      <c r="N214" s="2">
        <v>643</v>
      </c>
      <c r="S214" s="23"/>
      <c r="T214" s="23"/>
      <c r="AB214" s="27" t="s">
        <v>1459</v>
      </c>
      <c r="AC214" s="29" t="s">
        <v>1460</v>
      </c>
      <c r="AF214" s="2" t="s">
        <v>1461</v>
      </c>
      <c r="AG214" s="2">
        <v>222</v>
      </c>
    </row>
    <row r="215" ht="15">
      <c r="M215" s="3" t="s">
        <v>1461</v>
      </c>
      <c r="N215" s="2">
        <v>222</v>
      </c>
      <c r="S215" s="23"/>
      <c r="T215" s="23"/>
      <c r="AB215" s="27" t="s">
        <v>1462</v>
      </c>
      <c r="AC215" s="29" t="s">
        <v>1463</v>
      </c>
      <c r="AF215" s="2" t="s">
        <v>1464</v>
      </c>
      <c r="AG215" s="2">
        <v>882</v>
      </c>
    </row>
    <row r="216" ht="15">
      <c r="M216" s="3" t="s">
        <v>1464</v>
      </c>
      <c r="N216" s="2">
        <v>882</v>
      </c>
      <c r="S216" s="23"/>
      <c r="T216" s="23"/>
      <c r="AB216" s="27" t="s">
        <v>1465</v>
      </c>
      <c r="AC216" s="29" t="s">
        <v>1466</v>
      </c>
      <c r="AF216" s="2" t="s">
        <v>1467</v>
      </c>
      <c r="AG216" s="2">
        <v>674</v>
      </c>
    </row>
    <row r="217" ht="15">
      <c r="M217" s="3" t="s">
        <v>1467</v>
      </c>
      <c r="N217" s="2">
        <v>674</v>
      </c>
      <c r="S217" s="23"/>
      <c r="T217" s="23"/>
      <c r="AB217" s="27" t="s">
        <v>1468</v>
      </c>
      <c r="AC217" s="29" t="s">
        <v>1469</v>
      </c>
      <c r="AF217" s="2" t="s">
        <v>1470</v>
      </c>
      <c r="AG217" s="2">
        <v>678</v>
      </c>
    </row>
    <row r="218" ht="15">
      <c r="M218" s="3" t="s">
        <v>1470</v>
      </c>
      <c r="N218" s="2">
        <v>678</v>
      </c>
      <c r="S218" s="23"/>
      <c r="T218" s="23"/>
      <c r="AB218" s="27" t="s">
        <v>1471</v>
      </c>
      <c r="AC218" s="29" t="s">
        <v>1472</v>
      </c>
      <c r="AF218" s="2" t="s">
        <v>1473</v>
      </c>
      <c r="AG218" s="2">
        <v>686</v>
      </c>
    </row>
    <row r="219" ht="15">
      <c r="M219" s="3" t="s">
        <v>1473</v>
      </c>
      <c r="N219" s="2">
        <v>686</v>
      </c>
      <c r="S219" s="23"/>
      <c r="T219" s="23"/>
      <c r="AB219" s="27" t="s">
        <v>1474</v>
      </c>
      <c r="AC219" s="29" t="s">
        <v>1475</v>
      </c>
      <c r="AF219" s="2" t="s">
        <v>1476</v>
      </c>
      <c r="AG219" s="2">
        <v>666</v>
      </c>
    </row>
    <row r="220" ht="15">
      <c r="M220" s="3" t="s">
        <v>1476</v>
      </c>
      <c r="N220" s="2">
        <v>666</v>
      </c>
      <c r="S220" s="23"/>
      <c r="T220" s="23"/>
      <c r="AB220" s="27" t="s">
        <v>1477</v>
      </c>
      <c r="AC220" s="29" t="s">
        <v>1478</v>
      </c>
      <c r="AF220" s="2" t="s">
        <v>1479</v>
      </c>
      <c r="AG220" s="2">
        <v>652</v>
      </c>
    </row>
    <row r="221" ht="15">
      <c r="M221" s="3" t="s">
        <v>1479</v>
      </c>
      <c r="N221" s="2">
        <v>652</v>
      </c>
      <c r="S221" s="23"/>
      <c r="T221" s="23"/>
      <c r="AB221" s="27" t="s">
        <v>1480</v>
      </c>
      <c r="AC221" s="29" t="s">
        <v>1481</v>
      </c>
      <c r="AF221" s="2" t="s">
        <v>1482</v>
      </c>
      <c r="AG221" s="2">
        <v>659</v>
      </c>
    </row>
    <row r="222" ht="15">
      <c r="M222" s="3" t="s">
        <v>1482</v>
      </c>
      <c r="N222" s="2">
        <v>659</v>
      </c>
      <c r="S222" s="23"/>
      <c r="T222" s="23"/>
      <c r="AB222" s="27" t="s">
        <v>1483</v>
      </c>
      <c r="AC222" s="29" t="s">
        <v>1484</v>
      </c>
      <c r="AF222" s="2" t="s">
        <v>1485</v>
      </c>
      <c r="AG222" s="2">
        <v>662</v>
      </c>
    </row>
    <row r="223" ht="15">
      <c r="M223" s="3" t="s">
        <v>1485</v>
      </c>
      <c r="N223" s="2">
        <v>662</v>
      </c>
      <c r="S223" s="23"/>
      <c r="T223" s="23"/>
      <c r="AB223" s="27" t="s">
        <v>1486</v>
      </c>
      <c r="AC223" s="29" t="s">
        <v>1487</v>
      </c>
      <c r="AF223" s="2" t="s">
        <v>1488</v>
      </c>
      <c r="AG223" s="2">
        <v>670</v>
      </c>
    </row>
    <row r="224" ht="15">
      <c r="M224" s="3" t="s">
        <v>1488</v>
      </c>
      <c r="N224" s="2">
        <v>670</v>
      </c>
      <c r="S224" s="23"/>
      <c r="T224" s="23"/>
      <c r="AB224" s="27" t="s">
        <v>1489</v>
      </c>
      <c r="AC224" s="29" t="s">
        <v>1490</v>
      </c>
      <c r="AF224" s="2" t="s">
        <v>1491</v>
      </c>
      <c r="AG224" s="2">
        <v>688</v>
      </c>
    </row>
    <row r="225" ht="15">
      <c r="M225" s="3" t="s">
        <v>1491</v>
      </c>
      <c r="N225" s="2">
        <v>688</v>
      </c>
      <c r="S225" s="23"/>
      <c r="T225" s="23"/>
      <c r="AB225" s="27" t="s">
        <v>1492</v>
      </c>
      <c r="AC225" s="29" t="s">
        <v>1493</v>
      </c>
      <c r="AF225" s="2" t="s">
        <v>1494</v>
      </c>
      <c r="AG225" s="2">
        <v>626</v>
      </c>
    </row>
    <row r="226" ht="15">
      <c r="M226" s="3" t="s">
        <v>1494</v>
      </c>
      <c r="N226" s="2">
        <v>626</v>
      </c>
      <c r="S226" s="23"/>
      <c r="T226" s="23"/>
      <c r="AB226" s="27" t="s">
        <v>1495</v>
      </c>
      <c r="AC226" s="29" t="s">
        <v>1496</v>
      </c>
      <c r="AF226" s="2" t="s">
        <v>1497</v>
      </c>
      <c r="AG226" s="2">
        <v>682</v>
      </c>
    </row>
    <row r="227" ht="15">
      <c r="M227" s="3" t="s">
        <v>1497</v>
      </c>
      <c r="N227" s="2">
        <v>682</v>
      </c>
      <c r="S227" s="23"/>
      <c r="T227" s="23"/>
      <c r="AB227" s="27" t="s">
        <v>1498</v>
      </c>
      <c r="AC227" s="29" t="s">
        <v>1499</v>
      </c>
      <c r="AF227" s="2" t="s">
        <v>1500</v>
      </c>
      <c r="AG227" s="2">
        <v>690</v>
      </c>
    </row>
    <row r="228" ht="15">
      <c r="M228" s="3" t="s">
        <v>1500</v>
      </c>
      <c r="N228" s="2">
        <v>690</v>
      </c>
      <c r="S228" s="23"/>
      <c r="T228" s="23"/>
      <c r="AB228" s="27" t="s">
        <v>1501</v>
      </c>
      <c r="AC228" s="29" t="s">
        <v>1502</v>
      </c>
      <c r="AF228" s="2" t="s">
        <v>1503</v>
      </c>
      <c r="AG228" s="2">
        <v>580</v>
      </c>
    </row>
    <row r="229" ht="15">
      <c r="M229" s="3" t="s">
        <v>1503</v>
      </c>
      <c r="N229" s="2">
        <v>580</v>
      </c>
      <c r="S229" s="23"/>
      <c r="T229" s="23"/>
      <c r="AB229" s="27" t="s">
        <v>1504</v>
      </c>
      <c r="AC229" s="29" t="s">
        <v>1505</v>
      </c>
      <c r="AF229" s="2" t="s">
        <v>1506</v>
      </c>
      <c r="AG229" s="2">
        <v>702</v>
      </c>
    </row>
    <row r="230" ht="15">
      <c r="M230" s="3" t="s">
        <v>1506</v>
      </c>
      <c r="N230" s="2">
        <v>702</v>
      </c>
      <c r="S230" s="23"/>
      <c r="T230" s="23"/>
      <c r="AB230" s="27" t="s">
        <v>1507</v>
      </c>
      <c r="AC230" s="29" t="s">
        <v>1508</v>
      </c>
      <c r="AF230" s="2" t="s">
        <v>1509</v>
      </c>
      <c r="AG230" s="2">
        <v>663</v>
      </c>
    </row>
    <row r="231" ht="15">
      <c r="M231" s="3" t="s">
        <v>1509</v>
      </c>
      <c r="N231" s="2">
        <v>663</v>
      </c>
      <c r="S231" s="23"/>
      <c r="T231" s="23"/>
      <c r="AB231" s="27" t="s">
        <v>1510</v>
      </c>
      <c r="AC231" s="29" t="s">
        <v>1511</v>
      </c>
      <c r="AF231" s="2" t="s">
        <v>1512</v>
      </c>
      <c r="AG231" s="2">
        <v>534</v>
      </c>
    </row>
    <row r="232" ht="15">
      <c r="M232" s="3" t="s">
        <v>1512</v>
      </c>
      <c r="N232" s="2">
        <v>534</v>
      </c>
      <c r="S232" s="23"/>
      <c r="T232" s="23"/>
      <c r="AB232" s="27" t="s">
        <v>1513</v>
      </c>
      <c r="AC232" s="29" t="s">
        <v>1514</v>
      </c>
      <c r="AF232" s="2" t="s">
        <v>1515</v>
      </c>
      <c r="AG232" s="2">
        <v>703</v>
      </c>
    </row>
    <row r="233" ht="15">
      <c r="M233" s="3" t="s">
        <v>1515</v>
      </c>
      <c r="N233" s="2">
        <v>703</v>
      </c>
      <c r="S233" s="23"/>
      <c r="T233" s="23"/>
      <c r="AB233" s="27" t="s">
        <v>1516</v>
      </c>
      <c r="AC233" s="29" t="s">
        <v>1517</v>
      </c>
      <c r="AF233" s="2" t="s">
        <v>1518</v>
      </c>
      <c r="AG233" s="2">
        <v>705</v>
      </c>
    </row>
    <row r="234" ht="15">
      <c r="M234" s="3" t="s">
        <v>1518</v>
      </c>
      <c r="N234" s="2">
        <v>705</v>
      </c>
      <c r="AB234" s="27" t="s">
        <v>1519</v>
      </c>
      <c r="AC234" s="29" t="s">
        <v>1520</v>
      </c>
      <c r="AF234" s="2" t="s">
        <v>1521</v>
      </c>
      <c r="AG234" s="2">
        <v>90</v>
      </c>
    </row>
    <row r="235" ht="15">
      <c r="M235" s="3" t="s">
        <v>1521</v>
      </c>
      <c r="N235" s="2">
        <v>90</v>
      </c>
      <c r="AB235" s="27" t="s">
        <v>1522</v>
      </c>
      <c r="AC235" s="29" t="s">
        <v>1523</v>
      </c>
      <c r="AF235" s="2" t="s">
        <v>1524</v>
      </c>
      <c r="AG235" s="2">
        <v>706</v>
      </c>
    </row>
    <row r="236" ht="15">
      <c r="M236" s="3" t="s">
        <v>1524</v>
      </c>
      <c r="N236" s="2">
        <v>706</v>
      </c>
      <c r="AB236" s="27" t="s">
        <v>1525</v>
      </c>
      <c r="AC236" s="29" t="s">
        <v>1526</v>
      </c>
      <c r="AF236" s="2" t="s">
        <v>1527</v>
      </c>
      <c r="AG236" s="2">
        <v>744</v>
      </c>
    </row>
    <row r="237" ht="15">
      <c r="M237" s="3" t="s">
        <v>1527</v>
      </c>
      <c r="N237" s="2">
        <v>744</v>
      </c>
      <c r="AB237" s="27" t="s">
        <v>1528</v>
      </c>
      <c r="AC237" s="29" t="s">
        <v>1529</v>
      </c>
      <c r="AF237" s="2" t="s">
        <v>1530</v>
      </c>
      <c r="AG237" s="2">
        <v>144</v>
      </c>
    </row>
    <row r="238" ht="15">
      <c r="M238" s="3" t="s">
        <v>1530</v>
      </c>
      <c r="N238" s="2">
        <v>144</v>
      </c>
      <c r="AB238" s="27" t="s">
        <v>1531</v>
      </c>
      <c r="AC238" s="29" t="s">
        <v>1532</v>
      </c>
      <c r="AF238" s="2" t="s">
        <v>1533</v>
      </c>
      <c r="AG238" s="2">
        <v>736</v>
      </c>
    </row>
    <row r="239" ht="15">
      <c r="M239" s="3" t="s">
        <v>1533</v>
      </c>
      <c r="N239" s="2">
        <v>736</v>
      </c>
      <c r="AB239" s="27" t="s">
        <v>1534</v>
      </c>
      <c r="AC239" s="29" t="s">
        <v>1535</v>
      </c>
      <c r="AF239" s="2" t="s">
        <v>1536</v>
      </c>
      <c r="AG239" s="2">
        <v>740</v>
      </c>
    </row>
    <row r="240" ht="15">
      <c r="M240" s="3" t="s">
        <v>1536</v>
      </c>
      <c r="N240" s="2">
        <v>740</v>
      </c>
      <c r="AB240" s="27" t="s">
        <v>1537</v>
      </c>
      <c r="AC240" s="29" t="s">
        <v>1538</v>
      </c>
      <c r="AF240" s="2" t="s">
        <v>1539</v>
      </c>
      <c r="AG240" s="2">
        <v>760</v>
      </c>
    </row>
    <row r="241" ht="15">
      <c r="M241" s="3" t="s">
        <v>1539</v>
      </c>
      <c r="N241" s="2">
        <v>760</v>
      </c>
      <c r="AB241" s="27" t="s">
        <v>1540</v>
      </c>
      <c r="AC241" s="29" t="s">
        <v>1541</v>
      </c>
      <c r="AF241" s="2" t="s">
        <v>1542</v>
      </c>
      <c r="AG241" s="2">
        <v>748</v>
      </c>
    </row>
    <row r="242" ht="15">
      <c r="M242" s="3" t="s">
        <v>1542</v>
      </c>
      <c r="N242" s="2">
        <v>748</v>
      </c>
      <c r="AB242" s="27" t="s">
        <v>1543</v>
      </c>
      <c r="AC242" s="29" t="s">
        <v>1544</v>
      </c>
      <c r="AF242" s="2" t="s">
        <v>1545</v>
      </c>
      <c r="AG242" s="2">
        <v>694</v>
      </c>
    </row>
    <row r="243" ht="15">
      <c r="M243" s="3" t="s">
        <v>1545</v>
      </c>
      <c r="N243" s="2">
        <v>694</v>
      </c>
      <c r="AB243" s="27" t="s">
        <v>1546</v>
      </c>
      <c r="AC243" s="29" t="s">
        <v>1547</v>
      </c>
      <c r="AF243" s="2" t="s">
        <v>1548</v>
      </c>
      <c r="AG243" s="2">
        <v>762</v>
      </c>
    </row>
    <row r="244" ht="15">
      <c r="M244" s="3" t="s">
        <v>1548</v>
      </c>
      <c r="N244" s="2">
        <v>762</v>
      </c>
      <c r="AB244" s="27" t="s">
        <v>1549</v>
      </c>
      <c r="AC244" s="29" t="s">
        <v>1550</v>
      </c>
      <c r="AF244" s="2" t="s">
        <v>1551</v>
      </c>
      <c r="AG244" s="2">
        <v>764</v>
      </c>
    </row>
    <row r="245" ht="15">
      <c r="M245" s="3" t="s">
        <v>1551</v>
      </c>
      <c r="N245" s="2">
        <v>764</v>
      </c>
      <c r="AB245" s="27" t="s">
        <v>1552</v>
      </c>
      <c r="AC245" s="29" t="s">
        <v>1553</v>
      </c>
      <c r="AF245" s="2" t="s">
        <v>1554</v>
      </c>
      <c r="AG245" s="2">
        <v>158</v>
      </c>
    </row>
    <row r="246" ht="15">
      <c r="M246" s="3" t="s">
        <v>1554</v>
      </c>
      <c r="N246" s="2">
        <v>158</v>
      </c>
      <c r="AB246" s="27" t="s">
        <v>1555</v>
      </c>
      <c r="AC246" s="29" t="s">
        <v>1556</v>
      </c>
      <c r="AF246" s="2" t="s">
        <v>1557</v>
      </c>
      <c r="AG246" s="2">
        <v>772</v>
      </c>
    </row>
    <row r="247" ht="15">
      <c r="M247" s="3" t="s">
        <v>1557</v>
      </c>
      <c r="N247" s="2">
        <v>772</v>
      </c>
      <c r="AB247" s="27" t="s">
        <v>1558</v>
      </c>
      <c r="AC247" s="29" t="s">
        <v>1559</v>
      </c>
      <c r="AF247" s="2" t="s">
        <v>1560</v>
      </c>
      <c r="AG247" s="2">
        <v>776</v>
      </c>
    </row>
    <row r="248" ht="15">
      <c r="M248" s="3" t="s">
        <v>1560</v>
      </c>
      <c r="N248" s="2">
        <v>776</v>
      </c>
      <c r="AB248" s="27" t="s">
        <v>1561</v>
      </c>
      <c r="AC248" s="29" t="s">
        <v>1562</v>
      </c>
      <c r="AF248" s="2" t="s">
        <v>1563</v>
      </c>
      <c r="AG248" s="2">
        <v>768</v>
      </c>
    </row>
    <row r="249" ht="15">
      <c r="M249" s="3" t="s">
        <v>1563</v>
      </c>
      <c r="N249" s="2">
        <v>768</v>
      </c>
      <c r="AB249" s="27" t="s">
        <v>1564</v>
      </c>
      <c r="AC249" s="29" t="s">
        <v>1565</v>
      </c>
      <c r="AF249" s="2" t="s">
        <v>1566</v>
      </c>
      <c r="AG249" s="2">
        <v>780</v>
      </c>
    </row>
    <row r="250" ht="15">
      <c r="M250" s="3" t="s">
        <v>1566</v>
      </c>
      <c r="N250" s="2">
        <v>780</v>
      </c>
      <c r="AB250" s="27" t="s">
        <v>1567</v>
      </c>
      <c r="AC250" s="29" t="s">
        <v>1568</v>
      </c>
      <c r="AF250" s="2" t="s">
        <v>1569</v>
      </c>
      <c r="AG250" s="2">
        <v>788</v>
      </c>
    </row>
    <row r="251" ht="15">
      <c r="M251" s="3" t="s">
        <v>1569</v>
      </c>
      <c r="N251" s="2">
        <v>788</v>
      </c>
      <c r="AB251" s="27" t="s">
        <v>1570</v>
      </c>
      <c r="AC251" s="29" t="s">
        <v>1571</v>
      </c>
      <c r="AF251" s="2" t="s">
        <v>1572</v>
      </c>
      <c r="AG251" s="2">
        <v>19</v>
      </c>
    </row>
    <row r="252" ht="15">
      <c r="M252" s="3" t="s">
        <v>1572</v>
      </c>
      <c r="N252" s="2">
        <v>19</v>
      </c>
      <c r="AB252" s="27" t="s">
        <v>1573</v>
      </c>
      <c r="AC252" s="29" t="s">
        <v>1574</v>
      </c>
      <c r="AF252" s="2" t="s">
        <v>1575</v>
      </c>
      <c r="AG252" s="2">
        <v>796</v>
      </c>
    </row>
    <row r="253" ht="15">
      <c r="M253" s="3" t="s">
        <v>1575</v>
      </c>
      <c r="N253" s="2">
        <v>796</v>
      </c>
      <c r="AB253" s="27" t="s">
        <v>1576</v>
      </c>
      <c r="AC253" s="29" t="s">
        <v>1577</v>
      </c>
      <c r="AF253" s="2" t="s">
        <v>1578</v>
      </c>
      <c r="AG253" s="2">
        <v>792</v>
      </c>
    </row>
    <row r="254" ht="15">
      <c r="M254" s="3" t="s">
        <v>1578</v>
      </c>
      <c r="N254" s="2">
        <v>792</v>
      </c>
      <c r="AB254" s="27" t="s">
        <v>1579</v>
      </c>
      <c r="AC254" s="29" t="s">
        <v>1580</v>
      </c>
      <c r="AF254" s="2" t="s">
        <v>279</v>
      </c>
      <c r="AG254" s="2">
        <v>795</v>
      </c>
    </row>
    <row r="255" ht="15">
      <c r="M255" s="3" t="s">
        <v>279</v>
      </c>
      <c r="N255" s="2">
        <v>795</v>
      </c>
      <c r="AB255" s="27" t="s">
        <v>1581</v>
      </c>
      <c r="AC255" s="29" t="s">
        <v>1582</v>
      </c>
      <c r="AF255" s="2" t="s">
        <v>1583</v>
      </c>
      <c r="AG255" s="2">
        <v>798</v>
      </c>
    </row>
    <row r="256" ht="15">
      <c r="M256" s="3" t="s">
        <v>1583</v>
      </c>
      <c r="N256" s="2">
        <v>798</v>
      </c>
      <c r="AB256" s="27" t="s">
        <v>1584</v>
      </c>
      <c r="AC256" s="29" t="s">
        <v>1585</v>
      </c>
      <c r="AF256" s="2" t="s">
        <v>1586</v>
      </c>
      <c r="AG256" s="2">
        <v>804</v>
      </c>
    </row>
    <row r="257" ht="15">
      <c r="M257" s="3" t="s">
        <v>1586</v>
      </c>
      <c r="N257" s="2">
        <v>804</v>
      </c>
      <c r="AB257" s="27" t="s">
        <v>1587</v>
      </c>
      <c r="AC257" s="29" t="s">
        <v>1588</v>
      </c>
      <c r="AF257" s="2" t="s">
        <v>1589</v>
      </c>
      <c r="AG257" s="2">
        <v>800</v>
      </c>
    </row>
    <row r="258" ht="15">
      <c r="M258" s="3" t="s">
        <v>1589</v>
      </c>
      <c r="N258" s="2">
        <v>800</v>
      </c>
      <c r="AB258" s="27" t="s">
        <v>1590</v>
      </c>
      <c r="AC258" s="29" t="s">
        <v>1591</v>
      </c>
      <c r="AF258" s="2" t="s">
        <v>1592</v>
      </c>
      <c r="AG258" s="2">
        <v>858</v>
      </c>
    </row>
    <row r="259" ht="15">
      <c r="M259" s="3" t="s">
        <v>1592</v>
      </c>
      <c r="N259" s="2">
        <v>858</v>
      </c>
      <c r="AB259" s="27" t="s">
        <v>1593</v>
      </c>
      <c r="AC259" s="29" t="s">
        <v>1594</v>
      </c>
      <c r="AF259" s="2" t="s">
        <v>1595</v>
      </c>
      <c r="AG259" s="2">
        <v>548</v>
      </c>
    </row>
    <row r="260" ht="15">
      <c r="M260" s="3" t="s">
        <v>1595</v>
      </c>
      <c r="N260" s="2">
        <v>548</v>
      </c>
      <c r="AB260" s="27" t="s">
        <v>1596</v>
      </c>
      <c r="AC260" s="29" t="s">
        <v>1597</v>
      </c>
      <c r="AF260" s="2" t="s">
        <v>1598</v>
      </c>
      <c r="AG260" s="2">
        <v>862</v>
      </c>
    </row>
    <row r="261" ht="15">
      <c r="M261" s="3" t="s">
        <v>1598</v>
      </c>
      <c r="N261" s="2">
        <v>862</v>
      </c>
      <c r="AB261" s="27" t="s">
        <v>1599</v>
      </c>
      <c r="AC261" s="29" t="s">
        <v>1600</v>
      </c>
      <c r="AF261" s="2" t="s">
        <v>1601</v>
      </c>
      <c r="AG261" s="2">
        <v>850</v>
      </c>
    </row>
    <row r="262" ht="15">
      <c r="M262" s="3" t="s">
        <v>1601</v>
      </c>
      <c r="N262" s="2">
        <v>850</v>
      </c>
      <c r="AB262" s="27" t="s">
        <v>1602</v>
      </c>
      <c r="AC262" s="29" t="s">
        <v>1603</v>
      </c>
      <c r="AF262" s="2" t="s">
        <v>1604</v>
      </c>
      <c r="AG262" s="2">
        <v>92</v>
      </c>
    </row>
    <row r="263" ht="15">
      <c r="M263" s="3" t="s">
        <v>1604</v>
      </c>
      <c r="N263" s="2">
        <v>92</v>
      </c>
      <c r="AB263" s="27" t="s">
        <v>1605</v>
      </c>
      <c r="AC263" s="29" t="s">
        <v>1606</v>
      </c>
      <c r="AF263" s="2" t="s">
        <v>1607</v>
      </c>
      <c r="AG263" s="2">
        <v>876</v>
      </c>
    </row>
    <row r="264" ht="15">
      <c r="M264" s="3" t="s">
        <v>1607</v>
      </c>
      <c r="N264" s="2">
        <v>876</v>
      </c>
      <c r="AB264" s="27" t="s">
        <v>1608</v>
      </c>
      <c r="AC264" s="29" t="s">
        <v>1609</v>
      </c>
      <c r="AF264" s="2" t="s">
        <v>1610</v>
      </c>
      <c r="AG264" s="2">
        <v>704</v>
      </c>
    </row>
    <row r="265" ht="15">
      <c r="M265" s="3" t="s">
        <v>1610</v>
      </c>
      <c r="N265" s="2">
        <v>704</v>
      </c>
      <c r="AB265" s="27" t="s">
        <v>1611</v>
      </c>
      <c r="AC265" s="29" t="s">
        <v>1612</v>
      </c>
      <c r="AF265" s="2" t="s">
        <v>1613</v>
      </c>
      <c r="AG265" s="2">
        <v>581</v>
      </c>
    </row>
    <row r="266" ht="15">
      <c r="M266" s="3" t="s">
        <v>1613</v>
      </c>
      <c r="N266" s="2">
        <v>581</v>
      </c>
      <c r="AB266" s="27" t="s">
        <v>1614</v>
      </c>
      <c r="AC266" s="29" t="s">
        <v>1615</v>
      </c>
      <c r="AF266" s="2" t="s">
        <v>1616</v>
      </c>
      <c r="AG266" s="2">
        <v>191</v>
      </c>
    </row>
    <row r="267" ht="15">
      <c r="M267" s="3" t="s">
        <v>1616</v>
      </c>
      <c r="N267" s="2">
        <v>191</v>
      </c>
      <c r="AB267" s="27" t="s">
        <v>1617</v>
      </c>
      <c r="AC267" s="29" t="s">
        <v>1618</v>
      </c>
      <c r="AF267" s="2" t="s">
        <v>1619</v>
      </c>
      <c r="AG267" s="2">
        <v>388</v>
      </c>
    </row>
    <row r="268" ht="15">
      <c r="M268" s="3" t="s">
        <v>1619</v>
      </c>
      <c r="N268" s="2">
        <v>388</v>
      </c>
      <c r="AB268" s="27" t="s">
        <v>1620</v>
      </c>
      <c r="AC268" s="29" t="s">
        <v>1621</v>
      </c>
      <c r="AF268" s="2" t="s">
        <v>1622</v>
      </c>
      <c r="AG268" s="2">
        <v>392</v>
      </c>
    </row>
    <row r="269" ht="15">
      <c r="M269" s="3" t="s">
        <v>1622</v>
      </c>
      <c r="N269" s="2">
        <v>392</v>
      </c>
      <c r="AB269" s="27" t="s">
        <v>1623</v>
      </c>
      <c r="AC269" s="29" t="s">
        <v>1624</v>
      </c>
      <c r="AF269" s="2" t="s">
        <v>1625</v>
      </c>
      <c r="AG269" s="2">
        <v>22</v>
      </c>
    </row>
    <row r="270" ht="15">
      <c r="M270" s="3" t="s">
        <v>1625</v>
      </c>
      <c r="N270" s="2">
        <v>22</v>
      </c>
      <c r="AB270" s="27" t="s">
        <v>1626</v>
      </c>
      <c r="AC270" s="29" t="s">
        <v>1627</v>
      </c>
      <c r="AF270" s="2" t="s">
        <v>1628</v>
      </c>
      <c r="AG270" s="2">
        <v>887</v>
      </c>
    </row>
    <row r="271" ht="15">
      <c r="M271" s="3" t="s">
        <v>1628</v>
      </c>
      <c r="N271" s="2">
        <v>887</v>
      </c>
      <c r="AB271" s="27" t="s">
        <v>1629</v>
      </c>
      <c r="AC271" s="29" t="s">
        <v>1630</v>
      </c>
      <c r="AF271" s="2" t="s">
        <v>1631</v>
      </c>
      <c r="AG271" s="2">
        <v>540</v>
      </c>
    </row>
    <row r="272" ht="15">
      <c r="M272" s="3" t="s">
        <v>1631</v>
      </c>
      <c r="N272" s="2">
        <v>540</v>
      </c>
      <c r="AB272" s="27" t="s">
        <v>1632</v>
      </c>
      <c r="AC272" s="29" t="s">
        <v>1633</v>
      </c>
      <c r="AF272" s="2" t="s">
        <v>1634</v>
      </c>
      <c r="AG272" s="2">
        <v>554</v>
      </c>
    </row>
    <row r="273" ht="15">
      <c r="M273" s="3" t="s">
        <v>1634</v>
      </c>
      <c r="N273" s="2">
        <v>554</v>
      </c>
      <c r="AB273" s="27" t="s">
        <v>1635</v>
      </c>
      <c r="AC273" s="29" t="s">
        <v>1636</v>
      </c>
      <c r="AF273" s="2" t="s">
        <v>1637</v>
      </c>
      <c r="AG273" s="2">
        <v>300</v>
      </c>
    </row>
    <row r="274" ht="15">
      <c r="M274" s="3" t="s">
        <v>1637</v>
      </c>
      <c r="N274" s="2">
        <v>300</v>
      </c>
      <c r="AB274" s="27" t="s">
        <v>1638</v>
      </c>
      <c r="AC274" s="29" t="s">
        <v>1639</v>
      </c>
      <c r="AF274" s="2" t="s">
        <v>1640</v>
      </c>
      <c r="AG274" s="2">
        <v>29</v>
      </c>
    </row>
    <row r="275" ht="15">
      <c r="M275" s="3" t="s">
        <v>1640</v>
      </c>
      <c r="N275" s="2">
        <v>29</v>
      </c>
      <c r="AB275" s="27" t="s">
        <v>1641</v>
      </c>
      <c r="AC275" s="29" t="s">
        <v>1642</v>
      </c>
      <c r="AF275" s="2" t="s">
        <v>1643</v>
      </c>
      <c r="AG275" s="2">
        <v>894</v>
      </c>
    </row>
    <row r="276" ht="15">
      <c r="M276" s="3" t="s">
        <v>1643</v>
      </c>
      <c r="N276" s="2">
        <v>894</v>
      </c>
      <c r="AB276" s="27" t="s">
        <v>1644</v>
      </c>
      <c r="AC276" s="29" t="s">
        <v>1645</v>
      </c>
      <c r="AF276" s="2" t="s">
        <v>1646</v>
      </c>
      <c r="AG276" s="2">
        <v>716</v>
      </c>
    </row>
    <row r="277" ht="15">
      <c r="M277" s="3" t="s">
        <v>1646</v>
      </c>
      <c r="N277" s="2">
        <v>716</v>
      </c>
      <c r="AB277" s="27" t="s">
        <v>1647</v>
      </c>
      <c r="AC277" s="29" t="s">
        <v>1648</v>
      </c>
    </row>
    <row r="278">
      <c r="AB278" s="27" t="s">
        <v>1649</v>
      </c>
      <c r="AC278" s="29" t="s">
        <v>1650</v>
      </c>
    </row>
    <row r="279">
      <c r="AB279" s="27" t="s">
        <v>1651</v>
      </c>
      <c r="AC279" s="29" t="s">
        <v>1652</v>
      </c>
    </row>
    <row r="280">
      <c r="AB280" s="27" t="s">
        <v>1653</v>
      </c>
      <c r="AC280" s="29" t="s">
        <v>1654</v>
      </c>
    </row>
    <row r="281">
      <c r="AB281" s="27" t="s">
        <v>1655</v>
      </c>
      <c r="AC281" s="29" t="s">
        <v>1656</v>
      </c>
    </row>
    <row r="282">
      <c r="AB282" s="27" t="s">
        <v>1657</v>
      </c>
      <c r="AC282" s="29" t="s">
        <v>1658</v>
      </c>
    </row>
    <row r="283">
      <c r="AB283" s="27" t="s">
        <v>1659</v>
      </c>
      <c r="AC283" s="29" t="s">
        <v>1660</v>
      </c>
    </row>
    <row r="284">
      <c r="AB284" s="27" t="s">
        <v>1661</v>
      </c>
      <c r="AC284" s="29" t="s">
        <v>1662</v>
      </c>
    </row>
    <row r="285">
      <c r="AB285" s="27" t="s">
        <v>1663</v>
      </c>
      <c r="AC285" s="29" t="s">
        <v>1664</v>
      </c>
    </row>
    <row r="286">
      <c r="AB286" s="27" t="s">
        <v>1665</v>
      </c>
      <c r="AC286" s="29" t="s">
        <v>1666</v>
      </c>
    </row>
    <row r="287">
      <c r="AB287" s="27" t="s">
        <v>1667</v>
      </c>
      <c r="AC287" s="29" t="s">
        <v>1668</v>
      </c>
    </row>
    <row r="288">
      <c r="AB288" s="27" t="s">
        <v>1669</v>
      </c>
      <c r="AC288" s="29" t="s">
        <v>1670</v>
      </c>
    </row>
    <row r="289">
      <c r="AB289" s="27" t="s">
        <v>1671</v>
      </c>
      <c r="AC289" s="29" t="s">
        <v>1672</v>
      </c>
    </row>
    <row r="290">
      <c r="AB290" s="27" t="s">
        <v>1673</v>
      </c>
      <c r="AC290" s="29" t="s">
        <v>1674</v>
      </c>
    </row>
    <row r="291">
      <c r="AB291" s="27" t="s">
        <v>1675</v>
      </c>
      <c r="AC291" s="29" t="s">
        <v>1676</v>
      </c>
    </row>
    <row r="292">
      <c r="AB292" s="27" t="s">
        <v>1677</v>
      </c>
      <c r="AC292" s="29" t="s">
        <v>1678</v>
      </c>
    </row>
    <row r="293">
      <c r="AB293" s="27" t="s">
        <v>1679</v>
      </c>
      <c r="AC293" s="29" t="s">
        <v>1680</v>
      </c>
    </row>
    <row r="294">
      <c r="AB294" s="27" t="s">
        <v>1681</v>
      </c>
      <c r="AC294" s="29" t="s">
        <v>1682</v>
      </c>
    </row>
    <row r="295">
      <c r="AB295" s="27" t="s">
        <v>1683</v>
      </c>
      <c r="AC295" s="29" t="s">
        <v>1684</v>
      </c>
    </row>
    <row r="296">
      <c r="AB296" s="27" t="s">
        <v>1685</v>
      </c>
      <c r="AC296" s="29" t="s">
        <v>1686</v>
      </c>
    </row>
    <row r="297">
      <c r="AB297" s="27" t="s">
        <v>1687</v>
      </c>
      <c r="AC297" s="29" t="s">
        <v>1688</v>
      </c>
    </row>
    <row r="298">
      <c r="AB298" s="27" t="s">
        <v>1689</v>
      </c>
      <c r="AC298" s="29" t="s">
        <v>1690</v>
      </c>
    </row>
    <row r="299">
      <c r="AB299" s="27" t="s">
        <v>1691</v>
      </c>
      <c r="AC299" s="29" t="s">
        <v>1692</v>
      </c>
    </row>
    <row r="300">
      <c r="AB300" s="27" t="s">
        <v>1693</v>
      </c>
      <c r="AC300" s="29" t="s">
        <v>1694</v>
      </c>
    </row>
    <row r="301">
      <c r="AB301" s="27" t="s">
        <v>1695</v>
      </c>
      <c r="AC301" s="29" t="s">
        <v>1696</v>
      </c>
    </row>
    <row r="302">
      <c r="AB302" s="27" t="s">
        <v>1697</v>
      </c>
      <c r="AC302" s="29" t="s">
        <v>1698</v>
      </c>
    </row>
    <row r="303">
      <c r="AB303" s="27" t="s">
        <v>1699</v>
      </c>
      <c r="AC303" s="29" t="s">
        <v>1700</v>
      </c>
    </row>
    <row r="304">
      <c r="AB304" s="27" t="s">
        <v>1701</v>
      </c>
      <c r="AC304" s="29" t="s">
        <v>1702</v>
      </c>
    </row>
    <row r="305">
      <c r="AB305" s="27" t="s">
        <v>1703</v>
      </c>
      <c r="AC305" s="29" t="s">
        <v>1704</v>
      </c>
    </row>
    <row r="306">
      <c r="AB306" s="27" t="s">
        <v>1705</v>
      </c>
      <c r="AC306" s="29" t="s">
        <v>1706</v>
      </c>
    </row>
    <row r="307">
      <c r="AB307" s="27" t="s">
        <v>1707</v>
      </c>
      <c r="AC307" s="29" t="s">
        <v>1708</v>
      </c>
    </row>
    <row r="308">
      <c r="AB308" s="27" t="s">
        <v>1709</v>
      </c>
      <c r="AC308" s="29" t="s">
        <v>1710</v>
      </c>
    </row>
    <row r="309">
      <c r="AB309" s="27" t="s">
        <v>1711</v>
      </c>
      <c r="AC309" s="29" t="s">
        <v>1712</v>
      </c>
    </row>
    <row r="310">
      <c r="AB310" s="27" t="s">
        <v>1713</v>
      </c>
      <c r="AC310" s="29" t="s">
        <v>1714</v>
      </c>
    </row>
    <row r="311">
      <c r="AB311" s="27" t="s">
        <v>1715</v>
      </c>
      <c r="AC311" s="29" t="s">
        <v>1716</v>
      </c>
    </row>
    <row r="312">
      <c r="AB312" s="27" t="s">
        <v>1717</v>
      </c>
      <c r="AC312" s="29" t="s">
        <v>1718</v>
      </c>
    </row>
    <row r="313">
      <c r="AB313" s="27" t="s">
        <v>1719</v>
      </c>
      <c r="AC313" s="29" t="s">
        <v>1720</v>
      </c>
    </row>
    <row r="314">
      <c r="AB314" s="27" t="s">
        <v>1721</v>
      </c>
      <c r="AC314" s="29" t="s">
        <v>1722</v>
      </c>
    </row>
    <row r="315">
      <c r="AB315" s="27" t="s">
        <v>1723</v>
      </c>
      <c r="AC315" s="29" t="s">
        <v>1724</v>
      </c>
    </row>
    <row r="316">
      <c r="AB316" s="27" t="s">
        <v>1725</v>
      </c>
      <c r="AC316" s="29" t="s">
        <v>1726</v>
      </c>
    </row>
    <row r="317">
      <c r="AB317" s="27" t="s">
        <v>1727</v>
      </c>
      <c r="AC317" s="29" t="s">
        <v>1728</v>
      </c>
    </row>
    <row r="318">
      <c r="AB318" s="27" t="s">
        <v>1729</v>
      </c>
      <c r="AC318" s="29" t="s">
        <v>1730</v>
      </c>
    </row>
    <row r="319">
      <c r="AB319" s="27" t="s">
        <v>1731</v>
      </c>
      <c r="AC319" s="29" t="s">
        <v>1732</v>
      </c>
    </row>
    <row r="320">
      <c r="AB320" s="27" t="s">
        <v>1733</v>
      </c>
      <c r="AC320" s="29" t="s">
        <v>1734</v>
      </c>
    </row>
    <row r="321">
      <c r="AB321" s="27" t="s">
        <v>1735</v>
      </c>
      <c r="AC321" s="29" t="s">
        <v>1736</v>
      </c>
    </row>
    <row r="322">
      <c r="AB322" s="27" t="s">
        <v>1737</v>
      </c>
      <c r="AC322" s="29" t="s">
        <v>1738</v>
      </c>
    </row>
    <row r="323">
      <c r="AB323" s="27" t="s">
        <v>1739</v>
      </c>
      <c r="AC323" s="29" t="s">
        <v>1740</v>
      </c>
    </row>
    <row r="324">
      <c r="AB324" s="27" t="s">
        <v>1741</v>
      </c>
      <c r="AC324" s="29" t="s">
        <v>1742</v>
      </c>
    </row>
    <row r="325">
      <c r="AB325" s="27" t="s">
        <v>1743</v>
      </c>
      <c r="AC325" s="29" t="s">
        <v>1744</v>
      </c>
    </row>
    <row r="326">
      <c r="AB326" s="27" t="s">
        <v>1745</v>
      </c>
      <c r="AC326" s="29" t="s">
        <v>1746</v>
      </c>
    </row>
    <row r="327">
      <c r="AB327" s="27" t="s">
        <v>1747</v>
      </c>
      <c r="AC327" s="29" t="s">
        <v>1748</v>
      </c>
    </row>
    <row r="328">
      <c r="AB328" s="27" t="s">
        <v>1749</v>
      </c>
      <c r="AC328" s="29" t="s">
        <v>1750</v>
      </c>
    </row>
    <row r="329">
      <c r="AB329" s="27" t="s">
        <v>1751</v>
      </c>
      <c r="AC329" s="29" t="s">
        <v>1752</v>
      </c>
    </row>
    <row r="330">
      <c r="AB330" s="27" t="s">
        <v>1753</v>
      </c>
      <c r="AC330" s="29" t="s">
        <v>1754</v>
      </c>
    </row>
    <row r="331">
      <c r="AB331" s="27" t="s">
        <v>1755</v>
      </c>
      <c r="AC331" s="29" t="s">
        <v>1756</v>
      </c>
    </row>
    <row r="332">
      <c r="AB332" s="27" t="s">
        <v>1757</v>
      </c>
      <c r="AC332" s="29" t="s">
        <v>1758</v>
      </c>
    </row>
    <row r="333">
      <c r="AB333" s="27" t="s">
        <v>1759</v>
      </c>
      <c r="AC333" s="29" t="s">
        <v>1760</v>
      </c>
    </row>
    <row r="334">
      <c r="AB334" s="27" t="s">
        <v>1761</v>
      </c>
      <c r="AC334" s="29" t="s">
        <v>1762</v>
      </c>
    </row>
    <row r="335">
      <c r="AB335" s="27" t="s">
        <v>1763</v>
      </c>
      <c r="AC335" s="29" t="s">
        <v>1764</v>
      </c>
    </row>
    <row r="336">
      <c r="AB336" s="27" t="s">
        <v>1765</v>
      </c>
      <c r="AC336" s="29" t="s">
        <v>1766</v>
      </c>
    </row>
    <row r="337">
      <c r="AB337" s="27" t="s">
        <v>1767</v>
      </c>
      <c r="AC337" s="29" t="s">
        <v>1768</v>
      </c>
    </row>
    <row r="338">
      <c r="AB338" s="27" t="s">
        <v>1769</v>
      </c>
      <c r="AC338" s="29" t="s">
        <v>1770</v>
      </c>
    </row>
    <row r="339">
      <c r="AB339" s="27" t="s">
        <v>1771</v>
      </c>
      <c r="AC339" s="29" t="s">
        <v>1772</v>
      </c>
    </row>
    <row r="340">
      <c r="AB340" s="27" t="s">
        <v>1773</v>
      </c>
      <c r="AC340" s="29" t="s">
        <v>1774</v>
      </c>
    </row>
    <row r="341">
      <c r="AB341" s="27" t="s">
        <v>1775</v>
      </c>
      <c r="AC341" s="29" t="s">
        <v>1776</v>
      </c>
    </row>
    <row r="342">
      <c r="AB342" s="27" t="s">
        <v>1777</v>
      </c>
      <c r="AC342" s="29" t="s">
        <v>1778</v>
      </c>
    </row>
    <row r="343">
      <c r="AB343" s="27" t="s">
        <v>1779</v>
      </c>
      <c r="AC343" s="29" t="s">
        <v>1780</v>
      </c>
    </row>
    <row r="344">
      <c r="AB344" s="27" t="s">
        <v>1781</v>
      </c>
      <c r="AC344" s="29" t="s">
        <v>1782</v>
      </c>
    </row>
    <row r="345">
      <c r="AB345" s="27" t="s">
        <v>1783</v>
      </c>
      <c r="AC345" s="29" t="s">
        <v>1784</v>
      </c>
    </row>
    <row r="346">
      <c r="AB346" s="27" t="s">
        <v>1785</v>
      </c>
      <c r="AC346" s="29" t="s">
        <v>1786</v>
      </c>
    </row>
    <row r="347">
      <c r="AB347" s="27" t="s">
        <v>1787</v>
      </c>
      <c r="AC347" s="29" t="s">
        <v>1788</v>
      </c>
    </row>
    <row r="348">
      <c r="AB348" s="27" t="s">
        <v>1789</v>
      </c>
      <c r="AC348" s="29" t="s">
        <v>1790</v>
      </c>
    </row>
    <row r="349">
      <c r="AB349" s="27" t="s">
        <v>1791</v>
      </c>
      <c r="AC349" s="29" t="s">
        <v>1792</v>
      </c>
    </row>
    <row r="350">
      <c r="AB350" s="27" t="s">
        <v>1793</v>
      </c>
      <c r="AC350" s="29" t="s">
        <v>1794</v>
      </c>
    </row>
    <row r="351">
      <c r="AB351" s="27" t="s">
        <v>1795</v>
      </c>
      <c r="AC351" s="29" t="s">
        <v>1796</v>
      </c>
    </row>
    <row r="352">
      <c r="AB352" s="27" t="s">
        <v>1797</v>
      </c>
      <c r="AC352" s="29" t="s">
        <v>1798</v>
      </c>
    </row>
    <row r="353">
      <c r="AB353" s="27" t="s">
        <v>1799</v>
      </c>
      <c r="AC353" s="29" t="s">
        <v>1800</v>
      </c>
    </row>
    <row r="354">
      <c r="AB354" s="27" t="s">
        <v>1801</v>
      </c>
      <c r="AC354" s="29" t="s">
        <v>1802</v>
      </c>
    </row>
    <row r="355">
      <c r="AB355" s="27" t="s">
        <v>1803</v>
      </c>
      <c r="AC355" s="29" t="s">
        <v>1804</v>
      </c>
    </row>
    <row r="356">
      <c r="AB356" s="27" t="s">
        <v>1805</v>
      </c>
      <c r="AC356" s="29" t="s">
        <v>1806</v>
      </c>
    </row>
    <row r="357">
      <c r="AB357" s="27" t="s">
        <v>1807</v>
      </c>
      <c r="AC357" s="29" t="s">
        <v>1808</v>
      </c>
    </row>
    <row r="358">
      <c r="AB358" s="27" t="s">
        <v>1809</v>
      </c>
      <c r="AC358" s="29" t="s">
        <v>1810</v>
      </c>
    </row>
    <row r="359">
      <c r="AB359" s="27" t="s">
        <v>1811</v>
      </c>
      <c r="AC359" s="29" t="s">
        <v>1812</v>
      </c>
    </row>
    <row r="360">
      <c r="AB360" s="27" t="s">
        <v>1813</v>
      </c>
      <c r="AC360" s="29" t="s">
        <v>1814</v>
      </c>
    </row>
    <row r="361">
      <c r="AB361" s="27" t="s">
        <v>1815</v>
      </c>
      <c r="AC361" s="29" t="s">
        <v>1816</v>
      </c>
    </row>
    <row r="362">
      <c r="AB362" s="27" t="s">
        <v>1817</v>
      </c>
      <c r="AC362" s="29" t="s">
        <v>1818</v>
      </c>
    </row>
    <row r="363">
      <c r="AB363" s="27" t="s">
        <v>1819</v>
      </c>
      <c r="AC363" s="29" t="s">
        <v>1820</v>
      </c>
    </row>
    <row r="364">
      <c r="AB364" s="27" t="s">
        <v>1821</v>
      </c>
      <c r="AC364" s="29" t="s">
        <v>1822</v>
      </c>
    </row>
    <row r="365">
      <c r="AB365" s="27" t="s">
        <v>1823</v>
      </c>
      <c r="AC365" s="29" t="s">
        <v>1824</v>
      </c>
    </row>
    <row r="366">
      <c r="AB366" s="27" t="s">
        <v>1825</v>
      </c>
      <c r="AC366" s="29" t="s">
        <v>1826</v>
      </c>
    </row>
    <row r="367">
      <c r="AB367" s="27" t="s">
        <v>1827</v>
      </c>
      <c r="AC367" s="29" t="s">
        <v>1828</v>
      </c>
    </row>
    <row r="368">
      <c r="AB368" s="27" t="s">
        <v>1829</v>
      </c>
      <c r="AC368" s="29" t="s">
        <v>1830</v>
      </c>
    </row>
    <row r="369">
      <c r="AB369" s="27" t="s">
        <v>1831</v>
      </c>
      <c r="AC369" s="29" t="s">
        <v>1832</v>
      </c>
    </row>
    <row r="370">
      <c r="AB370" s="27" t="s">
        <v>1833</v>
      </c>
      <c r="AC370" s="29" t="s">
        <v>1834</v>
      </c>
    </row>
    <row r="371">
      <c r="AB371" s="27" t="s">
        <v>1835</v>
      </c>
      <c r="AC371" s="29" t="s">
        <v>1836</v>
      </c>
    </row>
    <row r="372">
      <c r="AB372" s="27" t="s">
        <v>1837</v>
      </c>
      <c r="AC372" s="29" t="s">
        <v>1838</v>
      </c>
    </row>
    <row r="373">
      <c r="AB373" s="27" t="s">
        <v>1839</v>
      </c>
      <c r="AC373" s="29" t="s">
        <v>1840</v>
      </c>
    </row>
    <row r="374">
      <c r="AB374" s="27" t="s">
        <v>1841</v>
      </c>
      <c r="AC374" s="29" t="s">
        <v>1842</v>
      </c>
    </row>
    <row r="375">
      <c r="AB375" s="27" t="s">
        <v>1843</v>
      </c>
      <c r="AC375" s="29" t="s">
        <v>1844</v>
      </c>
    </row>
    <row r="376">
      <c r="AB376" s="27" t="s">
        <v>1845</v>
      </c>
      <c r="AC376" s="29" t="s">
        <v>1846</v>
      </c>
    </row>
    <row r="377">
      <c r="AB377" s="27" t="s">
        <v>1847</v>
      </c>
      <c r="AC377" s="29" t="s">
        <v>1848</v>
      </c>
    </row>
    <row r="378">
      <c r="AB378" s="27" t="s">
        <v>1849</v>
      </c>
      <c r="AC378" s="29" t="s">
        <v>1850</v>
      </c>
    </row>
    <row r="379">
      <c r="AB379" s="27" t="s">
        <v>1851</v>
      </c>
      <c r="AC379" s="29" t="s">
        <v>1852</v>
      </c>
    </row>
    <row r="380">
      <c r="AB380" s="27" t="s">
        <v>1853</v>
      </c>
      <c r="AC380" s="29" t="s">
        <v>1854</v>
      </c>
    </row>
    <row r="381">
      <c r="AB381" s="27" t="s">
        <v>1855</v>
      </c>
      <c r="AC381" s="29" t="s">
        <v>1856</v>
      </c>
    </row>
    <row r="382">
      <c r="AB382" s="27" t="s">
        <v>1857</v>
      </c>
      <c r="AC382" s="29" t="s">
        <v>1858</v>
      </c>
    </row>
    <row r="383">
      <c r="AB383" s="27" t="s">
        <v>1859</v>
      </c>
      <c r="AC383" s="29" t="s">
        <v>1860</v>
      </c>
    </row>
    <row r="384">
      <c r="AB384" s="27" t="s">
        <v>1861</v>
      </c>
      <c r="AC384" s="29" t="s">
        <v>1862</v>
      </c>
    </row>
    <row r="385">
      <c r="AB385" s="27" t="s">
        <v>1863</v>
      </c>
      <c r="AC385" s="29" t="s">
        <v>1864</v>
      </c>
    </row>
    <row r="386">
      <c r="AB386" s="27" t="s">
        <v>1865</v>
      </c>
      <c r="AC386" s="29" t="s">
        <v>1866</v>
      </c>
    </row>
    <row r="387">
      <c r="AB387" s="27" t="s">
        <v>1867</v>
      </c>
      <c r="AC387" s="29" t="s">
        <v>1868</v>
      </c>
    </row>
    <row r="388">
      <c r="AB388" s="27" t="s">
        <v>1869</v>
      </c>
      <c r="AC388" s="29" t="s">
        <v>1870</v>
      </c>
    </row>
    <row r="389">
      <c r="AB389" s="27" t="s">
        <v>1871</v>
      </c>
      <c r="AC389" s="29" t="s">
        <v>1872</v>
      </c>
    </row>
    <row r="390">
      <c r="AB390" s="27" t="s">
        <v>1873</v>
      </c>
      <c r="AC390" s="29" t="s">
        <v>1874</v>
      </c>
    </row>
    <row r="391">
      <c r="AB391" s="27" t="s">
        <v>1875</v>
      </c>
      <c r="AC391" s="29" t="s">
        <v>1876</v>
      </c>
    </row>
    <row r="392">
      <c r="AB392" s="27" t="s">
        <v>1877</v>
      </c>
      <c r="AC392" s="29" t="s">
        <v>1878</v>
      </c>
    </row>
    <row r="393">
      <c r="AB393" s="27" t="s">
        <v>1879</v>
      </c>
      <c r="AC393" s="29" t="s">
        <v>1880</v>
      </c>
    </row>
    <row r="394">
      <c r="AB394" s="27" t="s">
        <v>1881</v>
      </c>
      <c r="AC394" s="29" t="s">
        <v>1882</v>
      </c>
    </row>
    <row r="395">
      <c r="AB395" s="27" t="s">
        <v>1883</v>
      </c>
      <c r="AC395" s="29" t="s">
        <v>1884</v>
      </c>
    </row>
    <row r="396">
      <c r="AB396" s="27" t="s">
        <v>1885</v>
      </c>
      <c r="AC396" s="29" t="s">
        <v>1886</v>
      </c>
    </row>
    <row r="397">
      <c r="AB397" s="27" t="s">
        <v>1887</v>
      </c>
      <c r="AC397" s="29" t="s">
        <v>1888</v>
      </c>
    </row>
    <row r="398">
      <c r="AB398" s="27" t="s">
        <v>1889</v>
      </c>
      <c r="AC398" s="29" t="s">
        <v>1890</v>
      </c>
    </row>
    <row r="399">
      <c r="AB399" s="27" t="s">
        <v>1891</v>
      </c>
      <c r="AC399" s="29" t="s">
        <v>1892</v>
      </c>
    </row>
    <row r="400">
      <c r="AB400" s="27" t="s">
        <v>1893</v>
      </c>
      <c r="AC400" s="29" t="s">
        <v>1894</v>
      </c>
    </row>
    <row r="401">
      <c r="AB401" s="27" t="s">
        <v>1895</v>
      </c>
      <c r="AC401" s="29" t="s">
        <v>1896</v>
      </c>
    </row>
    <row r="402">
      <c r="AB402" s="27" t="s">
        <v>1897</v>
      </c>
      <c r="AC402" s="29" t="s">
        <v>1898</v>
      </c>
    </row>
    <row r="403">
      <c r="AB403" s="27" t="s">
        <v>1899</v>
      </c>
      <c r="AC403" s="29" t="s">
        <v>1900</v>
      </c>
    </row>
    <row r="404">
      <c r="AB404" s="27" t="s">
        <v>1901</v>
      </c>
      <c r="AC404" s="29" t="s">
        <v>1902</v>
      </c>
    </row>
    <row r="405">
      <c r="AB405" s="27" t="s">
        <v>1903</v>
      </c>
      <c r="AC405" s="29" t="s">
        <v>1904</v>
      </c>
    </row>
    <row r="406">
      <c r="AB406" s="27" t="s">
        <v>1905</v>
      </c>
      <c r="AC406" s="29" t="s">
        <v>1906</v>
      </c>
    </row>
    <row r="407">
      <c r="AB407" s="27" t="s">
        <v>1907</v>
      </c>
      <c r="AC407" s="29" t="s">
        <v>1908</v>
      </c>
    </row>
    <row r="408">
      <c r="AB408" s="27" t="s">
        <v>1909</v>
      </c>
      <c r="AC408" s="29" t="s">
        <v>1910</v>
      </c>
    </row>
    <row r="409">
      <c r="AB409" s="27" t="s">
        <v>1911</v>
      </c>
      <c r="AC409" s="29" t="s">
        <v>1912</v>
      </c>
    </row>
    <row r="410">
      <c r="AB410" s="27" t="s">
        <v>1913</v>
      </c>
      <c r="AC410" s="29" t="s">
        <v>1914</v>
      </c>
    </row>
    <row r="411">
      <c r="AB411" s="27" t="s">
        <v>1915</v>
      </c>
      <c r="AC411" s="29" t="s">
        <v>1916</v>
      </c>
    </row>
    <row r="412">
      <c r="AB412" s="27" t="s">
        <v>1917</v>
      </c>
      <c r="AC412" s="29" t="s">
        <v>1918</v>
      </c>
    </row>
    <row r="413">
      <c r="AB413" s="27" t="s">
        <v>1919</v>
      </c>
      <c r="AC413" s="29" t="s">
        <v>1920</v>
      </c>
    </row>
    <row r="414">
      <c r="AB414" s="27" t="s">
        <v>1921</v>
      </c>
      <c r="AC414" s="29" t="s">
        <v>1922</v>
      </c>
    </row>
    <row r="415">
      <c r="AB415" s="27" t="s">
        <v>1923</v>
      </c>
      <c r="AC415" s="29" t="s">
        <v>1924</v>
      </c>
    </row>
    <row r="416">
      <c r="AB416" s="27" t="s">
        <v>1925</v>
      </c>
      <c r="AC416" s="29" t="s">
        <v>1926</v>
      </c>
    </row>
    <row r="417">
      <c r="AB417" s="27" t="s">
        <v>1927</v>
      </c>
      <c r="AC417" s="29" t="s">
        <v>1928</v>
      </c>
    </row>
    <row r="418">
      <c r="AB418" s="27" t="s">
        <v>1929</v>
      </c>
      <c r="AC418" s="29" t="s">
        <v>1930</v>
      </c>
    </row>
    <row r="419">
      <c r="AB419" s="27" t="s">
        <v>1931</v>
      </c>
      <c r="AC419" s="29" t="s">
        <v>1932</v>
      </c>
    </row>
    <row r="420">
      <c r="AB420" s="27" t="s">
        <v>1933</v>
      </c>
      <c r="AC420" s="29" t="s">
        <v>1934</v>
      </c>
    </row>
    <row r="421">
      <c r="AB421" s="27" t="s">
        <v>1935</v>
      </c>
      <c r="AC421" s="29" t="s">
        <v>1936</v>
      </c>
    </row>
    <row r="422">
      <c r="AB422" s="27" t="s">
        <v>1937</v>
      </c>
      <c r="AC422" s="29" t="s">
        <v>1938</v>
      </c>
    </row>
    <row r="423">
      <c r="AB423" s="27" t="s">
        <v>1939</v>
      </c>
      <c r="AC423" s="29" t="s">
        <v>1940</v>
      </c>
    </row>
    <row r="424">
      <c r="AB424" s="27" t="s">
        <v>1941</v>
      </c>
      <c r="AC424" s="29" t="s">
        <v>1942</v>
      </c>
    </row>
    <row r="425">
      <c r="AB425" s="27" t="s">
        <v>1943</v>
      </c>
      <c r="AC425" s="29" t="s">
        <v>1944</v>
      </c>
    </row>
    <row r="426">
      <c r="AB426" s="27" t="s">
        <v>1945</v>
      </c>
      <c r="AC426" s="29" t="s">
        <v>1946</v>
      </c>
    </row>
    <row r="427">
      <c r="AB427" s="27" t="s">
        <v>1947</v>
      </c>
      <c r="AC427" s="29" t="s">
        <v>1948</v>
      </c>
    </row>
    <row r="428">
      <c r="AB428" s="27" t="s">
        <v>1949</v>
      </c>
      <c r="AC428" s="29" t="s">
        <v>1950</v>
      </c>
    </row>
    <row r="429">
      <c r="AB429" s="27" t="s">
        <v>1951</v>
      </c>
      <c r="AC429" s="29" t="s">
        <v>1952</v>
      </c>
    </row>
    <row r="430">
      <c r="AB430" s="27" t="s">
        <v>1953</v>
      </c>
      <c r="AC430" s="29" t="s">
        <v>1954</v>
      </c>
    </row>
    <row r="431">
      <c r="AB431" s="27" t="s">
        <v>1955</v>
      </c>
      <c r="AC431" s="29" t="s">
        <v>1956</v>
      </c>
    </row>
    <row r="432">
      <c r="AB432" s="27" t="s">
        <v>1957</v>
      </c>
      <c r="AC432" s="29" t="s">
        <v>1958</v>
      </c>
    </row>
    <row r="433">
      <c r="AB433" s="27" t="s">
        <v>1959</v>
      </c>
      <c r="AC433" s="29" t="s">
        <v>1960</v>
      </c>
    </row>
    <row r="434">
      <c r="AB434" s="27" t="s">
        <v>1961</v>
      </c>
      <c r="AC434" s="29" t="s">
        <v>1962</v>
      </c>
    </row>
    <row r="435">
      <c r="AB435" s="27" t="s">
        <v>1963</v>
      </c>
      <c r="AC435" s="29" t="s">
        <v>1942</v>
      </c>
    </row>
    <row r="436">
      <c r="AB436" s="27" t="s">
        <v>1964</v>
      </c>
      <c r="AC436" s="29" t="s">
        <v>1965</v>
      </c>
    </row>
    <row r="437">
      <c r="AB437" s="27" t="s">
        <v>1966</v>
      </c>
      <c r="AC437" s="29" t="s">
        <v>1967</v>
      </c>
    </row>
    <row r="438">
      <c r="AB438" s="27" t="s">
        <v>1968</v>
      </c>
      <c r="AC438" s="29" t="s">
        <v>1969</v>
      </c>
    </row>
    <row r="439">
      <c r="AB439" s="27" t="s">
        <v>1970</v>
      </c>
      <c r="AC439" s="29" t="s">
        <v>1971</v>
      </c>
    </row>
    <row r="440">
      <c r="AB440" s="27" t="s">
        <v>1972</v>
      </c>
      <c r="AC440" s="29" t="s">
        <v>1973</v>
      </c>
    </row>
    <row r="441">
      <c r="AB441" s="27" t="s">
        <v>1974</v>
      </c>
      <c r="AC441" s="29" t="s">
        <v>1975</v>
      </c>
    </row>
    <row r="442">
      <c r="AB442" s="27" t="s">
        <v>1976</v>
      </c>
      <c r="AC442" s="29" t="s">
        <v>1977</v>
      </c>
    </row>
    <row r="443">
      <c r="AB443" s="27" t="s">
        <v>1978</v>
      </c>
      <c r="AC443" s="29" t="s">
        <v>1979</v>
      </c>
    </row>
    <row r="444">
      <c r="AB444" s="27" t="s">
        <v>1980</v>
      </c>
      <c r="AC444" s="29" t="s">
        <v>1981</v>
      </c>
    </row>
    <row r="445">
      <c r="AB445" s="27" t="s">
        <v>1982</v>
      </c>
      <c r="AC445" s="29" t="s">
        <v>1983</v>
      </c>
    </row>
    <row r="446">
      <c r="AB446" s="27" t="s">
        <v>1984</v>
      </c>
      <c r="AC446" s="29" t="s">
        <v>1985</v>
      </c>
    </row>
    <row r="447">
      <c r="AB447" s="27" t="s">
        <v>1986</v>
      </c>
      <c r="AC447" s="29" t="s">
        <v>1987</v>
      </c>
    </row>
    <row r="448">
      <c r="AB448" s="27" t="s">
        <v>1988</v>
      </c>
      <c r="AC448" s="29" t="s">
        <v>1989</v>
      </c>
    </row>
    <row r="449">
      <c r="AB449" s="27" t="s">
        <v>1990</v>
      </c>
      <c r="AC449" s="29" t="s">
        <v>1991</v>
      </c>
    </row>
    <row r="450">
      <c r="AB450" s="27" t="s">
        <v>1992</v>
      </c>
      <c r="AC450" s="29" t="s">
        <v>1993</v>
      </c>
    </row>
    <row r="451">
      <c r="AB451" s="27" t="s">
        <v>1994</v>
      </c>
      <c r="AC451" s="29" t="s">
        <v>1995</v>
      </c>
    </row>
    <row r="452">
      <c r="AB452" s="27" t="s">
        <v>1996</v>
      </c>
      <c r="AC452" s="29" t="s">
        <v>1997</v>
      </c>
    </row>
    <row r="453">
      <c r="AB453" s="27" t="s">
        <v>1998</v>
      </c>
      <c r="AC453" s="29" t="s">
        <v>1999</v>
      </c>
    </row>
    <row r="454">
      <c r="AB454" s="27" t="s">
        <v>2000</v>
      </c>
      <c r="AC454" s="29" t="s">
        <v>2001</v>
      </c>
    </row>
    <row r="455">
      <c r="AB455" s="27" t="s">
        <v>2002</v>
      </c>
      <c r="AC455" s="29" t="s">
        <v>2003</v>
      </c>
    </row>
    <row r="456">
      <c r="AB456" s="27" t="s">
        <v>2004</v>
      </c>
      <c r="AC456" s="29" t="s">
        <v>2005</v>
      </c>
    </row>
    <row r="457">
      <c r="AB457" s="27" t="s">
        <v>2006</v>
      </c>
      <c r="AC457" s="29" t="s">
        <v>2007</v>
      </c>
    </row>
    <row r="458">
      <c r="AB458" s="27" t="s">
        <v>2008</v>
      </c>
      <c r="AC458" s="29" t="s">
        <v>2009</v>
      </c>
    </row>
    <row r="459">
      <c r="AB459" s="27" t="s">
        <v>2010</v>
      </c>
      <c r="AC459" s="29" t="s">
        <v>2011</v>
      </c>
    </row>
    <row r="460">
      <c r="AB460" s="27" t="s">
        <v>2012</v>
      </c>
      <c r="AC460" s="29" t="s">
        <v>2013</v>
      </c>
    </row>
    <row r="461">
      <c r="AB461" s="27" t="s">
        <v>2014</v>
      </c>
      <c r="AC461" s="29" t="s">
        <v>2015</v>
      </c>
    </row>
    <row r="462">
      <c r="AB462" s="27" t="s">
        <v>2016</v>
      </c>
      <c r="AC462" s="29" t="s">
        <v>2017</v>
      </c>
    </row>
    <row r="463">
      <c r="AB463" s="27" t="s">
        <v>2018</v>
      </c>
      <c r="AC463" s="29" t="s">
        <v>2019</v>
      </c>
    </row>
    <row r="464">
      <c r="AB464" s="27" t="s">
        <v>2020</v>
      </c>
      <c r="AC464" s="29" t="s">
        <v>2021</v>
      </c>
    </row>
    <row r="465">
      <c r="AB465" s="27" t="s">
        <v>2022</v>
      </c>
      <c r="AC465" s="29" t="s">
        <v>2023</v>
      </c>
    </row>
    <row r="466">
      <c r="AB466" s="27" t="s">
        <v>2024</v>
      </c>
      <c r="AC466" s="29" t="s">
        <v>2025</v>
      </c>
    </row>
    <row r="467">
      <c r="AB467" s="27" t="s">
        <v>2026</v>
      </c>
      <c r="AC467" s="29" t="s">
        <v>2027</v>
      </c>
    </row>
    <row r="468">
      <c r="AB468" s="27" t="s">
        <v>2028</v>
      </c>
      <c r="AC468" s="29" t="s">
        <v>2029</v>
      </c>
    </row>
    <row r="469">
      <c r="AB469" s="27" t="s">
        <v>2030</v>
      </c>
      <c r="AC469" s="29" t="s">
        <v>2031</v>
      </c>
    </row>
    <row r="470">
      <c r="AB470" s="27" t="s">
        <v>2032</v>
      </c>
      <c r="AC470" s="29" t="s">
        <v>2033</v>
      </c>
    </row>
    <row r="471">
      <c r="AB471" s="27" t="s">
        <v>2034</v>
      </c>
      <c r="AC471" s="29" t="s">
        <v>2035</v>
      </c>
    </row>
    <row r="472">
      <c r="AB472" s="27" t="s">
        <v>2036</v>
      </c>
      <c r="AC472" s="29" t="s">
        <v>2037</v>
      </c>
    </row>
    <row r="473">
      <c r="AB473" s="27" t="s">
        <v>2038</v>
      </c>
      <c r="AC473" s="29" t="s">
        <v>2039</v>
      </c>
    </row>
    <row r="474">
      <c r="AB474" s="27" t="s">
        <v>2040</v>
      </c>
      <c r="AC474" s="29" t="s">
        <v>2041</v>
      </c>
    </row>
    <row r="475">
      <c r="AB475" s="27" t="s">
        <v>2042</v>
      </c>
      <c r="AC475" s="29" t="s">
        <v>2043</v>
      </c>
    </row>
    <row r="476">
      <c r="AB476" s="27" t="s">
        <v>2044</v>
      </c>
      <c r="AC476" s="29" t="s">
        <v>2045</v>
      </c>
    </row>
    <row r="477">
      <c r="AB477" s="27" t="s">
        <v>2046</v>
      </c>
      <c r="AC477" s="29" t="s">
        <v>2047</v>
      </c>
    </row>
    <row r="478">
      <c r="AB478" s="27" t="s">
        <v>2048</v>
      </c>
      <c r="AC478" s="29" t="s">
        <v>2049</v>
      </c>
    </row>
    <row r="479">
      <c r="AB479" s="27" t="s">
        <v>2050</v>
      </c>
      <c r="AC479" s="29" t="s">
        <v>2051</v>
      </c>
    </row>
    <row r="480">
      <c r="AB480" s="27" t="s">
        <v>2052</v>
      </c>
      <c r="AC480" s="29" t="s">
        <v>2053</v>
      </c>
    </row>
    <row r="481">
      <c r="AB481" s="27" t="s">
        <v>2054</v>
      </c>
      <c r="AC481" s="29" t="s">
        <v>2055</v>
      </c>
    </row>
    <row r="482">
      <c r="AB482" s="27" t="s">
        <v>2056</v>
      </c>
      <c r="AC482" s="29" t="s">
        <v>2057</v>
      </c>
    </row>
    <row r="483">
      <c r="AB483" s="27" t="s">
        <v>2058</v>
      </c>
      <c r="AC483" s="29" t="s">
        <v>2059</v>
      </c>
    </row>
    <row r="484">
      <c r="AB484" s="27" t="s">
        <v>2060</v>
      </c>
      <c r="AC484" s="29" t="s">
        <v>2061</v>
      </c>
    </row>
    <row r="485">
      <c r="AB485" s="27" t="s">
        <v>2062</v>
      </c>
      <c r="AC485" s="29" t="s">
        <v>2063</v>
      </c>
    </row>
    <row r="486">
      <c r="AB486" s="27" t="s">
        <v>2064</v>
      </c>
      <c r="AC486" s="29" t="s">
        <v>2065</v>
      </c>
    </row>
    <row r="487">
      <c r="AB487" s="27" t="s">
        <v>2066</v>
      </c>
      <c r="AC487" s="29" t="s">
        <v>2067</v>
      </c>
    </row>
    <row r="488">
      <c r="AB488" s="27" t="s">
        <v>2068</v>
      </c>
      <c r="AC488" s="29" t="s">
        <v>2069</v>
      </c>
    </row>
    <row r="489">
      <c r="AB489" s="27" t="s">
        <v>2070</v>
      </c>
      <c r="AC489" s="29" t="s">
        <v>2071</v>
      </c>
    </row>
    <row r="490">
      <c r="AB490" s="27" t="s">
        <v>2072</v>
      </c>
      <c r="AC490" s="29" t="s">
        <v>2073</v>
      </c>
    </row>
    <row r="491">
      <c r="AB491" s="27" t="s">
        <v>2074</v>
      </c>
      <c r="AC491" s="29" t="s">
        <v>2075</v>
      </c>
    </row>
    <row r="492">
      <c r="AB492" s="27" t="s">
        <v>2076</v>
      </c>
      <c r="AC492" s="29" t="s">
        <v>2077</v>
      </c>
    </row>
    <row r="493">
      <c r="AB493" s="27" t="s">
        <v>2078</v>
      </c>
      <c r="AC493" s="29" t="s">
        <v>2079</v>
      </c>
    </row>
    <row r="494">
      <c r="AB494" s="27" t="s">
        <v>2080</v>
      </c>
      <c r="AC494" s="29" t="s">
        <v>2081</v>
      </c>
    </row>
    <row r="495">
      <c r="AB495" s="27" t="s">
        <v>2082</v>
      </c>
      <c r="AC495" s="29" t="s">
        <v>2083</v>
      </c>
    </row>
    <row r="496">
      <c r="AB496" s="27" t="s">
        <v>2084</v>
      </c>
      <c r="AC496" s="29" t="s">
        <v>2085</v>
      </c>
    </row>
    <row r="497">
      <c r="AB497" s="27" t="s">
        <v>2086</v>
      </c>
      <c r="AC497" s="29" t="s">
        <v>2087</v>
      </c>
    </row>
    <row r="498">
      <c r="AB498" s="27" t="s">
        <v>2088</v>
      </c>
      <c r="AC498" s="29" t="s">
        <v>2089</v>
      </c>
    </row>
    <row r="499">
      <c r="AB499" s="27" t="s">
        <v>2090</v>
      </c>
      <c r="AC499" s="29" t="s">
        <v>2091</v>
      </c>
    </row>
    <row r="500">
      <c r="AB500" s="27" t="s">
        <v>2092</v>
      </c>
      <c r="AC500" s="29" t="s">
        <v>2093</v>
      </c>
    </row>
    <row r="501">
      <c r="AB501" s="27" t="s">
        <v>2094</v>
      </c>
      <c r="AC501" s="29" t="s">
        <v>2095</v>
      </c>
    </row>
    <row r="502">
      <c r="AB502" s="27" t="s">
        <v>2096</v>
      </c>
      <c r="AC502" s="29" t="s">
        <v>2097</v>
      </c>
    </row>
    <row r="503">
      <c r="AB503" s="27" t="s">
        <v>2098</v>
      </c>
      <c r="AC503" s="29" t="s">
        <v>2099</v>
      </c>
    </row>
    <row r="504">
      <c r="AB504" s="27" t="s">
        <v>2100</v>
      </c>
      <c r="AC504" s="29" t="s">
        <v>2101</v>
      </c>
    </row>
    <row r="505">
      <c r="AB505" s="27" t="s">
        <v>2102</v>
      </c>
      <c r="AC505" s="29" t="s">
        <v>2103</v>
      </c>
    </row>
    <row r="506">
      <c r="AB506" s="27" t="s">
        <v>2104</v>
      </c>
      <c r="AC506" s="29" t="s">
        <v>2105</v>
      </c>
    </row>
    <row r="507">
      <c r="AB507" s="27" t="s">
        <v>2106</v>
      </c>
      <c r="AC507" s="29" t="s">
        <v>2107</v>
      </c>
    </row>
    <row r="508">
      <c r="AB508" s="27" t="s">
        <v>2108</v>
      </c>
      <c r="AC508" s="29" t="s">
        <v>2109</v>
      </c>
    </row>
    <row r="509">
      <c r="AB509" s="27" t="s">
        <v>2110</v>
      </c>
      <c r="AC509" s="29" t="s">
        <v>2111</v>
      </c>
    </row>
    <row r="510">
      <c r="AB510" s="27" t="s">
        <v>2112</v>
      </c>
      <c r="AC510" s="29" t="s">
        <v>2113</v>
      </c>
    </row>
    <row r="511">
      <c r="AB511" s="27" t="s">
        <v>2114</v>
      </c>
      <c r="AC511" s="29" t="s">
        <v>2115</v>
      </c>
    </row>
    <row r="512">
      <c r="AB512" s="27" t="s">
        <v>2116</v>
      </c>
      <c r="AC512" s="29" t="s">
        <v>2117</v>
      </c>
    </row>
    <row r="513">
      <c r="AB513" s="27" t="s">
        <v>2118</v>
      </c>
      <c r="AC513" s="29" t="s">
        <v>2119</v>
      </c>
    </row>
    <row r="514">
      <c r="AB514" s="27" t="s">
        <v>2120</v>
      </c>
      <c r="AC514" s="29" t="s">
        <v>2121</v>
      </c>
    </row>
    <row r="515">
      <c r="AB515" s="27" t="s">
        <v>2122</v>
      </c>
      <c r="AC515" s="29" t="s">
        <v>2123</v>
      </c>
    </row>
    <row r="516">
      <c r="AB516" s="27" t="s">
        <v>2124</v>
      </c>
      <c r="AC516" s="29" t="s">
        <v>2125</v>
      </c>
    </row>
    <row r="517">
      <c r="AB517" s="27" t="s">
        <v>2126</v>
      </c>
      <c r="AC517" s="29" t="s">
        <v>2127</v>
      </c>
    </row>
    <row r="518">
      <c r="AB518" s="27" t="s">
        <v>2128</v>
      </c>
      <c r="AC518" s="29" t="s">
        <v>2129</v>
      </c>
    </row>
    <row r="519">
      <c r="AB519" s="27" t="s">
        <v>2130</v>
      </c>
      <c r="AC519" s="29" t="s">
        <v>2131</v>
      </c>
    </row>
    <row r="520">
      <c r="AB520" s="27" t="s">
        <v>2132</v>
      </c>
      <c r="AC520" s="29" t="s">
        <v>2133</v>
      </c>
    </row>
    <row r="521">
      <c r="AB521" s="27" t="s">
        <v>2134</v>
      </c>
      <c r="AC521" s="29" t="s">
        <v>2135</v>
      </c>
    </row>
    <row r="522">
      <c r="AB522" s="27" t="s">
        <v>2136</v>
      </c>
      <c r="AC522" s="29" t="s">
        <v>2137</v>
      </c>
    </row>
    <row r="523">
      <c r="AB523" s="27" t="s">
        <v>2138</v>
      </c>
      <c r="AC523" s="29" t="s">
        <v>2139</v>
      </c>
    </row>
    <row r="524">
      <c r="AB524" s="27" t="s">
        <v>2140</v>
      </c>
      <c r="AC524" s="29" t="s">
        <v>2141</v>
      </c>
    </row>
    <row r="525">
      <c r="AB525" s="27" t="s">
        <v>2142</v>
      </c>
      <c r="AC525" s="29" t="s">
        <v>2143</v>
      </c>
    </row>
    <row r="526">
      <c r="AB526" s="27" t="s">
        <v>2144</v>
      </c>
      <c r="AC526" s="29" t="s">
        <v>2145</v>
      </c>
    </row>
    <row r="527">
      <c r="AB527" s="27" t="s">
        <v>2146</v>
      </c>
      <c r="AC527" s="29" t="s">
        <v>2147</v>
      </c>
    </row>
    <row r="528">
      <c r="AB528" s="27" t="s">
        <v>2148</v>
      </c>
      <c r="AC528" s="29" t="s">
        <v>2149</v>
      </c>
    </row>
    <row r="529">
      <c r="AB529" s="27" t="s">
        <v>2150</v>
      </c>
      <c r="AC529" s="29" t="s">
        <v>2151</v>
      </c>
    </row>
    <row r="530">
      <c r="AB530" s="27" t="s">
        <v>2152</v>
      </c>
      <c r="AC530" s="29" t="s">
        <v>2153</v>
      </c>
    </row>
    <row r="531">
      <c r="AB531" s="27" t="s">
        <v>2154</v>
      </c>
      <c r="AC531" s="29" t="s">
        <v>2155</v>
      </c>
    </row>
    <row r="532">
      <c r="AB532" s="27" t="s">
        <v>2156</v>
      </c>
      <c r="AC532" s="29" t="s">
        <v>2157</v>
      </c>
    </row>
    <row r="533">
      <c r="AB533" s="27" t="s">
        <v>2158</v>
      </c>
      <c r="AC533" s="29" t="s">
        <v>2159</v>
      </c>
    </row>
    <row r="534">
      <c r="AB534" s="27" t="s">
        <v>2160</v>
      </c>
      <c r="AC534" s="29" t="s">
        <v>2161</v>
      </c>
    </row>
    <row r="535">
      <c r="AB535" s="27" t="s">
        <v>2162</v>
      </c>
      <c r="AC535" s="29" t="s">
        <v>2163</v>
      </c>
    </row>
    <row r="536">
      <c r="AB536" s="27" t="s">
        <v>2164</v>
      </c>
      <c r="AC536" s="29" t="s">
        <v>2165</v>
      </c>
    </row>
    <row r="537">
      <c r="AB537" s="27" t="s">
        <v>2166</v>
      </c>
      <c r="AC537" s="29" t="s">
        <v>2167</v>
      </c>
    </row>
    <row r="538">
      <c r="AB538" s="27" t="s">
        <v>2168</v>
      </c>
      <c r="AC538" s="29" t="s">
        <v>2169</v>
      </c>
    </row>
    <row r="539">
      <c r="AB539" s="27" t="s">
        <v>2170</v>
      </c>
      <c r="AC539" s="29" t="s">
        <v>2171</v>
      </c>
    </row>
    <row r="540">
      <c r="AB540" s="27" t="s">
        <v>2172</v>
      </c>
      <c r="AC540" s="29" t="s">
        <v>2173</v>
      </c>
    </row>
    <row r="541">
      <c r="AB541" s="27" t="s">
        <v>2174</v>
      </c>
      <c r="AC541" s="29" t="s">
        <v>2175</v>
      </c>
    </row>
    <row r="542">
      <c r="AB542" s="27" t="s">
        <v>2176</v>
      </c>
      <c r="AC542" s="29" t="s">
        <v>2177</v>
      </c>
    </row>
    <row r="543">
      <c r="AB543" s="27" t="s">
        <v>2178</v>
      </c>
      <c r="AC543" s="29" t="s">
        <v>2179</v>
      </c>
    </row>
    <row r="544">
      <c r="AB544" s="27" t="s">
        <v>2180</v>
      </c>
      <c r="AC544" s="29" t="s">
        <v>2181</v>
      </c>
    </row>
    <row r="545">
      <c r="AB545" s="27" t="s">
        <v>2182</v>
      </c>
      <c r="AC545" s="29" t="s">
        <v>2183</v>
      </c>
    </row>
    <row r="546">
      <c r="AB546" s="27" t="s">
        <v>2184</v>
      </c>
      <c r="AC546" s="29" t="s">
        <v>2185</v>
      </c>
    </row>
    <row r="547">
      <c r="AB547" s="27" t="s">
        <v>2186</v>
      </c>
      <c r="AC547" s="29" t="s">
        <v>2187</v>
      </c>
    </row>
    <row r="548">
      <c r="AB548" s="27" t="s">
        <v>2188</v>
      </c>
      <c r="AC548" s="29" t="s">
        <v>2189</v>
      </c>
    </row>
    <row r="549">
      <c r="AB549" s="27" t="s">
        <v>2190</v>
      </c>
      <c r="AC549" s="29" t="s">
        <v>2191</v>
      </c>
    </row>
    <row r="550">
      <c r="AB550" s="27" t="s">
        <v>2192</v>
      </c>
      <c r="AC550" s="29" t="s">
        <v>2193</v>
      </c>
    </row>
    <row r="551">
      <c r="AB551" s="27" t="s">
        <v>2194</v>
      </c>
      <c r="AC551" s="29" t="s">
        <v>2195</v>
      </c>
    </row>
    <row r="552">
      <c r="AB552" s="27" t="s">
        <v>2196</v>
      </c>
      <c r="AC552" s="29" t="s">
        <v>2197</v>
      </c>
    </row>
    <row r="553">
      <c r="AB553" s="27" t="s">
        <v>2198</v>
      </c>
      <c r="AC553" s="29" t="s">
        <v>2199</v>
      </c>
    </row>
    <row r="554">
      <c r="AB554" s="27" t="s">
        <v>2200</v>
      </c>
      <c r="AC554" s="29" t="s">
        <v>2201</v>
      </c>
    </row>
    <row r="555">
      <c r="AB555" s="27" t="s">
        <v>2202</v>
      </c>
      <c r="AC555" s="29" t="s">
        <v>2203</v>
      </c>
    </row>
    <row r="556">
      <c r="AB556" s="27" t="s">
        <v>2204</v>
      </c>
      <c r="AC556" s="29" t="s">
        <v>2205</v>
      </c>
    </row>
    <row r="557">
      <c r="AB557" s="27" t="s">
        <v>2206</v>
      </c>
      <c r="AC557" s="29" t="s">
        <v>2207</v>
      </c>
    </row>
    <row r="558">
      <c r="AB558" s="27" t="s">
        <v>2208</v>
      </c>
      <c r="AC558" s="29" t="s">
        <v>2209</v>
      </c>
    </row>
    <row r="559">
      <c r="AB559" s="27" t="s">
        <v>2210</v>
      </c>
      <c r="AC559" s="29" t="s">
        <v>2211</v>
      </c>
    </row>
    <row r="560">
      <c r="AB560" s="27" t="s">
        <v>2212</v>
      </c>
      <c r="AC560" s="29" t="s">
        <v>2213</v>
      </c>
    </row>
    <row r="561">
      <c r="AB561" s="27" t="s">
        <v>2214</v>
      </c>
      <c r="AC561" s="29" t="s">
        <v>2215</v>
      </c>
    </row>
    <row r="562">
      <c r="AB562" s="27" t="s">
        <v>2216</v>
      </c>
      <c r="AC562" s="29" t="s">
        <v>2217</v>
      </c>
    </row>
    <row r="563">
      <c r="AB563" s="27" t="s">
        <v>2218</v>
      </c>
      <c r="AC563" s="29" t="s">
        <v>2219</v>
      </c>
    </row>
    <row r="564">
      <c r="AB564" s="27" t="s">
        <v>2220</v>
      </c>
      <c r="AC564" s="29" t="s">
        <v>2221</v>
      </c>
    </row>
    <row r="565">
      <c r="AB565" s="27" t="s">
        <v>2222</v>
      </c>
      <c r="AC565" s="29" t="s">
        <v>2223</v>
      </c>
    </row>
    <row r="566">
      <c r="AB566" s="27" t="s">
        <v>2224</v>
      </c>
      <c r="AC566" s="29" t="s">
        <v>2225</v>
      </c>
    </row>
    <row r="567">
      <c r="AB567" s="27" t="s">
        <v>2226</v>
      </c>
      <c r="AC567" s="29" t="s">
        <v>2227</v>
      </c>
    </row>
    <row r="568">
      <c r="AB568" s="27" t="s">
        <v>2228</v>
      </c>
      <c r="AC568" s="29" t="s">
        <v>2229</v>
      </c>
    </row>
    <row r="569">
      <c r="AB569" s="27" t="s">
        <v>2230</v>
      </c>
      <c r="AC569" s="29" t="s">
        <v>2231</v>
      </c>
    </row>
    <row r="570">
      <c r="AB570" s="27" t="s">
        <v>2232</v>
      </c>
      <c r="AC570" s="29" t="s">
        <v>2233</v>
      </c>
    </row>
    <row r="571">
      <c r="AB571" s="27" t="s">
        <v>2234</v>
      </c>
      <c r="AC571" s="29" t="s">
        <v>2235</v>
      </c>
    </row>
    <row r="572">
      <c r="AB572" s="27" t="s">
        <v>2236</v>
      </c>
      <c r="AC572" s="29" t="s">
        <v>2237</v>
      </c>
    </row>
    <row r="573">
      <c r="AB573" s="27" t="s">
        <v>2238</v>
      </c>
      <c r="AC573" s="29" t="s">
        <v>2239</v>
      </c>
    </row>
    <row r="574">
      <c r="AB574" s="27" t="s">
        <v>2240</v>
      </c>
      <c r="AC574" s="29" t="s">
        <v>2241</v>
      </c>
    </row>
    <row r="575">
      <c r="AB575" s="27" t="s">
        <v>2242</v>
      </c>
      <c r="AC575" s="29" t="s">
        <v>2243</v>
      </c>
    </row>
    <row r="576">
      <c r="AB576" s="27" t="s">
        <v>2244</v>
      </c>
      <c r="AC576" s="29" t="s">
        <v>2245</v>
      </c>
    </row>
    <row r="577">
      <c r="AB577" s="27" t="s">
        <v>2246</v>
      </c>
      <c r="AC577" s="29" t="s">
        <v>2247</v>
      </c>
    </row>
    <row r="578">
      <c r="AB578" s="27" t="s">
        <v>2248</v>
      </c>
      <c r="AC578" s="29" t="s">
        <v>2249</v>
      </c>
    </row>
    <row r="579">
      <c r="AB579" s="27" t="s">
        <v>2250</v>
      </c>
      <c r="AC579" s="29" t="s">
        <v>2251</v>
      </c>
    </row>
    <row r="580">
      <c r="AB580" s="27" t="s">
        <v>2252</v>
      </c>
      <c r="AC580" s="29" t="s">
        <v>2253</v>
      </c>
    </row>
    <row r="581">
      <c r="AB581" s="27" t="s">
        <v>2254</v>
      </c>
      <c r="AC581" s="29" t="s">
        <v>2255</v>
      </c>
    </row>
    <row r="582">
      <c r="AB582" s="27" t="s">
        <v>2256</v>
      </c>
      <c r="AC582" s="29" t="s">
        <v>2257</v>
      </c>
    </row>
    <row r="583">
      <c r="AB583" s="27" t="s">
        <v>2258</v>
      </c>
      <c r="AC583" s="29" t="s">
        <v>2259</v>
      </c>
    </row>
    <row r="584">
      <c r="AB584" s="27" t="s">
        <v>2260</v>
      </c>
      <c r="AC584" s="29" t="s">
        <v>2261</v>
      </c>
    </row>
    <row r="585">
      <c r="AB585" s="27" t="s">
        <v>2262</v>
      </c>
      <c r="AC585" s="29" t="s">
        <v>2263</v>
      </c>
    </row>
    <row r="586">
      <c r="AB586" s="27" t="s">
        <v>2264</v>
      </c>
      <c r="AC586" s="29" t="s">
        <v>2265</v>
      </c>
    </row>
    <row r="587">
      <c r="AB587" s="27" t="s">
        <v>2266</v>
      </c>
      <c r="AC587" s="29" t="s">
        <v>2267</v>
      </c>
    </row>
    <row r="588">
      <c r="AB588" s="27" t="s">
        <v>2268</v>
      </c>
      <c r="AC588" s="29" t="s">
        <v>2269</v>
      </c>
    </row>
    <row r="589">
      <c r="AB589" s="27" t="s">
        <v>2270</v>
      </c>
      <c r="AC589" s="29" t="s">
        <v>2271</v>
      </c>
    </row>
    <row r="590">
      <c r="AB590" s="27" t="s">
        <v>2272</v>
      </c>
      <c r="AC590" s="29" t="s">
        <v>2273</v>
      </c>
    </row>
    <row r="591">
      <c r="AB591" s="27" t="s">
        <v>2274</v>
      </c>
      <c r="AC591" s="29" t="s">
        <v>2275</v>
      </c>
    </row>
    <row r="592">
      <c r="AB592" s="27" t="s">
        <v>2276</v>
      </c>
      <c r="AC592" s="29" t="s">
        <v>2277</v>
      </c>
    </row>
    <row r="593">
      <c r="AB593" s="27" t="s">
        <v>2278</v>
      </c>
      <c r="AC593" s="29" t="s">
        <v>2279</v>
      </c>
    </row>
    <row r="594">
      <c r="AB594" s="27" t="s">
        <v>2280</v>
      </c>
      <c r="AC594" s="29" t="s">
        <v>2281</v>
      </c>
    </row>
    <row r="595">
      <c r="AB595" s="27" t="s">
        <v>2282</v>
      </c>
      <c r="AC595" s="29" t="s">
        <v>2283</v>
      </c>
    </row>
    <row r="596">
      <c r="AB596" s="27" t="s">
        <v>2284</v>
      </c>
      <c r="AC596" s="29" t="s">
        <v>2285</v>
      </c>
    </row>
    <row r="597">
      <c r="AB597" s="27" t="s">
        <v>2286</v>
      </c>
      <c r="AC597" s="29" t="s">
        <v>2287</v>
      </c>
    </row>
    <row r="598">
      <c r="AB598" s="27" t="s">
        <v>2288</v>
      </c>
      <c r="AC598" s="29" t="s">
        <v>2289</v>
      </c>
    </row>
    <row r="599">
      <c r="AB599" s="27" t="s">
        <v>370</v>
      </c>
      <c r="AC599" s="29" t="s">
        <v>2290</v>
      </c>
    </row>
    <row r="600">
      <c r="AB600" s="27" t="s">
        <v>2291</v>
      </c>
      <c r="AC600" s="29" t="s">
        <v>2292</v>
      </c>
    </row>
    <row r="601">
      <c r="AB601" s="27" t="s">
        <v>2293</v>
      </c>
      <c r="AC601" s="29" t="s">
        <v>2294</v>
      </c>
    </row>
    <row r="602">
      <c r="AB602" s="27" t="s">
        <v>2295</v>
      </c>
      <c r="AC602" s="29" t="s">
        <v>2296</v>
      </c>
    </row>
    <row r="603">
      <c r="AB603" s="27" t="s">
        <v>2297</v>
      </c>
      <c r="AC603" s="29" t="s">
        <v>2298</v>
      </c>
    </row>
    <row r="604">
      <c r="AB604" s="27" t="s">
        <v>2299</v>
      </c>
      <c r="AC604" s="29" t="s">
        <v>2300</v>
      </c>
    </row>
    <row r="605">
      <c r="AB605" s="27" t="s">
        <v>2301</v>
      </c>
      <c r="AC605" s="29" t="s">
        <v>2302</v>
      </c>
    </row>
    <row r="606">
      <c r="AB606" s="27" t="s">
        <v>2303</v>
      </c>
      <c r="AC606" s="29" t="s">
        <v>2304</v>
      </c>
    </row>
    <row r="607">
      <c r="AB607" s="27" t="s">
        <v>2305</v>
      </c>
      <c r="AC607" s="29" t="s">
        <v>2306</v>
      </c>
    </row>
    <row r="608">
      <c r="AB608" s="27" t="s">
        <v>2307</v>
      </c>
      <c r="AC608" s="29" t="s">
        <v>2308</v>
      </c>
    </row>
    <row r="609">
      <c r="AB609" s="27" t="s">
        <v>2309</v>
      </c>
      <c r="AC609" s="29" t="s">
        <v>2310</v>
      </c>
    </row>
    <row r="610">
      <c r="AB610" s="27" t="s">
        <v>2311</v>
      </c>
      <c r="AC610" s="29" t="s">
        <v>2312</v>
      </c>
    </row>
    <row r="611">
      <c r="AB611" s="27" t="s">
        <v>2313</v>
      </c>
      <c r="AC611" s="29" t="s">
        <v>2314</v>
      </c>
    </row>
    <row r="612">
      <c r="AB612" s="27" t="s">
        <v>2315</v>
      </c>
      <c r="AC612" s="29" t="s">
        <v>2316</v>
      </c>
    </row>
    <row r="613">
      <c r="AB613" s="27" t="s">
        <v>2317</v>
      </c>
      <c r="AC613" s="29" t="s">
        <v>2318</v>
      </c>
    </row>
    <row r="614">
      <c r="AB614" s="27" t="s">
        <v>2319</v>
      </c>
      <c r="AC614" s="29" t="s">
        <v>2320</v>
      </c>
    </row>
    <row r="615">
      <c r="AB615" s="27" t="s">
        <v>2321</v>
      </c>
      <c r="AC615" s="29" t="s">
        <v>2322</v>
      </c>
    </row>
    <row r="616">
      <c r="AB616" s="27" t="s">
        <v>2323</v>
      </c>
      <c r="AC616" s="29" t="s">
        <v>2324</v>
      </c>
    </row>
    <row r="617">
      <c r="AB617" s="27" t="s">
        <v>2325</v>
      </c>
      <c r="AC617" s="29" t="s">
        <v>2326</v>
      </c>
    </row>
    <row r="618">
      <c r="AB618" s="27" t="s">
        <v>2327</v>
      </c>
      <c r="AC618" s="29" t="s">
        <v>2328</v>
      </c>
    </row>
    <row r="619">
      <c r="AB619" s="27" t="s">
        <v>2329</v>
      </c>
      <c r="AC619" s="29" t="s">
        <v>2330</v>
      </c>
    </row>
    <row r="620">
      <c r="AB620" s="27" t="s">
        <v>2331</v>
      </c>
      <c r="AC620" s="29" t="s">
        <v>2332</v>
      </c>
    </row>
    <row r="621">
      <c r="AB621" s="27" t="s">
        <v>2333</v>
      </c>
      <c r="AC621" s="29" t="s">
        <v>2334</v>
      </c>
    </row>
    <row r="622">
      <c r="AB622" s="27" t="s">
        <v>2335</v>
      </c>
      <c r="AC622" s="29" t="s">
        <v>2336</v>
      </c>
    </row>
    <row r="623">
      <c r="AB623" s="27" t="s">
        <v>2337</v>
      </c>
      <c r="AC623" s="29" t="s">
        <v>2338</v>
      </c>
    </row>
    <row r="624">
      <c r="AB624" s="27" t="s">
        <v>2339</v>
      </c>
      <c r="AC624" s="29" t="s">
        <v>2340</v>
      </c>
    </row>
    <row r="625">
      <c r="AB625" s="27" t="s">
        <v>2341</v>
      </c>
      <c r="AC625" s="29" t="s">
        <v>2342</v>
      </c>
    </row>
    <row r="626">
      <c r="AB626" s="27" t="s">
        <v>2343</v>
      </c>
      <c r="AC626" s="29" t="s">
        <v>2344</v>
      </c>
    </row>
    <row r="627">
      <c r="AB627" s="27" t="s">
        <v>2345</v>
      </c>
      <c r="AC627" s="29" t="s">
        <v>2346</v>
      </c>
    </row>
    <row r="628">
      <c r="AB628" s="27" t="s">
        <v>2347</v>
      </c>
      <c r="AC628" s="29" t="s">
        <v>2348</v>
      </c>
    </row>
    <row r="629">
      <c r="AB629" s="27" t="s">
        <v>2349</v>
      </c>
      <c r="AC629" s="29" t="s">
        <v>2350</v>
      </c>
    </row>
    <row r="630">
      <c r="AB630" s="27" t="s">
        <v>2351</v>
      </c>
      <c r="AC630" s="29" t="s">
        <v>2352</v>
      </c>
    </row>
    <row r="631">
      <c r="AB631" s="27" t="s">
        <v>2353</v>
      </c>
      <c r="AC631" s="29" t="s">
        <v>2354</v>
      </c>
    </row>
    <row r="632">
      <c r="AB632" s="27" t="s">
        <v>2355</v>
      </c>
      <c r="AC632" s="29" t="s">
        <v>2356</v>
      </c>
    </row>
    <row r="633">
      <c r="AB633" s="27" t="s">
        <v>2357</v>
      </c>
      <c r="AC633" s="29" t="s">
        <v>2358</v>
      </c>
    </row>
    <row r="634">
      <c r="AB634" s="27" t="s">
        <v>2359</v>
      </c>
      <c r="AC634" s="29" t="s">
        <v>2360</v>
      </c>
    </row>
    <row r="635">
      <c r="AB635" s="27" t="s">
        <v>2361</v>
      </c>
      <c r="AC635" s="29" t="s">
        <v>2362</v>
      </c>
    </row>
    <row r="636">
      <c r="AB636" s="27" t="s">
        <v>2363</v>
      </c>
      <c r="AC636" s="29" t="s">
        <v>2364</v>
      </c>
    </row>
    <row r="637">
      <c r="AB637" s="27" t="s">
        <v>2365</v>
      </c>
      <c r="AC637" s="29" t="s">
        <v>2366</v>
      </c>
    </row>
    <row r="638">
      <c r="AB638" s="27" t="s">
        <v>2367</v>
      </c>
      <c r="AC638" s="29" t="s">
        <v>2368</v>
      </c>
    </row>
    <row r="639">
      <c r="AB639" s="27" t="s">
        <v>2369</v>
      </c>
      <c r="AC639" s="29" t="s">
        <v>2370</v>
      </c>
    </row>
    <row r="640">
      <c r="AB640" s="27" t="s">
        <v>2371</v>
      </c>
      <c r="AC640" s="29" t="s">
        <v>2372</v>
      </c>
    </row>
    <row r="641">
      <c r="AB641" s="27" t="s">
        <v>2373</v>
      </c>
      <c r="AC641" s="29" t="s">
        <v>2374</v>
      </c>
    </row>
    <row r="642">
      <c r="AB642" s="27" t="s">
        <v>2375</v>
      </c>
      <c r="AC642" s="29" t="s">
        <v>2376</v>
      </c>
    </row>
    <row r="643">
      <c r="AB643" s="27" t="s">
        <v>2377</v>
      </c>
      <c r="AC643" s="29" t="s">
        <v>2378</v>
      </c>
    </row>
    <row r="644">
      <c r="AB644" s="27" t="s">
        <v>2379</v>
      </c>
      <c r="AC644" s="29" t="s">
        <v>2380</v>
      </c>
    </row>
    <row r="645">
      <c r="AB645" s="27" t="s">
        <v>2381</v>
      </c>
      <c r="AC645" s="29" t="s">
        <v>2382</v>
      </c>
    </row>
    <row r="646">
      <c r="AB646" s="27" t="s">
        <v>2383</v>
      </c>
      <c r="AC646" s="29" t="s">
        <v>2384</v>
      </c>
    </row>
    <row r="647">
      <c r="AB647" s="27" t="s">
        <v>2385</v>
      </c>
      <c r="AC647" s="29" t="s">
        <v>2386</v>
      </c>
    </row>
    <row r="648">
      <c r="AB648" s="27" t="s">
        <v>2387</v>
      </c>
      <c r="AC648" s="29" t="s">
        <v>2388</v>
      </c>
    </row>
    <row r="649">
      <c r="AB649" s="27" t="s">
        <v>2389</v>
      </c>
      <c r="AC649" s="29" t="s">
        <v>2390</v>
      </c>
    </row>
    <row r="650">
      <c r="AB650" s="27" t="s">
        <v>2391</v>
      </c>
      <c r="AC650" s="29" t="s">
        <v>2392</v>
      </c>
    </row>
    <row r="651">
      <c r="AB651" s="27" t="s">
        <v>2393</v>
      </c>
      <c r="AC651" s="29" t="s">
        <v>2394</v>
      </c>
    </row>
    <row r="652">
      <c r="AB652" s="27" t="s">
        <v>2395</v>
      </c>
      <c r="AC652" s="29" t="s">
        <v>2396</v>
      </c>
    </row>
    <row r="653">
      <c r="AB653" s="27" t="s">
        <v>2397</v>
      </c>
      <c r="AC653" s="29" t="s">
        <v>2398</v>
      </c>
    </row>
    <row r="654">
      <c r="AB654" s="27" t="s">
        <v>2399</v>
      </c>
      <c r="AC654" s="29" t="s">
        <v>2400</v>
      </c>
    </row>
    <row r="655">
      <c r="AB655" s="27" t="s">
        <v>2401</v>
      </c>
      <c r="AC655" s="29" t="s">
        <v>2402</v>
      </c>
    </row>
    <row r="656">
      <c r="AB656" s="27" t="s">
        <v>2403</v>
      </c>
      <c r="AC656" s="29" t="s">
        <v>2404</v>
      </c>
    </row>
    <row r="657">
      <c r="AB657" s="27" t="s">
        <v>2405</v>
      </c>
      <c r="AC657" s="29" t="s">
        <v>2406</v>
      </c>
    </row>
    <row r="658">
      <c r="AB658" s="27" t="s">
        <v>2407</v>
      </c>
      <c r="AC658" s="29" t="s">
        <v>2408</v>
      </c>
    </row>
    <row r="659">
      <c r="AB659" s="27" t="s">
        <v>2409</v>
      </c>
      <c r="AC659" s="29" t="s">
        <v>2410</v>
      </c>
    </row>
    <row r="660">
      <c r="AB660" s="27" t="s">
        <v>2411</v>
      </c>
      <c r="AC660" s="29" t="s">
        <v>2412</v>
      </c>
    </row>
    <row r="661">
      <c r="AB661" s="27" t="s">
        <v>2413</v>
      </c>
      <c r="AC661" s="29" t="s">
        <v>2414</v>
      </c>
    </row>
    <row r="662">
      <c r="AB662" s="27" t="s">
        <v>2415</v>
      </c>
      <c r="AC662" s="29" t="s">
        <v>2416</v>
      </c>
    </row>
    <row r="663">
      <c r="AB663" s="27" t="s">
        <v>2417</v>
      </c>
      <c r="AC663" s="29" t="s">
        <v>2418</v>
      </c>
    </row>
    <row r="664">
      <c r="AB664" s="27" t="s">
        <v>2419</v>
      </c>
      <c r="AC664" s="29" t="s">
        <v>2420</v>
      </c>
    </row>
    <row r="665">
      <c r="AB665" s="27" t="s">
        <v>2421</v>
      </c>
      <c r="AC665" s="29" t="s">
        <v>2422</v>
      </c>
    </row>
    <row r="666">
      <c r="AB666" s="27" t="s">
        <v>2423</v>
      </c>
      <c r="AC666" s="29" t="s">
        <v>2424</v>
      </c>
    </row>
    <row r="667">
      <c r="AB667" s="27" t="s">
        <v>2425</v>
      </c>
      <c r="AC667" s="29" t="s">
        <v>2426</v>
      </c>
    </row>
    <row r="668">
      <c r="AB668" s="27" t="s">
        <v>2427</v>
      </c>
      <c r="AC668" s="29" t="s">
        <v>2428</v>
      </c>
    </row>
    <row r="669">
      <c r="AB669" s="27" t="s">
        <v>2429</v>
      </c>
      <c r="AC669" s="29" t="s">
        <v>2430</v>
      </c>
    </row>
    <row r="670">
      <c r="AB670" s="27" t="s">
        <v>2431</v>
      </c>
      <c r="AC670" s="29" t="s">
        <v>2432</v>
      </c>
    </row>
    <row r="671">
      <c r="AB671" s="27" t="s">
        <v>2433</v>
      </c>
      <c r="AC671" s="29" t="s">
        <v>2434</v>
      </c>
    </row>
    <row r="672">
      <c r="AB672" s="27" t="s">
        <v>2435</v>
      </c>
      <c r="AC672" s="29" t="s">
        <v>2436</v>
      </c>
    </row>
    <row r="673">
      <c r="AB673" s="27" t="s">
        <v>2437</v>
      </c>
      <c r="AC673" s="29" t="s">
        <v>2438</v>
      </c>
    </row>
    <row r="674">
      <c r="AB674" s="27" t="s">
        <v>2439</v>
      </c>
      <c r="AC674" s="29" t="s">
        <v>2440</v>
      </c>
    </row>
    <row r="675">
      <c r="AB675" s="27" t="s">
        <v>2441</v>
      </c>
      <c r="AC675" s="29" t="s">
        <v>2442</v>
      </c>
    </row>
    <row r="676">
      <c r="AB676" s="27" t="s">
        <v>2443</v>
      </c>
      <c r="AC676" s="29" t="s">
        <v>2444</v>
      </c>
    </row>
    <row r="677">
      <c r="AB677" s="27" t="s">
        <v>2445</v>
      </c>
      <c r="AC677" s="29" t="s">
        <v>2446</v>
      </c>
    </row>
    <row r="678">
      <c r="AB678" s="27" t="s">
        <v>2447</v>
      </c>
      <c r="AC678" s="29" t="s">
        <v>2448</v>
      </c>
    </row>
    <row r="679">
      <c r="AB679" s="27" t="s">
        <v>2449</v>
      </c>
      <c r="AC679" s="29" t="s">
        <v>2450</v>
      </c>
    </row>
    <row r="680">
      <c r="AB680" s="27" t="s">
        <v>2451</v>
      </c>
      <c r="AC680" s="29" t="s">
        <v>2452</v>
      </c>
    </row>
    <row r="681">
      <c r="AB681" s="27" t="s">
        <v>2453</v>
      </c>
      <c r="AC681" s="29" t="s">
        <v>2454</v>
      </c>
    </row>
    <row r="682">
      <c r="AB682" s="27" t="s">
        <v>2455</v>
      </c>
      <c r="AC682" s="29" t="s">
        <v>2456</v>
      </c>
    </row>
    <row r="683">
      <c r="AB683" s="27" t="s">
        <v>2457</v>
      </c>
      <c r="AC683" s="29" t="s">
        <v>2458</v>
      </c>
    </row>
    <row r="684">
      <c r="AB684" s="27" t="s">
        <v>2459</v>
      </c>
      <c r="AC684" s="29" t="s">
        <v>2460</v>
      </c>
    </row>
    <row r="685">
      <c r="AB685" s="27" t="s">
        <v>2461</v>
      </c>
      <c r="AC685" s="29" t="s">
        <v>2462</v>
      </c>
    </row>
    <row r="686">
      <c r="AB686" s="27" t="s">
        <v>2463</v>
      </c>
      <c r="AC686" s="29" t="s">
        <v>2464</v>
      </c>
    </row>
    <row r="687">
      <c r="AB687" s="27" t="s">
        <v>2465</v>
      </c>
      <c r="AC687" s="29" t="s">
        <v>2466</v>
      </c>
    </row>
    <row r="688">
      <c r="AB688" s="27" t="s">
        <v>2467</v>
      </c>
      <c r="AC688" s="29" t="s">
        <v>2468</v>
      </c>
    </row>
    <row r="689">
      <c r="AB689" s="27" t="s">
        <v>2469</v>
      </c>
      <c r="AC689" s="29" t="s">
        <v>2470</v>
      </c>
    </row>
    <row r="690">
      <c r="AB690" s="27" t="s">
        <v>2471</v>
      </c>
      <c r="AC690" s="29" t="s">
        <v>2472</v>
      </c>
    </row>
    <row r="691">
      <c r="AB691" s="27" t="s">
        <v>2473</v>
      </c>
      <c r="AC691" s="29" t="s">
        <v>2474</v>
      </c>
    </row>
    <row r="692">
      <c r="AB692" s="27" t="s">
        <v>2475</v>
      </c>
      <c r="AC692" s="29" t="s">
        <v>2476</v>
      </c>
    </row>
    <row r="693">
      <c r="AB693" s="27" t="s">
        <v>2477</v>
      </c>
      <c r="AC693" s="29" t="s">
        <v>2478</v>
      </c>
    </row>
    <row r="694">
      <c r="AB694" s="27" t="s">
        <v>2479</v>
      </c>
      <c r="AC694" s="29" t="s">
        <v>2480</v>
      </c>
    </row>
    <row r="695">
      <c r="AB695" s="27" t="s">
        <v>2481</v>
      </c>
      <c r="AC695" s="29" t="s">
        <v>2482</v>
      </c>
    </row>
    <row r="696">
      <c r="AB696" s="27" t="s">
        <v>2483</v>
      </c>
      <c r="AC696" s="29" t="s">
        <v>2484</v>
      </c>
    </row>
    <row r="697">
      <c r="AB697" s="27" t="s">
        <v>2485</v>
      </c>
      <c r="AC697" s="29" t="s">
        <v>2486</v>
      </c>
    </row>
    <row r="698">
      <c r="AB698" s="27" t="s">
        <v>2487</v>
      </c>
      <c r="AC698" s="29" t="s">
        <v>2488</v>
      </c>
    </row>
    <row r="699">
      <c r="AB699" s="27" t="s">
        <v>2489</v>
      </c>
      <c r="AC699" s="29" t="s">
        <v>2490</v>
      </c>
    </row>
    <row r="700">
      <c r="AB700" s="27" t="s">
        <v>2491</v>
      </c>
      <c r="AC700" s="29" t="s">
        <v>2492</v>
      </c>
    </row>
    <row r="701">
      <c r="AB701" s="27" t="s">
        <v>2493</v>
      </c>
      <c r="AC701" s="29" t="s">
        <v>2494</v>
      </c>
    </row>
    <row r="702">
      <c r="AB702" s="27" t="s">
        <v>2495</v>
      </c>
      <c r="AC702" s="29" t="s">
        <v>2496</v>
      </c>
    </row>
    <row r="703">
      <c r="AB703" s="27" t="s">
        <v>2497</v>
      </c>
      <c r="AC703" s="29" t="s">
        <v>2498</v>
      </c>
    </row>
    <row r="704">
      <c r="AB704" s="27" t="s">
        <v>2499</v>
      </c>
      <c r="AC704" s="29" t="s">
        <v>2500</v>
      </c>
    </row>
    <row r="705">
      <c r="AB705" s="27" t="s">
        <v>2501</v>
      </c>
      <c r="AC705" s="29" t="s">
        <v>2502</v>
      </c>
    </row>
    <row r="706">
      <c r="AB706" s="27" t="s">
        <v>2503</v>
      </c>
      <c r="AC706" s="29" t="s">
        <v>2504</v>
      </c>
    </row>
    <row r="707">
      <c r="AB707" s="27" t="s">
        <v>2505</v>
      </c>
      <c r="AC707" s="29" t="s">
        <v>2506</v>
      </c>
    </row>
    <row r="708">
      <c r="AB708" s="27" t="s">
        <v>2507</v>
      </c>
      <c r="AC708" s="29" t="s">
        <v>2508</v>
      </c>
    </row>
    <row r="709">
      <c r="AB709" s="27" t="s">
        <v>2509</v>
      </c>
      <c r="AC709" s="29" t="s">
        <v>2510</v>
      </c>
    </row>
    <row r="710">
      <c r="AB710" s="27" t="s">
        <v>2511</v>
      </c>
      <c r="AC710" s="29" t="s">
        <v>2512</v>
      </c>
    </row>
    <row r="711">
      <c r="AB711" s="27" t="s">
        <v>2513</v>
      </c>
      <c r="AC711" s="29" t="s">
        <v>2514</v>
      </c>
    </row>
    <row r="712">
      <c r="AB712" s="27" t="s">
        <v>2515</v>
      </c>
      <c r="AC712" s="29" t="s">
        <v>2516</v>
      </c>
    </row>
    <row r="713">
      <c r="AB713" s="27" t="s">
        <v>2517</v>
      </c>
      <c r="AC713" s="29" t="s">
        <v>2518</v>
      </c>
    </row>
    <row r="714">
      <c r="AB714" s="27" t="s">
        <v>2519</v>
      </c>
      <c r="AC714" s="29" t="s">
        <v>2520</v>
      </c>
    </row>
    <row r="715">
      <c r="AB715" s="27" t="s">
        <v>2521</v>
      </c>
      <c r="AC715" s="29" t="s">
        <v>2522</v>
      </c>
    </row>
    <row r="716">
      <c r="AB716" s="27" t="s">
        <v>2523</v>
      </c>
      <c r="AC716" s="29" t="s">
        <v>2524</v>
      </c>
    </row>
    <row r="717">
      <c r="AB717" s="27" t="s">
        <v>2525</v>
      </c>
      <c r="AC717" s="29" t="s">
        <v>2526</v>
      </c>
    </row>
    <row r="718">
      <c r="AB718" s="27" t="s">
        <v>2527</v>
      </c>
      <c r="AC718" s="29" t="s">
        <v>2528</v>
      </c>
    </row>
    <row r="719">
      <c r="AB719" s="27" t="s">
        <v>2529</v>
      </c>
      <c r="AC719" s="29" t="s">
        <v>2530</v>
      </c>
    </row>
    <row r="720">
      <c r="AB720" s="27" t="s">
        <v>2531</v>
      </c>
      <c r="AC720" s="29" t="s">
        <v>2532</v>
      </c>
    </row>
    <row r="721">
      <c r="AB721" s="27" t="s">
        <v>2533</v>
      </c>
      <c r="AC721" s="29" t="s">
        <v>2534</v>
      </c>
    </row>
    <row r="722">
      <c r="AB722" s="27" t="s">
        <v>2535</v>
      </c>
      <c r="AC722" s="29" t="s">
        <v>2536</v>
      </c>
    </row>
    <row r="723">
      <c r="AB723" s="27" t="s">
        <v>2537</v>
      </c>
      <c r="AC723" s="29" t="s">
        <v>2538</v>
      </c>
    </row>
    <row r="724">
      <c r="AB724" s="27" t="s">
        <v>2539</v>
      </c>
      <c r="AC724" s="29" t="s">
        <v>2540</v>
      </c>
    </row>
    <row r="725">
      <c r="AB725" s="27" t="s">
        <v>2541</v>
      </c>
      <c r="AC725" s="29" t="s">
        <v>2542</v>
      </c>
    </row>
    <row r="726">
      <c r="AB726" s="27" t="s">
        <v>2543</v>
      </c>
      <c r="AC726" s="29" t="s">
        <v>2544</v>
      </c>
    </row>
    <row r="727">
      <c r="AB727" s="27" t="s">
        <v>2545</v>
      </c>
      <c r="AC727" s="29" t="s">
        <v>2546</v>
      </c>
    </row>
    <row r="728">
      <c r="AB728" s="27" t="s">
        <v>2547</v>
      </c>
      <c r="AC728" s="29" t="s">
        <v>2548</v>
      </c>
    </row>
    <row r="729">
      <c r="AB729" s="27" t="s">
        <v>2549</v>
      </c>
      <c r="AC729" s="29" t="s">
        <v>2550</v>
      </c>
    </row>
    <row r="730">
      <c r="AB730" s="27" t="s">
        <v>2551</v>
      </c>
      <c r="AC730" s="29" t="s">
        <v>2552</v>
      </c>
    </row>
    <row r="731">
      <c r="AB731" s="27" t="s">
        <v>2553</v>
      </c>
      <c r="AC731" s="29" t="s">
        <v>2554</v>
      </c>
    </row>
    <row r="732">
      <c r="AB732" s="27" t="s">
        <v>2555</v>
      </c>
      <c r="AC732" s="29" t="s">
        <v>2556</v>
      </c>
    </row>
    <row r="733">
      <c r="AB733" s="27" t="s">
        <v>2557</v>
      </c>
      <c r="AC733" s="29" t="s">
        <v>2558</v>
      </c>
    </row>
    <row r="734">
      <c r="AB734" s="27" t="s">
        <v>2559</v>
      </c>
      <c r="AC734" s="29" t="s">
        <v>2560</v>
      </c>
    </row>
    <row r="735">
      <c r="AB735" s="27" t="s">
        <v>2561</v>
      </c>
      <c r="AC735" s="29" t="s">
        <v>2562</v>
      </c>
    </row>
    <row r="736">
      <c r="AB736" s="27" t="s">
        <v>2563</v>
      </c>
      <c r="AC736" s="29" t="s">
        <v>2564</v>
      </c>
    </row>
    <row r="737">
      <c r="AB737" s="27" t="s">
        <v>2565</v>
      </c>
      <c r="AC737" s="29" t="s">
        <v>2566</v>
      </c>
    </row>
    <row r="738">
      <c r="AB738" s="27" t="s">
        <v>2567</v>
      </c>
      <c r="AC738" s="29" t="s">
        <v>2568</v>
      </c>
    </row>
    <row r="739">
      <c r="AB739" s="27" t="s">
        <v>2569</v>
      </c>
      <c r="AC739" s="29" t="s">
        <v>2570</v>
      </c>
    </row>
    <row r="740">
      <c r="AB740" s="27" t="s">
        <v>2571</v>
      </c>
      <c r="AC740" s="29" t="s">
        <v>2572</v>
      </c>
    </row>
    <row r="741">
      <c r="AB741" s="27" t="s">
        <v>2573</v>
      </c>
      <c r="AC741" s="29" t="s">
        <v>2574</v>
      </c>
    </row>
    <row r="742">
      <c r="AB742" s="27" t="s">
        <v>2575</v>
      </c>
      <c r="AC742" s="29" t="s">
        <v>2576</v>
      </c>
    </row>
    <row r="743">
      <c r="AB743" s="27" t="s">
        <v>2577</v>
      </c>
      <c r="AC743" s="29" t="s">
        <v>2578</v>
      </c>
    </row>
    <row r="744">
      <c r="AB744" s="27" t="s">
        <v>2579</v>
      </c>
      <c r="AC744" s="29" t="s">
        <v>2580</v>
      </c>
    </row>
    <row r="745">
      <c r="AB745" s="27" t="s">
        <v>2581</v>
      </c>
      <c r="AC745" s="29" t="s">
        <v>2582</v>
      </c>
    </row>
    <row r="746">
      <c r="AB746" s="27" t="s">
        <v>2583</v>
      </c>
      <c r="AC746" s="29" t="s">
        <v>2584</v>
      </c>
    </row>
    <row r="747">
      <c r="AB747" s="27" t="s">
        <v>2585</v>
      </c>
      <c r="AC747" s="29" t="s">
        <v>2586</v>
      </c>
    </row>
    <row r="748">
      <c r="AB748" s="27" t="s">
        <v>2587</v>
      </c>
      <c r="AC748" s="29" t="s">
        <v>2588</v>
      </c>
    </row>
    <row r="749">
      <c r="AB749" s="27" t="s">
        <v>2589</v>
      </c>
      <c r="AC749" s="29" t="s">
        <v>2590</v>
      </c>
    </row>
    <row r="750">
      <c r="AB750" s="27" t="s">
        <v>2591</v>
      </c>
      <c r="AC750" s="29" t="s">
        <v>2592</v>
      </c>
    </row>
    <row r="751">
      <c r="AB751" s="27" t="s">
        <v>2593</v>
      </c>
      <c r="AC751" s="29" t="s">
        <v>2594</v>
      </c>
    </row>
    <row r="752">
      <c r="AB752" s="27" t="s">
        <v>2595</v>
      </c>
      <c r="AC752" s="29" t="s">
        <v>2596</v>
      </c>
    </row>
    <row r="753">
      <c r="AB753" s="27" t="s">
        <v>2597</v>
      </c>
      <c r="AC753" s="29" t="s">
        <v>2598</v>
      </c>
    </row>
    <row r="754">
      <c r="AB754" s="27" t="s">
        <v>2599</v>
      </c>
      <c r="AC754" s="29" t="s">
        <v>2600</v>
      </c>
    </row>
    <row r="755">
      <c r="AB755" s="27" t="s">
        <v>2601</v>
      </c>
      <c r="AC755" s="29" t="s">
        <v>2602</v>
      </c>
    </row>
    <row r="756">
      <c r="AB756" s="27" t="s">
        <v>2603</v>
      </c>
      <c r="AC756" s="29" t="s">
        <v>2604</v>
      </c>
    </row>
    <row r="757">
      <c r="AB757" s="27" t="s">
        <v>2605</v>
      </c>
      <c r="AC757" s="29" t="s">
        <v>2606</v>
      </c>
    </row>
    <row r="758">
      <c r="AB758" s="27" t="s">
        <v>2607</v>
      </c>
      <c r="AC758" s="29" t="s">
        <v>2608</v>
      </c>
    </row>
    <row r="759">
      <c r="AB759" s="27" t="s">
        <v>2609</v>
      </c>
      <c r="AC759" s="29" t="s">
        <v>2610</v>
      </c>
    </row>
    <row r="760">
      <c r="AB760" s="27" t="s">
        <v>2611</v>
      </c>
      <c r="AC760" s="29" t="s">
        <v>2612</v>
      </c>
    </row>
    <row r="761">
      <c r="AB761" s="27" t="s">
        <v>2613</v>
      </c>
      <c r="AC761" s="29" t="s">
        <v>2614</v>
      </c>
    </row>
  </sheetData>
  <sheetProtection password="9D45" sheet="1" objects="1" scenarios="1"/>
  <pageMargins left="0.7" right="0.7" top="0.75" bottom="0.75" header="0.3" footer="0.3"/>
  <pageSetup orientation="portrait"/>
  <headerFooter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29</vt:i4>
      </vt:variant>
    </vt:vector>
  </HeadingPairs>
  <TitlesOfParts>
    <vt:vector size="33" baseType="lpstr">
      <vt:lpstr>XBBIS</vt:lpstr>
      <vt:lpstr>A1 (Aktivlər)</vt:lpstr>
      <vt:lpstr>A2 (Öhdəliklər)</vt:lpstr>
      <vt:lpstr>A3 (Şərti öhdəliklər)</vt:lpstr>
      <vt:lpstr>Country</vt:lpstr>
      <vt:lpstr>Country2</vt:lpstr>
      <vt:lpstr>Currency</vt:lpstr>
      <vt:lpstr>debitor_rezident</vt:lpstr>
      <vt:lpstr>diger_deyishiklik</vt:lpstr>
      <vt:lpstr>faiz_novu</vt:lpstr>
      <vt:lpstr>fealiyyet_novu</vt:lpstr>
      <vt:lpstr>firstrow_A1</vt:lpstr>
      <vt:lpstr>firstrow_A2</vt:lpstr>
      <vt:lpstr>firstrow_A3</vt:lpstr>
      <vt:lpstr>investisiya_bolme_adi</vt:lpstr>
      <vt:lpstr>investisiya_madde</vt:lpstr>
      <vt:lpstr>investisiya_madde1</vt:lpstr>
      <vt:lpstr>investisiya_madde2</vt:lpstr>
      <vt:lpstr>investisiya_madde3</vt:lpstr>
      <vt:lpstr>kupon_muddet</vt:lpstr>
      <vt:lpstr>Kvartal</vt:lpstr>
      <vt:lpstr>lastrow_A1</vt:lpstr>
      <vt:lpstr>lastrow_A2</vt:lpstr>
      <vt:lpstr>lastrow_A3</vt:lpstr>
      <vt:lpstr>'A1 (Aktivlər)'!Print_Area</vt:lpstr>
      <vt:lpstr>'A2 (Öhdəliklər)'!Print_Area</vt:lpstr>
      <vt:lpstr>'A3 (Şərti öhdəliklər)'!Print_Area</vt:lpstr>
      <vt:lpstr>qeyrirezident_elaqe</vt:lpstr>
      <vt:lpstr>qeyrirezident_sektor</vt:lpstr>
      <vt:lpstr>restrukturizasiya</vt:lpstr>
      <vt:lpstr>valyuta</vt:lpstr>
      <vt:lpstr>Year</vt:lpstr>
      <vt:lpstr>zemanet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Mehemmed Bekirov</cp:lastModifiedBy>
  <dcterms:created xsi:type="dcterms:W3CDTF">2006-09-16T00:00:00Z</dcterms:created>
  <dcterms:modified xsi:type="dcterms:W3CDTF">2024-11-28T11:28:52Z</dcterms:modified>
</cp:coreProperties>
</file>