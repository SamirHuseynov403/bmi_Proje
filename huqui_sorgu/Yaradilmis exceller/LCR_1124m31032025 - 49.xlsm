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<sst xmlns="http://schemas.openxmlformats.org/spreadsheetml/2006/main" count="211" uniqueCount="211">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</sst>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54375.10375</v>
      </c>
      <c r="J8" s="20">
        <f t="shared" si="0"/>
        <v>35324.8731</v>
      </c>
      <c r="K8" s="20">
        <f>K21+K38</f>
        <v>89699.976849999992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26507.65652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27344.29236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54375.71531</v>
      </c>
      <c r="D21" s="20">
        <f>D15+D16+D17+D18+D19+D20</f>
        <v>35324.8731</v>
      </c>
      <c r="E21" s="20">
        <f>C21+D21</f>
        <v>89700.58841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54375.10375</v>
      </c>
      <c r="J21" s="20">
        <f t="shared" si="2"/>
        <v>35324.8731</v>
      </c>
      <c r="K21" s="20">
        <f t="shared" si="2"/>
        <v>89699.976849999992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12081.1663605</v>
      </c>
      <c r="Q10" s="44">
        <f>Q25+Q52+Q66+Q92</f>
        <v>24055.9321142</v>
      </c>
      <c r="R10" s="44">
        <f>R25+R52+R66+R92</f>
        <v>36137.0984747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44.497397</v>
      </c>
      <c r="Q19" s="48">
        <f>SUM(Q20:Q21)</f>
        <v>178.6576672</v>
      </c>
      <c r="R19" s="48">
        <f>SUM(R20:R21)</f>
        <v>223.1550642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127.13542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44.497397</v>
      </c>
      <c r="Q21" s="48">
        <f>D21*M21</f>
        <v>178.6576672</v>
      </c>
      <c r="R21" s="48">
        <f>P21+Q21</f>
        <v>223.1550642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44.497397</v>
      </c>
      <c r="Q25" s="44">
        <f>Q19+Q22</f>
        <v>178.6576672</v>
      </c>
      <c r="R25" s="44">
        <f>R19+R22</f>
        <v>223.1550642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23844.42882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17154.90882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16723.8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6689.52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32.845627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9.7779564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23877.274447</v>
      </c>
      <c r="R52" s="44">
        <f t="shared" si="16"/>
        <v>35913.9434105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45629.63216</v>
      </c>
      <c r="Q10" s="44">
        <f>Q24+Q52+Q39</f>
        <v>2.392695</v>
      </c>
      <c r="R10" s="44">
        <f>R24+R52+R39</f>
        <v>45632.024855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259.26432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129.63216</v>
      </c>
      <c r="Q19" s="48">
        <f>D19*M19</f>
        <v>2.392695</v>
      </c>
      <c r="R19" s="48">
        <f>P19+Q19</f>
        <v>132.024855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129.63216</v>
      </c>
      <c r="Q24" s="44">
        <f>SUM(Q19:Q23)</f>
        <v>2.392695</v>
      </c>
      <c r="R24" s="44">
        <f>SUM(R19:R23)</f>
        <v>132.024855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9.928852136570951</v>
      </c>
      <c r="D6" s="72">
        <f>IFERROR(D7/D10,0)</f>
        <v>18.003262972284606</v>
      </c>
      <c r="E6" s="72">
        <f>IFERROR(E7/E10,0)</f>
        <v>1.4685935605719214</v>
      </c>
    </row>
    <row r="7" ht="15" customHeight="1" s="65" customFormat="1">
      <c r="A7" s="71" t="s">
        <v>203</v>
      </c>
      <c r="B7" s="29" t="s">
        <v>204</v>
      </c>
      <c r="C7" s="73">
        <f>'L2'!K8</f>
        <v>89699.976849999992</v>
      </c>
      <c r="D7" s="73">
        <f>'L2'!I8</f>
        <v>54375.10375</v>
      </c>
      <c r="E7" s="73">
        <f>'L2'!J8</f>
        <v>35324.8731</v>
      </c>
    </row>
    <row r="8" ht="15" customHeight="1" s="65" customFormat="1">
      <c r="A8" s="71" t="s">
        <v>205</v>
      </c>
      <c r="B8" s="29" t="s">
        <v>206</v>
      </c>
      <c r="C8" s="73">
        <f>'L3 (A)'!R10</f>
        <v>36137.0984747</v>
      </c>
      <c r="D8" s="73">
        <f>'L3 (A)'!P10</f>
        <v>12081.1663605</v>
      </c>
      <c r="E8" s="73">
        <f>'L3 (A)'!Q10</f>
        <v>24055.9321142</v>
      </c>
    </row>
    <row r="9" ht="15" customHeight="1" s="65" customFormat="1">
      <c r="A9" s="71" t="s">
        <v>207</v>
      </c>
      <c r="B9" s="29" t="s">
        <v>208</v>
      </c>
      <c r="C9" s="73">
        <f>'L3 (B)'!R10</f>
        <v>45632.024855</v>
      </c>
      <c r="D9" s="73">
        <f>'L3 (B)'!P10</f>
        <v>45629.63216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9034.274618675001</v>
      </c>
      <c r="D10" s="73">
        <f>D8-MIN(D9,0.75*D8)</f>
        <v>3020.291590125</v>
      </c>
      <c r="E10" s="73">
        <f>E8-MIN(E9,0.75*E8)</f>
        <v>24053.539419200002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