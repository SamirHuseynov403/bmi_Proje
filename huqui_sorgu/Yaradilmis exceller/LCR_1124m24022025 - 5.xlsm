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<sst xmlns="http://schemas.openxmlformats.org/spreadsheetml/2006/main" count="211" uniqueCount="211">
  <si>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</si>
  <si>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</si>
  <si>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</si>
  <si>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</si>
  <si>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</si>
  <si>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</si>
  <si>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</si>
  <si>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</si>
  <si>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</si>
  <si>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</si>
  <si>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</si>
  <si>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</si>
  <si>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</si>
  <si>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</si>
  <si>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</si>
  <si>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</si>
  <si>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</si>
  <si>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</si>
  <si>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</si>
  <si>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</si>
  <si>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</si>
  <si>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</si>
  <si>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</si>
  <si>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</si>
  <si>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</si>
  <si>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</si>
  <si>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</si>
  <si>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</si>
  <si>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</si>
  <si>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</si>
  <si>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</si>
  <si>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</si>
  <si>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</si>
  <si>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</si>
  <si>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</si>
  <si>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</si>
  <si>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</si>
  <si>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</si>
  <si>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</si>
  <si>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</si>
  <si>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</si>
  <si>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</si>
  <si>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</si>
  <si>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</si>
  <si>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</si>
  <si>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</si>
  <si>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</si>
  <si>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</si>
  <si>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</si>
  <si>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</si>
  <si>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</si>
  <si>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</si>
  <si>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</si>
  <si>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</si>
  <si>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</si>
  <si>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</si>
  <si>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</si>
  <si>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</si>
  <si>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</si>
  <si>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</si>
  <si>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</si>
  <si>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</si>
  <si>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</si>
  <si>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</si>
  <si>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</si>
  <si>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</si>
  <si>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</si>
  <si>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</si>
  <si>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</si>
  <si>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</si>
  <si>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</si>
  <si>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</si>
  <si>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</si>
  <si>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</si>
  <si>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</si>
  <si>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</si>
  <si>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</si>
  <si>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</si>
  <si>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</si>
  <si>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</si>
  <si>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</si>
  <si>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</si>
  <si>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</si>
  <si>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</si>
  <si>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</si>
  <si>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</si>
  <si>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</si>
  <si>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</si>
  <si>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</si>
  <si>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</si>
  <si>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</si>
  <si>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</si>
  <si>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</si>
  <si>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</si>
  <si>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</si>
  <si>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</si>
  <si>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</si>
  <si>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</si>
  <si>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</si>
  <si>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</si>
  <si>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</si>
  <si>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</si>
  <si>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</si>
  <si>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</si>
  <si>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</si>
  <si>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</si>
  <si>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</si>
  <si>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</si>
  <si>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</si>
  <si>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</si>
  <si>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</si>
  <si>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</si>
  <si>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</si>
  <si>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</si>
  <si>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</si>
  <si>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</si>
  <si>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</si>
  <si>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</si>
  <si>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</si>
  <si>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</si>
  <si>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</si>
  <si>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</si>
  <si>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</si>
  <si>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</si>
  <si>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</si>
  <si>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</si>
  <si>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</si>
  <si>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</si>
  <si>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</si>
  <si>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</si>
  <si>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</si>
  <si>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</si>
  <si>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</si>
  <si>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</si>
  <si>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</si>
  <si>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</si>
  <si>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</si>
  <si>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</si>
  <si>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</si>
  <si>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</si>
  <si>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</si>
  <si>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</si>
  <si>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</si>
  <si>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</si>
  <si>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</si>
  <si>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</si>
  <si>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</si>
  <si>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</si>
  <si>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</si>
  <si>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</si>
  <si>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</si>
  <si>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</si>
  <si>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</si>
  <si>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</si>
  <si>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</si>
  <si>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</si>
  <si>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</si>
  <si>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</si>
  <si>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</si>
  <si>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</si>
  <si>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</si>
  <si>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</si>
  <si>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</si>
  <si>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</si>
  <si>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</si>
  <si>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</si>
  <si>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</si>
  <si>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</si>
  <si>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</si>
  <si>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</si>
  <si>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</si>
  <si>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</si>
  <si>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</si>
  <si>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</si>
  <si>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</si>
  <si>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</si>
  <si>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</si>
  <si>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</si>
  <si>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</si>
  <si>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</si>
  <si>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</si>
  <si>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</si>
  <si>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</si>
  <si>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</si>
  <si>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</si>
  <si>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</si>
  <si>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24-02-2025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</si>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</sst>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32687.9269</v>
      </c>
      <c r="J8" s="20">
        <f t="shared" si="0"/>
        <v>34028.57953</v>
      </c>
      <c r="K8" s="20">
        <f>K21+K38</f>
        <v>66716.50643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681.42786</v>
      </c>
      <c r="D15" s="30">
        <v>2538.54625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553.07377</v>
      </c>
      <c r="D16" s="30">
        <v>31490.03328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31454.03683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32688.53846</v>
      </c>
      <c r="D21" s="20">
        <f>D15+D16+D17+D18+D19+D20</f>
        <v>34028.57953</v>
      </c>
      <c r="E21" s="20">
        <f>C21+D21</f>
        <v>66717.11799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32687.9269</v>
      </c>
      <c r="J21" s="20">
        <f t="shared" si="2"/>
        <v>34028.57953</v>
      </c>
      <c r="K21" s="20">
        <f t="shared" si="2"/>
        <v>66716.50643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12082.9453745</v>
      </c>
      <c r="Q10" s="44">
        <f>Q25+Q52+Q66+Q92</f>
        <v>23274.873961200003</v>
      </c>
      <c r="R10" s="44">
        <f>R25+R52+R66+R92</f>
        <v>35357.8193357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44.592961</v>
      </c>
      <c r="Q19" s="48">
        <f>SUM(Q20:Q21)</f>
        <v>180.37312640000002</v>
      </c>
      <c r="R19" s="48">
        <f>SUM(R20:R21)</f>
        <v>224.96608740000002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127.40846</v>
      </c>
      <c r="D21" s="52">
        <v>563.66602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44.592961</v>
      </c>
      <c r="Q21" s="48">
        <f>D21*M21</f>
        <v>180.37312640000002</v>
      </c>
      <c r="R21" s="48">
        <f>P21+Q21</f>
        <v>224.96608740000002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44.592961</v>
      </c>
      <c r="Q25" s="44">
        <f>Q19+Q22</f>
        <v>180.37312640000002</v>
      </c>
      <c r="R25" s="44">
        <f>R19+R22</f>
        <v>224.96608740000002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23058.83079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16632.83079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16632.83079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16065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6426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12038.352413499999</v>
      </c>
      <c r="Q41" s="48">
        <f>SUM(Q42:Q45)</f>
        <v>35.6700448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68.75281</v>
      </c>
      <c r="D42" s="52">
        <v>70.01319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13.750562</v>
      </c>
      <c r="Q42" s="48">
        <f>D42*M42</f>
        <v>12.602374199999998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23.0676706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12024.6018515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12038.352413499999</v>
      </c>
      <c r="Q52" s="44">
        <f>Q34+Q35+Q38+Q41+Q46+Q51</f>
        <v>23094.5008348</v>
      </c>
      <c r="R52" s="44">
        <f t="shared" si="16"/>
        <v>35132.8532483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42207.17869</v>
      </c>
      <c r="Q10" s="44">
        <f>Q24+Q52+Q39</f>
        <v>2.392695</v>
      </c>
      <c r="R10" s="44">
        <f>R24+R52+R39</f>
        <v>42209.571385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264.35738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132.17869</v>
      </c>
      <c r="Q19" s="48">
        <f>D19*M19</f>
        <v>2.392695</v>
      </c>
      <c r="R19" s="48">
        <f>P19+Q19</f>
        <v>134.571385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132.17869</v>
      </c>
      <c r="Q24" s="44">
        <f>SUM(Q19:Q23)</f>
        <v>2.392695</v>
      </c>
      <c r="R24" s="44">
        <f>SUM(R19:R23)</f>
        <v>134.571385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42075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42075</v>
      </c>
      <c r="Q37" s="48">
        <f>D37*M37</f>
        <v>0</v>
      </c>
      <c r="R37" s="48">
        <f>P37+Q37</f>
        <v>42075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42075</v>
      </c>
      <c r="Q39" s="44">
        <f>Q33+Q35+Q36+Q38+Q37</f>
        <v>0</v>
      </c>
      <c r="R39" s="44">
        <f>R33+R35+R36+R38+R37</f>
        <v>42075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7.5475815741428187</v>
      </c>
      <c r="D6" s="72">
        <f>IFERROR(D7/D10,0)</f>
        <v>10.821178408696612</v>
      </c>
      <c r="E6" s="72">
        <f>IFERROR(E7/E10,0)</f>
        <v>1.4621809827997032</v>
      </c>
    </row>
    <row r="7" ht="15" customHeight="1" s="65" customFormat="1">
      <c r="A7" s="71" t="s">
        <v>203</v>
      </c>
      <c r="B7" s="29" t="s">
        <v>204</v>
      </c>
      <c r="C7" s="73">
        <f>'L2'!K8</f>
        <v>66716.50643</v>
      </c>
      <c r="D7" s="73">
        <f>'L2'!I8</f>
        <v>32687.9269</v>
      </c>
      <c r="E7" s="73">
        <f>'L2'!J8</f>
        <v>34028.57953</v>
      </c>
    </row>
    <row r="8" ht="15" customHeight="1" s="65" customFormat="1">
      <c r="A8" s="71" t="s">
        <v>205</v>
      </c>
      <c r="B8" s="29" t="s">
        <v>206</v>
      </c>
      <c r="C8" s="73">
        <f>'L3 (A)'!R10</f>
        <v>35357.8193357</v>
      </c>
      <c r="D8" s="73">
        <f>'L3 (A)'!P10</f>
        <v>12082.9453745</v>
      </c>
      <c r="E8" s="73">
        <f>'L3 (A)'!Q10</f>
        <v>23274.873961200003</v>
      </c>
    </row>
    <row r="9" ht="15" customHeight="1" s="65" customFormat="1">
      <c r="A9" s="71" t="s">
        <v>207</v>
      </c>
      <c r="B9" s="29" t="s">
        <v>208</v>
      </c>
      <c r="C9" s="73">
        <f>'L3 (B)'!R10</f>
        <v>42209.571385</v>
      </c>
      <c r="D9" s="73">
        <f>'L3 (B)'!P10</f>
        <v>42207.17869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8839.454833925</v>
      </c>
      <c r="D10" s="73">
        <f>D8-MIN(D9,0.75*D8)</f>
        <v>3020.736343625</v>
      </c>
      <c r="E10" s="73">
        <f>E8-MIN(E9,0.75*E8)</f>
        <v>23272.481266200004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