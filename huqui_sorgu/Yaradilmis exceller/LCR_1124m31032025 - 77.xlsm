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ehemmed\Desktop\axirinci bmi\BMI_\Fayllar\Muhasibat\Exceller\"/>
    </mc:Choice>
  </mc:AlternateContent>
  <bookViews>
    <workbookView xWindow="2730" yWindow="375" windowWidth="22155" windowHeight="15105" tabRatio="778"/>
  </bookViews>
  <sheets>
    <sheet name="Daily-Report" sheetId="1" r:id="rId1"/>
    <sheet name="Sheet1" sheetId="4" state="hidden" r:id="rId2"/>
    <sheet name="comments" sheetId="3" r:id="rId3"/>
    <sheet name="Daily_Credit_Deposit" sheetId="5" r:id="rId4"/>
    <sheet name="cur" sheetId="2" state="hidden" r:id="rId5"/>
  </sheets>
  <definedNames>
    <definedName name="SEL_CURR">cur!$A$7:$A$53</definedName>
    <definedName name="SELECTED">'Daily-Report'!$F$3</definedName>
    <definedName name="_xlnm._FilterDatabase" localSheetId="0" hidden="1">'Daily-Report'!$A$8:$BF$96</definedName>
    <definedName name="_xlnm.Print_Area" localSheetId="0">'Daily-Report'!$A$1:$BF$162</definedName>
    <definedName name="_xlnm.Print_Area" localSheetId="3">Daily_Credit_Deposit!$A$1:$E$52</definedName>
  </definedNames>
  <calcPr calcId="162913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<sst xmlns="http://schemas.openxmlformats.org/spreadsheetml/2006/main" count="485" uniqueCount="485">
  <si>
    <t xml:space="preserve">Gün ərzində verilmiş kreditlər
(Restrukturizasiya olunmuş və depozit təminatlı kreditlər istisna olmaqla)</t>
  </si>
  <si>
    <t>Milli valyutada</t>
  </si>
  <si>
    <t>Məbləğ (min manat)</t>
  </si>
  <si>
    <t xml:space="preserve">Say </t>
  </si>
  <si>
    <t>Orta çəkili % dərəcəsi</t>
  </si>
  <si>
    <t>K.M1</t>
  </si>
  <si>
    <t>Gün ərzində cəmi verilmiş kreditlər, o cümlədən</t>
  </si>
  <si>
    <t>K.M1.1</t>
  </si>
  <si>
    <t>Biznes kreditləri o cümlədən,</t>
  </si>
  <si>
    <t>K.M1.1.1</t>
  </si>
  <si>
    <t>Mikro sahibkarlıq subyektinə</t>
  </si>
  <si>
    <t>K.M1.1.2</t>
  </si>
  <si>
    <t>Kiçik və orta sahibkarlıq subyektinə</t>
  </si>
  <si>
    <t>K.M1.1.3</t>
  </si>
  <si>
    <t>İri sahibkarlıq subyektinə</t>
  </si>
  <si>
    <t>K.M1.2</t>
  </si>
  <si>
    <t>İstehlak kreditləri</t>
  </si>
  <si>
    <t>K.M1.3</t>
  </si>
  <si>
    <t>İpoteka kreditləri,o cümlədən</t>
  </si>
  <si>
    <t>K.M1.3.1</t>
  </si>
  <si>
    <t>Daxili ipoteka kreditləri</t>
  </si>
  <si>
    <t>Xarici Valyutada</t>
  </si>
  <si>
    <t>K.X1</t>
  </si>
  <si>
    <t>K.X1.1</t>
  </si>
  <si>
    <t>K.X1.1.1</t>
  </si>
  <si>
    <t>K.X1.1.2</t>
  </si>
  <si>
    <t>K.X1.1.3</t>
  </si>
  <si>
    <t>K.X1.2</t>
  </si>
  <si>
    <t>Gün ərzində cəlb edilmiş depozitlər</t>
  </si>
  <si>
    <t>D.M.1</t>
  </si>
  <si>
    <t>Fiziki şəxslər</t>
  </si>
  <si>
    <t>D.M.1.1</t>
  </si>
  <si>
    <t>Tələbli, o cümlədən</t>
  </si>
  <si>
    <t>D.M.1.1.1</t>
  </si>
  <si>
    <t>faizli tələbli depozitlər</t>
  </si>
  <si>
    <t>D.M.1.2</t>
  </si>
  <si>
    <t>Müddətli, o cümlədən</t>
  </si>
  <si>
    <t>D.M.1_1</t>
  </si>
  <si>
    <t xml:space="preserve">Prolonqasiya olunmuş </t>
  </si>
  <si>
    <t>D.M.2</t>
  </si>
  <si>
    <t>Hüquqi şəxslər</t>
  </si>
  <si>
    <t>D.M.2.1</t>
  </si>
  <si>
    <t>D.M.2.1.1</t>
  </si>
  <si>
    <t>D.M.2.2</t>
  </si>
  <si>
    <t>D.M.2_1</t>
  </si>
  <si>
    <t>D.M.3.1</t>
  </si>
  <si>
    <t>Sahibkar fiziki şəxslərin tələbli depozitləri, o cümlədən</t>
  </si>
  <si>
    <t>D.M.3.1.1</t>
  </si>
  <si>
    <t>D.X.1</t>
  </si>
  <si>
    <t>D.X.1.1</t>
  </si>
  <si>
    <t>D.X.1.1.1</t>
  </si>
  <si>
    <t>D.X.1.2</t>
  </si>
  <si>
    <t>D.X.1_1</t>
  </si>
  <si>
    <t>D.X.2</t>
  </si>
  <si>
    <t>D.X.2.1</t>
  </si>
  <si>
    <t>D.X.2.1.1</t>
  </si>
  <si>
    <t>D.X.2.2</t>
  </si>
  <si>
    <t>D.X.2_1</t>
  </si>
  <si>
    <t>D.X.3.1</t>
  </si>
  <si>
    <t>D.X.3.1.1</t>
  </si>
  <si>
    <t>Gün ərzində balans maddələrində baş vermiş əhəmiyyətli dəyişikliklər barədə məlumat (min manatla)</t>
  </si>
  <si>
    <t>Müştərinin adı</t>
  </si>
  <si>
    <t>VÖEN və ya FİN</t>
  </si>
  <si>
    <t>Əməliyyatın qısa məzmunu</t>
  </si>
  <si>
    <t>Mədaxil olan maddə</t>
  </si>
  <si>
    <t>Mədaxil</t>
  </si>
  <si>
    <t>Məxaric olan maddə</t>
  </si>
  <si>
    <t>Məxaric</t>
  </si>
  <si>
    <t>A1 | Nağd vəsaitlər</t>
  </si>
  <si>
    <t>A2 | Mərkəzi Bankda müxbir hesab, cəmi</t>
  </si>
  <si>
    <t>A2a | o cümlədən blokda olan vəsaitlər</t>
  </si>
  <si>
    <t>A2b | o cümlədən Məcburi ehtiyat tələbi</t>
  </si>
  <si>
    <t>A3 | Nostro hesablar, cəmi</t>
  </si>
  <si>
    <t>A3a | Nostro hesablar üzrə məqsədli ehtiyatlar</t>
  </si>
  <si>
    <t>A3a.1 | Rezident banklar</t>
  </si>
  <si>
    <t>A3a.1a | Rezident banklar üzrə məqsədli ehtiyatlar</t>
  </si>
  <si>
    <t>A3a.1b | o cümlədən blokda olan vəsaitlər</t>
  </si>
  <si>
    <t>A3a.2 | Qeyri-rezident banklar</t>
  </si>
  <si>
    <t>A3a.2a | Qeyri-rezident banklar üzrə məqsədli ehtiyatlar</t>
  </si>
  <si>
    <t>A3a.2b | o cümlədən blokda olan vəsaitlər</t>
  </si>
  <si>
    <t>A4 | Qiymətli kağızlar</t>
  </si>
  <si>
    <t>A4a | Qiymətli kağızlar üzrə məqsədli ehtiyatlar</t>
  </si>
  <si>
    <t>A4.1 | Ödəniş müddətinədək saxlanılan qiymətli kağızlar</t>
  </si>
  <si>
    <t>A4.1a | Mərkəzi bankların qiymətli kağızları</t>
  </si>
  <si>
    <t>A4.1a1 | o cümlədən, AMB-nin QK-ları</t>
  </si>
  <si>
    <t>A4.1b | Hökumət xəzinədarlıq vekselləri və mərkəzi icra hakimiyyəti orqanlarının digər qiymətli kağızları</t>
  </si>
  <si>
    <t>A4.1b.1 | o cümlədən, Azərbaycan Hökumətinin xəzinədarlıq vekselləri və mərkəzi icra hakimiyyəti orqanlarının digər qiymətli kağızları</t>
  </si>
  <si>
    <t>A4.1c | digər</t>
  </si>
  <si>
    <t>A4.2 | Ticarət (dilinq) üçün alınmış qiymətli kağızlar, cəmi</t>
  </si>
  <si>
    <t>A4.2a | Mərkəzi bankların qiymətli kağızları</t>
  </si>
  <si>
    <t>A4.2a1 | o cümlədən, AMB-nin QK-ları</t>
  </si>
  <si>
    <t>A4.2b | Hökumət xəzinədarlıq vekselləri və mərkəzi icra hakimiyyəti orqanlarının digər qiymətli kağızları</t>
  </si>
  <si>
    <t>A4.2b1 | o cümlədən, Azərbaycan Hökumətinin xəzinədarlıq vekselləri və mərkəzi icra hakimiyyəti orqanlarının digər qiymətli kağızları</t>
  </si>
  <si>
    <t>A4.2c | digər</t>
  </si>
  <si>
    <t>A4.3 | Satış üçün mövcud olan qiymətli kağızlar, cəmi</t>
  </si>
  <si>
    <t>A4.3a | Mərkəzi bankların qiymətli kağızları</t>
  </si>
  <si>
    <t>A4.3a.1 | o cümlədən, AMB-nin QK-ları</t>
  </si>
  <si>
    <t>A4.3b | Hökumət xəzinədarlıq vekselləri və mərkəzi icra hakimiyyəti orqanlarının digər qiymətli kağızları</t>
  </si>
  <si>
    <t>A4.3b1 | o cümlədən, Azərbaycan Hökumətinin xəzinədarlıq vekselləri və mərkəzi icra hakimiyyəti orqanlarının digər qiymətli kağızları</t>
  </si>
  <si>
    <t>A4.3c | digər</t>
  </si>
  <si>
    <t>A5 | Əks REPO əməliyyatları</t>
  </si>
  <si>
    <t>A6 | Banklara depozitlər və kreditlər</t>
  </si>
  <si>
    <t>A6a | o cümlədən AMB-də overnight</t>
  </si>
  <si>
    <t>A6b | o cümlədən banklardakı overnight</t>
  </si>
  <si>
    <t>A6c | Banklara depozitlər və kreditlər üzrə məqsədli ehtiyatlar</t>
  </si>
  <si>
    <t>A7 | Maliyyə institutlarına depozitlər və kreditlər</t>
  </si>
  <si>
    <t xml:space="preserve">A7a | Maliyyə institutlarına depozitlər və kreditlər  üzrə məqsədli ehtiyatlar</t>
  </si>
  <si>
    <t>A8 | Müştərilərə verilən kreditlər və lizinqlər, cəmi</t>
  </si>
  <si>
    <t>A8.1 | Biznes kreditləri</t>
  </si>
  <si>
    <t>A8.2 | İstehlak kreditləri</t>
  </si>
  <si>
    <t>A8.3 | İpoteka kreditləri</t>
  </si>
  <si>
    <t xml:space="preserve">A8b | Müştərilərə verilən kreditlər və lizinqlər  üzrə məqsədli ehtiyatlar</t>
  </si>
  <si>
    <t>A9 | Köhnəlmə çıxılmaqla bank işində istifadə olunan əsas vəsaitlər</t>
  </si>
  <si>
    <t>A10 | Bank işində istifadə olunmayan əsas vəsaitlər</t>
  </si>
  <si>
    <t>A10a | o cümlədən daşınmaz əmlak</t>
  </si>
  <si>
    <t>A10b | Bank işində istifadə olunmayan əsas vəsaitlər (xalis)</t>
  </si>
  <si>
    <t>A11 | İnvestisiyalar və maliyyə iştirakı (xalis)</t>
  </si>
  <si>
    <t>A12 | Digər aktivlər (xalis)</t>
  </si>
  <si>
    <t>A12a | O cümlədən, hesablanmış alınası faizlər (xalis)</t>
  </si>
  <si>
    <t>A12b | hesablanmış alınası faizlər üzrə məqsədli ehtiyatlar</t>
  </si>
  <si>
    <t>A12c | Digər məqsədli ehtiyatlar (3a, 4b,,6c,7a, 8b, 12b bəndləri istisna olmaqla)</t>
  </si>
  <si>
    <t>A13 | AKTİVLƏR CƏMİ</t>
  </si>
  <si>
    <t>B1 | Tələbli depozitləri</t>
  </si>
  <si>
    <t>B1a | Hüquqi şəxslər</t>
  </si>
  <si>
    <t>B1b | Fiziki şəxslər</t>
  </si>
  <si>
    <t>B1c | Sahibkar fiziki şəxslər</t>
  </si>
  <si>
    <t>B2 | Müddətli depozitləri</t>
  </si>
  <si>
    <t>B2a | Hüquqi şəxslər</t>
  </si>
  <si>
    <t>B2b | Fiziki şəxslər</t>
  </si>
  <si>
    <t>B3 | AMB-nin banka qarşı tələbi</t>
  </si>
  <si>
    <t>B4 | Bankların tələbləri (Loro)</t>
  </si>
  <si>
    <t>B4a | Rezident banklar</t>
  </si>
  <si>
    <t>B4b | Qeyri-rezident banklar</t>
  </si>
  <si>
    <t>B5 | Maliyyə sektoru institutlarından cəlb edilən vəsaitlər</t>
  </si>
  <si>
    <t>B5a | Bankların depozitləri və kreditləri</t>
  </si>
  <si>
    <t>B5a.1 | O cümlədən subordinasiya borc öhdəliyi</t>
  </si>
  <si>
    <t>B5b | Maliyyə institutlarının depozitləri və kreditləri ( Dövlət Fondları istisna olmaqla)</t>
  </si>
  <si>
    <t>B5b.1 | O cümlədən subordinasiya borc öhdəliyi</t>
  </si>
  <si>
    <t>B6 | Dövlət Fondlarından cəlb edilmiş müddətli depozitlər</t>
  </si>
  <si>
    <t>B7 | Dövlət Fondlarından cəlb edilmiş kreditlər</t>
  </si>
  <si>
    <t>B7a | İKZF</t>
  </si>
  <si>
    <t>B7b | SİF</t>
  </si>
  <si>
    <t>B7c | AKİA</t>
  </si>
  <si>
    <t>B7d | digər fondlar</t>
  </si>
  <si>
    <t>B8 | Repo əməliyyatları</t>
  </si>
  <si>
    <t>B9 | Bank tərəfindən buraxılmış qiymətli kağızlar</t>
  </si>
  <si>
    <t>B9a | O cümlədən subordinasiya borc öhdəliyi</t>
  </si>
  <si>
    <t>B10 | Digər öhdəliklər</t>
  </si>
  <si>
    <t>B10a | O cümlədən, hesablanmış ödəniləsi faizlər</t>
  </si>
  <si>
    <t>B10b | o cümlədən subordinasiya borc öhdəlikləri (16a.1, 16b.1, 20a istisna olmaqla)</t>
  </si>
  <si>
    <t>B11 | PASSİVLƏR CƏMİ</t>
  </si>
  <si>
    <t>B12 | Balans kapital , cəmi</t>
  </si>
  <si>
    <t>B12a | Nizamnamə kapitalı</t>
  </si>
  <si>
    <t>B13 | cari ilin xalis mənfəəti (zərəri)</t>
  </si>
  <si>
    <t>B14 | ÖHDƏLİKLƏR VƏ KAPİTALIN cəmi</t>
  </si>
  <si>
    <t>1 | Qarantiyalar</t>
  </si>
  <si>
    <t>2 | Kredit xətləri</t>
  </si>
  <si>
    <t>3 | Akkreditivlər</t>
  </si>
  <si>
    <t>4 | Forvard</t>
  </si>
  <si>
    <t>5 | Fyuçers</t>
  </si>
  <si>
    <t>6 | Svop</t>
  </si>
  <si>
    <t>7 | Digər balansarxası öhdəliklər</t>
  </si>
  <si>
    <t>8 | BALANSARXASI ÖHDƏLİKLƏR CƏMİ</t>
  </si>
  <si>
    <t>9 | Alınmış qarantiyalar</t>
  </si>
  <si>
    <t>10 | Forvard</t>
  </si>
  <si>
    <t>11 | Fyuçers</t>
  </si>
  <si>
    <t>12 | Svop</t>
  </si>
  <si>
    <t>13 | BALANSARXASI TƏLƏBLƏR CƏMİ</t>
  </si>
  <si>
    <t>1 | Vaxtı keçmiş (VKK) o cümlədən</t>
  </si>
  <si>
    <t>1a | Biznes kreditləri</t>
  </si>
  <si>
    <t>1b | İstehlak kreditləri</t>
  </si>
  <si>
    <t>1c | İpoteka kreditləri</t>
  </si>
  <si>
    <t>2 | Qeyri-işlək kreditlər (90 gündən çox gecikmiş) o cümlədən</t>
  </si>
  <si>
    <t>2a | Biznes kreditləri</t>
  </si>
  <si>
    <t>2b | İstehlak kreditləri</t>
  </si>
  <si>
    <t>2c | İpoteka kreditləri</t>
  </si>
  <si>
    <t>3 | Restrukturizasiya edilmiş kreditlər, o cümlədən</t>
  </si>
  <si>
    <t>3a | Biznes kreditləri</t>
  </si>
  <si>
    <t>3b | İstehlak kreditləri</t>
  </si>
  <si>
    <t>3c | İpoteka kreditləri</t>
  </si>
  <si>
    <t>4 | Silinmiş aktivlər</t>
  </si>
  <si>
    <t>1 | Cari aktivlər</t>
  </si>
  <si>
    <t>2 | Cari öhdəliklər</t>
  </si>
  <si>
    <t>3 | Ani likvidlik əmsalı</t>
  </si>
  <si>
    <t>4 | Yüksək keyfiyyətli likvid aktivlər</t>
  </si>
  <si>
    <t>5 | Cəmi xalis nağd məxariclər</t>
  </si>
  <si>
    <t>6 | Likvidliyin örtülmə əmsalı (LCR)</t>
  </si>
  <si>
    <t>1 | Fiziki şəxslərin tələbli depozitlərinə mədaxil</t>
  </si>
  <si>
    <t>2 | Fiziki şəxslərin müddətli depozitlərinə mədaxil</t>
  </si>
  <si>
    <t>3 | Fiziki şəxslərin tələbli depozitlərindən məxaric</t>
  </si>
  <si>
    <t>4 | Fiziki şəxslərin müddətli depozitlərindən məxaric</t>
  </si>
  <si>
    <t>5 | Hüquqi şəxslərin tələbli depozitlərinə mədaxil</t>
  </si>
  <si>
    <t>6 | Hüquqi şəxslərin müddətli depozitlərinə mədaxil</t>
  </si>
  <si>
    <t>7 | Hüquqi şəxslərin tələbli depozitlərindən məxaric</t>
  </si>
  <si>
    <t>8 | Hüquqi şəxslərin müddətli depozitlərindən məxaric</t>
  </si>
  <si>
    <t>9 | Sahibkar fiziki şəxslərin tələbli depozitlərinə mədaxil</t>
  </si>
  <si>
    <t>10 | Sahibkar fiziki şəxslərin tələbli depozitlərindən məxaric</t>
  </si>
  <si>
    <t>11 | Gün ərzində cəmi verilmiş kreditlər (REST istisna)</t>
  </si>
  <si>
    <t>11a | Gün ərzində verilmiş biznes kreditləri</t>
  </si>
  <si>
    <t>11b | Gün ərzində verilmiş istehlak kreditləri</t>
  </si>
  <si>
    <t>11c | Gün ərzində verilmiş ipoteka kreditləri</t>
  </si>
  <si>
    <t>12 | Gün ərzində qaytarılmış kreditlər (REST isitisna)</t>
  </si>
  <si>
    <t>12a | Gün ərzində qaytarılmış biznes kreditləri</t>
  </si>
  <si>
    <t>12b | Gün ərzində qaytarılmış istehlak kreditləri</t>
  </si>
  <si>
    <t>12c | Gün ərzində qaytarılmış ipoteka kreditləri</t>
  </si>
  <si>
    <t>Gündəlik hesabat</t>
  </si>
  <si>
    <t>Tarix:31-03-2025</t>
  </si>
  <si>
    <t>Bank Melli İran Bakı filialı</t>
  </si>
  <si>
    <t>I Hissə – Balans hesabatı - valyuta stukturu üzrə (min manatla)</t>
  </si>
  <si>
    <t>öncəki gün</t>
  </si>
  <si>
    <t>hesabat tarixi</t>
  </si>
  <si>
    <t>günlük dəyişmə</t>
  </si>
  <si>
    <t>AKTİVLƏR</t>
  </si>
  <si>
    <t>CƏMİ</t>
  </si>
  <si>
    <t>AZN</t>
  </si>
  <si>
    <t>USD</t>
  </si>
  <si>
    <t>EUR</t>
  </si>
  <si>
    <t>TRY</t>
  </si>
  <si>
    <t>RUB</t>
  </si>
  <si>
    <t>GBP</t>
  </si>
  <si>
    <t>AED</t>
  </si>
  <si>
    <t>GEL</t>
  </si>
  <si>
    <t>CHF</t>
  </si>
  <si>
    <t>CNY</t>
  </si>
  <si>
    <t>IRR</t>
  </si>
  <si>
    <t>AUD</t>
  </si>
  <si>
    <t>KZT</t>
  </si>
  <si>
    <t>ARS</t>
  </si>
  <si>
    <t>BYN</t>
  </si>
  <si>
    <t>BRL</t>
  </si>
  <si>
    <t>ZAR</t>
  </si>
  <si>
    <t>KRW</t>
  </si>
  <si>
    <t>CZK</t>
  </si>
  <si>
    <t>CLP</t>
  </si>
  <si>
    <t>DKK</t>
  </si>
  <si>
    <t>HKD</t>
  </si>
  <si>
    <t>INR</t>
  </si>
  <si>
    <t>IDR</t>
  </si>
  <si>
    <t>SEK</t>
  </si>
  <si>
    <t>ILS</t>
  </si>
  <si>
    <t>CAD</t>
  </si>
  <si>
    <t>KWD</t>
  </si>
  <si>
    <t>KGS</t>
  </si>
  <si>
    <t>LBP</t>
  </si>
  <si>
    <t>MYR</t>
  </si>
  <si>
    <t>MXN</t>
  </si>
  <si>
    <t>MDL</t>
  </si>
  <si>
    <t>EGP</t>
  </si>
  <si>
    <t>NOK</t>
  </si>
  <si>
    <t>UZS</t>
  </si>
  <si>
    <t>PLN</t>
  </si>
  <si>
    <t>SGD</t>
  </si>
  <si>
    <t>SAR</t>
  </si>
  <si>
    <t>xdr</t>
  </si>
  <si>
    <t>TWD</t>
  </si>
  <si>
    <t>TJS</t>
  </si>
  <si>
    <t>TMT</t>
  </si>
  <si>
    <t>UAH</t>
  </si>
  <si>
    <t>JPY</t>
  </si>
  <si>
    <t>NZD</t>
  </si>
  <si>
    <t>XAU</t>
  </si>
  <si>
    <t>XAG</t>
  </si>
  <si>
    <t>XPT</t>
  </si>
  <si>
    <t>XPD</t>
  </si>
  <si>
    <t>XAL</t>
  </si>
  <si>
    <t>JCP</t>
  </si>
  <si>
    <t>məbləğlə</t>
  </si>
  <si>
    <t>faizlə</t>
  </si>
  <si>
    <t>A1</t>
  </si>
  <si>
    <t>Nağd vəsaitlər</t>
  </si>
  <si>
    <t>A2</t>
  </si>
  <si>
    <t>Mərkəzi Bankda müxbir hesab, cəmi</t>
  </si>
  <si>
    <t>A2a</t>
  </si>
  <si>
    <t>o cümlədən blokda olan vəsaitlər</t>
  </si>
  <si>
    <t>A2b</t>
  </si>
  <si>
    <t>o cümlədən Məcburi ehtiyat tələbi</t>
  </si>
  <si>
    <t>A3</t>
  </si>
  <si>
    <t>Nostro hesablar, cəmi</t>
  </si>
  <si>
    <t>A3a</t>
  </si>
  <si>
    <t>Nostro hesablar üzrə məqsədli ehtiyatlar</t>
  </si>
  <si>
    <t>A3a.1</t>
  </si>
  <si>
    <t>Rezident banklar</t>
  </si>
  <si>
    <t>A3a.1a</t>
  </si>
  <si>
    <t>Rezident banklar üzrə məqsədli ehtiyatlar</t>
  </si>
  <si>
    <t>A3a.1b</t>
  </si>
  <si>
    <t>A3a.2</t>
  </si>
  <si>
    <t>Qeyri-rezident banklar</t>
  </si>
  <si>
    <t>A3a.2a</t>
  </si>
  <si>
    <t>Qeyri-rezident banklar üzrə məqsədli ehtiyatlar</t>
  </si>
  <si>
    <t>A3a.2b</t>
  </si>
  <si>
    <t>A4</t>
  </si>
  <si>
    <t>Qiymətli kağızlar</t>
  </si>
  <si>
    <t>A4a</t>
  </si>
  <si>
    <t>Qiymətli kağızlar üzrə məqsədli ehtiyatlar</t>
  </si>
  <si>
    <t>A4.1</t>
  </si>
  <si>
    <t>Ödəniş müddətinədək saxlanılan qiymətli kağızlar</t>
  </si>
  <si>
    <t>A4.1a</t>
  </si>
  <si>
    <t>Mərkəzi bankların qiymətli kağızları</t>
  </si>
  <si>
    <t>A4.1a1</t>
  </si>
  <si>
    <t>o cümlədən, AMB-nin QK-ları</t>
  </si>
  <si>
    <t>A4.1b</t>
  </si>
  <si>
    <t xml:space="preserve">Hökumət xəzinədarlıq vekselləri və mərkəzi icra hakimiyyəti orqanlarının digər qiymətli kağızları </t>
  </si>
  <si>
    <t>A4.1b.1</t>
  </si>
  <si>
    <t xml:space="preserve">o cümlədən, Azərbaycan Hökumətinin xəzinədarlıq vekselləri və mərkəzi icra hakimiyyəti orqanlarının digər qiymətli kağızları </t>
  </si>
  <si>
    <t>A4.1c</t>
  </si>
  <si>
    <t>digər</t>
  </si>
  <si>
    <t>A4.2</t>
  </si>
  <si>
    <t>Ticarət (dilinq) üçün alınmış qiymətli kağızlar, cəmi</t>
  </si>
  <si>
    <t>A4.2a</t>
  </si>
  <si>
    <t>A4.2a1</t>
  </si>
  <si>
    <t>A4.2b</t>
  </si>
  <si>
    <t>A4.2b1</t>
  </si>
  <si>
    <t>A4.2c</t>
  </si>
  <si>
    <t>A4.3</t>
  </si>
  <si>
    <t>Satış üçün mövcud olan qiymətli kağızlar, cəmi</t>
  </si>
  <si>
    <t>A4.3a</t>
  </si>
  <si>
    <t>A4.3a.1</t>
  </si>
  <si>
    <t>A4.3b</t>
  </si>
  <si>
    <t>A4.3b1</t>
  </si>
  <si>
    <t>A4.3c</t>
  </si>
  <si>
    <t>A5</t>
  </si>
  <si>
    <t xml:space="preserve">Əks REPO əməliyyatları </t>
  </si>
  <si>
    <t>A6</t>
  </si>
  <si>
    <t>Banklara depozitlər və kreditlər</t>
  </si>
  <si>
    <t>A6a</t>
  </si>
  <si>
    <t>o cümlədən AMB-də overnight</t>
  </si>
  <si>
    <t>A6b</t>
  </si>
  <si>
    <t>o cümlədən banklardakı overnight</t>
  </si>
  <si>
    <t>A6c</t>
  </si>
  <si>
    <t>Banklara depozitlər və kreditlər üzrə məqsədli ehtiyatlar</t>
  </si>
  <si>
    <t>A7</t>
  </si>
  <si>
    <t xml:space="preserve">Maliyyə institutlarına depozitlər və kreditlər </t>
  </si>
  <si>
    <t>A7a</t>
  </si>
  <si>
    <t xml:space="preserve">Maliyyə institutlarına depozitlər və kreditlər  üzrə məqsədli ehtiyatlar</t>
  </si>
  <si>
    <t>A8</t>
  </si>
  <si>
    <t>Müştərilərə verilən kreditlər və lizinqlər, cəmi</t>
  </si>
  <si>
    <t>A8.1</t>
  </si>
  <si>
    <t>Biznes kreditləri</t>
  </si>
  <si>
    <t>A8.2</t>
  </si>
  <si>
    <t>A8.3</t>
  </si>
  <si>
    <t>İpoteka kreditləri</t>
  </si>
  <si>
    <t>A8b</t>
  </si>
  <si>
    <t xml:space="preserve">Müştərilərə verilən kreditlər və lizinqlər  üzrə məqsədli ehtiyatlar</t>
  </si>
  <si>
    <t>A9</t>
  </si>
  <si>
    <t>Köhnəlmə çıxılmaqla bank işində istifadə olunan əsas vəsaitlər</t>
  </si>
  <si>
    <t>A10</t>
  </si>
  <si>
    <t xml:space="preserve">Bank işində istifadə olunmayan əsas vəsaitlər </t>
  </si>
  <si>
    <t>A10a</t>
  </si>
  <si>
    <t>o cümlədən daşınmaz əmlak</t>
  </si>
  <si>
    <t>A10b</t>
  </si>
  <si>
    <t>Bank işində istifadə olunmayan əsas vəsaitlər (xalis)</t>
  </si>
  <si>
    <t>A11</t>
  </si>
  <si>
    <t>İnvestisiyalar və maliyyə iştirakı (xalis)</t>
  </si>
  <si>
    <t>A12</t>
  </si>
  <si>
    <t>Digər aktivlər (xalis)</t>
  </si>
  <si>
    <t>A12a</t>
  </si>
  <si>
    <t>O cümlədən, hesablanmış alınası faizlər (xalis)</t>
  </si>
  <si>
    <t>A12b</t>
  </si>
  <si>
    <t xml:space="preserve">hesablanmış alınası faizlər üzrə məqsədli ehtiyatlar </t>
  </si>
  <si>
    <t>A12c</t>
  </si>
  <si>
    <t>Digər məqsədli ehtiyatlar (3a, 4b,,6c,7a, 8b, 12b bəndləri istisna olmaqla)</t>
  </si>
  <si>
    <t>A13</t>
  </si>
  <si>
    <t>AKTİVLƏR CƏMİ</t>
  </si>
  <si>
    <t>PASSİVLƏR</t>
  </si>
  <si>
    <t>B1</t>
  </si>
  <si>
    <t>Tələbli depozitləri</t>
  </si>
  <si>
    <t>B1a</t>
  </si>
  <si>
    <t>B1b</t>
  </si>
  <si>
    <t>B1c</t>
  </si>
  <si>
    <t>Sahibkar fiziki şəxslər</t>
  </si>
  <si>
    <t>B2</t>
  </si>
  <si>
    <t>Müddətli depozitləri</t>
  </si>
  <si>
    <t>B2a</t>
  </si>
  <si>
    <t>B2b</t>
  </si>
  <si>
    <t>B3</t>
  </si>
  <si>
    <t>AMB-nin banka qarşı tələbi</t>
  </si>
  <si>
    <t>B4</t>
  </si>
  <si>
    <t>Bankların tələbləri (Loro)</t>
  </si>
  <si>
    <t>B4a</t>
  </si>
  <si>
    <t>B4b</t>
  </si>
  <si>
    <t>B5</t>
  </si>
  <si>
    <t>Maliyyə sektoru institutlarından cəlb edilən vəsaitlər</t>
  </si>
  <si>
    <t>B5a</t>
  </si>
  <si>
    <t>Bankların depozitləri və kreditləri</t>
  </si>
  <si>
    <t>B5a.1</t>
  </si>
  <si>
    <t>O cümlədən subordinasiya borc öhdəliyi</t>
  </si>
  <si>
    <t>B5b</t>
  </si>
  <si>
    <t>Maliyyə institutlarının depozitləri və kreditləri ( Dövlət Fondları istisna olmaqla)</t>
  </si>
  <si>
    <t>B5b.1</t>
  </si>
  <si>
    <t>B6</t>
  </si>
  <si>
    <t>Dövlət Fondlarından cəlb edilmiş müddətli depozitlər</t>
  </si>
  <si>
    <t>B7</t>
  </si>
  <si>
    <t>Dövlət Fondlarından cəlb edilmiş kreditlər</t>
  </si>
  <si>
    <t>B7a</t>
  </si>
  <si>
    <t>İKZF</t>
  </si>
  <si>
    <t>B7b</t>
  </si>
  <si>
    <t>SİF</t>
  </si>
  <si>
    <t>B7c</t>
  </si>
  <si>
    <t>AKİA</t>
  </si>
  <si>
    <t>B7d</t>
  </si>
  <si>
    <t>digər fondlar</t>
  </si>
  <si>
    <t>B8</t>
  </si>
  <si>
    <t>Repo əməliyyatları</t>
  </si>
  <si>
    <t>B9</t>
  </si>
  <si>
    <t>Bank tərəfindən buraxılmış qiymətli kağızlar</t>
  </si>
  <si>
    <t>B9a</t>
  </si>
  <si>
    <t>B10</t>
  </si>
  <si>
    <t>Digər öhdəliklər</t>
  </si>
  <si>
    <t>B10a</t>
  </si>
  <si>
    <t>O cümlədən, hesablanmış ödəniləsi faizlər</t>
  </si>
  <si>
    <t>B10b</t>
  </si>
  <si>
    <t>o cümlədən subordinasiya borc öhdəlikləri (16a.1, 16b.1, 20a istisna olmaqla)</t>
  </si>
  <si>
    <t>B11</t>
  </si>
  <si>
    <t>PASSİVLƏR CƏMİ</t>
  </si>
  <si>
    <t>B12</t>
  </si>
  <si>
    <t>Balans kapital , cəmi</t>
  </si>
  <si>
    <t>B12a</t>
  </si>
  <si>
    <t>Nizamnamə kapitalı</t>
  </si>
  <si>
    <t>B13</t>
  </si>
  <si>
    <t>cari ilin xalis mənfəəti (zərəri)</t>
  </si>
  <si>
    <t>B14</t>
  </si>
  <si>
    <t>ÖHDƏLİKLƏR VƏ KAPİTALIN cəmi</t>
  </si>
  <si>
    <t>II Hissə – Balansdankənar hesabat - valyuta stukturu üzrə (min manatla)</t>
  </si>
  <si>
    <t>BALANSARXASI ÖHDƏLİKLƏR</t>
  </si>
  <si>
    <t>Qarantiyalar</t>
  </si>
  <si>
    <t>Kredit xətləri</t>
  </si>
  <si>
    <t>Akkreditivlər</t>
  </si>
  <si>
    <t>Forvard</t>
  </si>
  <si>
    <t>Fyuçers</t>
  </si>
  <si>
    <t xml:space="preserve">Svop </t>
  </si>
  <si>
    <t>Digər balansarxası öhdəliklər</t>
  </si>
  <si>
    <t xml:space="preserve">BALANSARXASI ÖHDƏLİKLƏR CƏMİ </t>
  </si>
  <si>
    <t>BALANSARXASI TƏLƏBLƏR</t>
  </si>
  <si>
    <t>Alınmış qarantiyalar</t>
  </si>
  <si>
    <t xml:space="preserve">BALANSARXASI TƏLƏBLƏR CƏMİ </t>
  </si>
  <si>
    <t>III Hissə – Risklərin idarə edilməsi - valyuta stukturu üzrə (min manatla)</t>
  </si>
  <si>
    <t>Risklər barədə məlumatlar</t>
  </si>
  <si>
    <t>Kredit riskləri (“Aktivlərin təsnifləşdirilməsi və mümkün zərərlərin ödənilməsi üçün xüsusi ehtiyatların yaradılması Qaydası”nın tələblərinə uyğun olaraq; yalnız əsas borclar)</t>
  </si>
  <si>
    <t>Vaxtı keçmiş (VKK) o cümlədən</t>
  </si>
  <si>
    <t>1a</t>
  </si>
  <si>
    <t>1b</t>
  </si>
  <si>
    <t>1c</t>
  </si>
  <si>
    <t>Qeyri-işlək kreditlər (90 gündən çox gecikmiş) o cümlədən</t>
  </si>
  <si>
    <t>2a</t>
  </si>
  <si>
    <t>2b</t>
  </si>
  <si>
    <t>2c</t>
  </si>
  <si>
    <t>Restrukturizasiya edilmiş kreditlər, o cümlədən</t>
  </si>
  <si>
    <t>3a</t>
  </si>
  <si>
    <t>3b</t>
  </si>
  <si>
    <t>3c</t>
  </si>
  <si>
    <t>Silinmiş aktivlər</t>
  </si>
  <si>
    <t xml:space="preserve">Likvildik riskləri  (“Banklarda likvidlik riskinin idarə edilməsi Qaydası”nın tələblərinə uyğun olaraq)</t>
  </si>
  <si>
    <t xml:space="preserve">Cari aktivlər </t>
  </si>
  <si>
    <t xml:space="preserve">Cari öhdəliklər </t>
  </si>
  <si>
    <t>Ani likvidlik əmsalı</t>
  </si>
  <si>
    <t>Yüksək keyfiyyətli likvid aktivlər</t>
  </si>
  <si>
    <t>89699.97685</t>
  </si>
  <si>
    <t>Cəmi xalis nağd məxariclər</t>
  </si>
  <si>
    <t>Likvidliyin örtülmə əmsalı (LCR)</t>
  </si>
  <si>
    <t>IV Hissə – Balans maddələri üzrə dəyişikliklərə dair əlavə məlumatlar (min manatla)</t>
  </si>
  <si>
    <t>Fiziki şəxslərin tələbli depozitlərinə mədaxil</t>
  </si>
  <si>
    <t>Fiziki şəxslərin müddətli depozitlərinə mədaxil</t>
  </si>
  <si>
    <t>Fiziki şəxslərin tələbli depozitlərindən məxaric</t>
  </si>
  <si>
    <t>Fiziki şəxslərin müddətli depozitlərindən məxaric</t>
  </si>
  <si>
    <t>Hüquqi şəxslərin tələbli depozitlərinə mədaxil</t>
  </si>
  <si>
    <t>Hüquqi şəxslərin müddətli depozitlərinə mədaxil</t>
  </si>
  <si>
    <t>Hüquqi şəxslərin tələbli depozitlərindən məxaric</t>
  </si>
  <si>
    <t>Hüquqi şəxslərin müddətli depozitlərindən məxaric</t>
  </si>
  <si>
    <t>Sahibkar fiziki şəxslərin tələbli depozitlərinə mədaxil</t>
  </si>
  <si>
    <t>Sahibkar fiziki şəxslərin tələbli depozitlərindən məxaric</t>
  </si>
  <si>
    <t>Gün ərzində cəmi verilmiş kreditlər (REST istisna)</t>
  </si>
  <si>
    <t>11a</t>
  </si>
  <si>
    <t>Gün ərzində verilmiş biznes kreditləri</t>
  </si>
  <si>
    <t>11b</t>
  </si>
  <si>
    <t>Gün ərzində verilmiş istehlak kreditləri</t>
  </si>
  <si>
    <t>11c</t>
  </si>
  <si>
    <t>Gün ərzində verilmiş ipoteka kreditləri</t>
  </si>
  <si>
    <t>Gün ərzində qaytarılmış kreditlər (REST isitisna)</t>
  </si>
  <si>
    <t>12a</t>
  </si>
  <si>
    <t>Gün ərzində qaytarılmış biznes kreditləri</t>
  </si>
  <si>
    <t>12b</t>
  </si>
  <si>
    <t>Gün ərzində qaytarılmış istehlak kreditləri</t>
  </si>
  <si>
    <t>12c</t>
  </si>
  <si>
    <t>Gün ərzində qaytarılmış ipoteka kreditləri</t>
  </si>
  <si>
    <t>Valyuta seçin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</si>
</sst>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£&quot;#,##0;\-&quot;£&quot;#,##0"/>
    <numFmt numFmtId="165" formatCode="_-* #,##0.00_р_._-;\-* #,##0.00_р_._-;_-* &quot;-&quot;??_р_._-;_-@_-"/>
    <numFmt numFmtId="166" formatCode="#,##0.0"/>
    <numFmt numFmtId="167" formatCode="0.0%"/>
  </numFmts>
  <fonts count="3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186"/>
      <scheme val="minor"/>
    </font>
    <font>
      <sz val="11"/>
      <color indexed="8"/>
      <name val="Times New Roman"/>
      <family val="1"/>
    </font>
    <font>
      <sz val="11"/>
      <color indexed="8"/>
      <name val="Calibri"/>
      <family val="2"/>
      <charset val="204"/>
    </font>
    <font>
      <sz val="11"/>
      <name val="Calibri"/>
      <family val="2"/>
      <charset val="204"/>
    </font>
    <font>
      <sz val="11"/>
      <color indexed="8"/>
      <name val="Calibri"/>
      <family val="2"/>
    </font>
    <font>
      <b/>
      <sz val="11"/>
      <color indexed="8"/>
      <name val="Times New Roman"/>
      <family val="1"/>
    </font>
    <font>
      <sz val="11"/>
      <color theme="1"/>
      <name val="Calibri"/>
      <family val="2"/>
      <charset val="204"/>
      <scheme val="minor"/>
    </font>
    <font>
      <i/>
      <sz val="11"/>
      <color indexed="8"/>
      <name val="Times New Roman"/>
      <family val="1"/>
    </font>
    <font>
      <b/>
      <sz val="11"/>
      <color rgb="FF000000"/>
      <name val="Calibri"/>
      <family val="2"/>
    </font>
    <font>
      <b/>
      <sz val="11"/>
      <name val="Times New Roman"/>
      <family val="1"/>
    </font>
    <font>
      <b/>
      <i/>
      <sz val="11"/>
      <name val="Times New Roman"/>
      <family val="1"/>
    </font>
    <font>
      <i/>
      <sz val="11"/>
      <name val="Times New Roman"/>
      <family val="1"/>
    </font>
    <font>
      <sz val="11"/>
      <name val="Times New Roman"/>
      <family val="1"/>
    </font>
    <font>
      <sz val="11"/>
      <name val="Calibri"/>
      <family val="2"/>
      <charset val="204"/>
      <scheme val="minor"/>
    </font>
    <font>
      <sz val="12"/>
      <color theme="1"/>
      <name val="Arial"/>
      <family val="2"/>
    </font>
    <font>
      <b/>
      <sz val="12"/>
      <name val="Arial"/>
      <family val="2"/>
    </font>
    <font>
      <b/>
      <sz val="12"/>
      <color rgb="FF00B050"/>
      <name val="Arial"/>
      <family val="2"/>
    </font>
    <font>
      <b/>
      <sz val="12"/>
      <color rgb="FFFF0000"/>
      <name val="Arial"/>
      <family val="2"/>
    </font>
    <font>
      <sz val="12"/>
      <color rgb="FFFF0000"/>
      <name val="Arial"/>
      <family val="2"/>
    </font>
    <font>
      <b/>
      <sz val="12"/>
      <color theme="1"/>
      <name val="Arial"/>
      <family val="2"/>
    </font>
    <font>
      <sz val="12"/>
      <color rgb="FF00B050"/>
      <name val="Arial"/>
      <family val="2"/>
    </font>
    <font>
      <b/>
      <sz val="16"/>
      <color theme="1"/>
      <name val="Arial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rgb="FF000000"/>
      <name val="Times New Roman"/>
      <family val="1"/>
    </font>
    <font>
      <i/>
      <sz val="12"/>
      <color theme="1"/>
      <name val="Times New Roman"/>
      <family val="1"/>
    </font>
    <font>
      <i/>
      <sz val="12"/>
      <color rgb="FF000000"/>
      <name val="Times New Roman"/>
      <family val="1"/>
    </font>
    <font>
      <b/>
      <i/>
      <sz val="11"/>
      <color theme="0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165" applyNumberFormat="1" fontId="3" applyFont="0" fillId="0" applyFill="0" borderId="0" applyBorder="0" applyProtection="0" applyAlignment="0"/>
    <xf numFmtId="164" applyNumberFormat="1" fontId="4" applyFont="0" fillId="0" applyFill="0" borderId="0" applyBorder="0" applyProtection="0" applyAlignment="0"/>
    <xf numFmtId="164" applyNumberFormat="1" fontId="5" applyFont="0" fillId="0" applyFill="0" borderId="0" applyBorder="0" applyProtection="0" applyAlignment="0"/>
    <xf numFmtId="165" applyNumberFormat="1" fontId="7" applyFont="0" fillId="0" applyFill="0" borderId="0" applyBorder="0" applyProtection="0" applyAlignment="0"/>
    <xf numFmtId="165" applyNumberFormat="1" fontId="7" applyFont="0" fillId="0" applyFill="0" borderId="0" applyBorder="0" applyProtection="0" applyAlignment="0"/>
    <xf numFmtId="0" fontId="4" applyFont="1" fillId="0" borderId="0"/>
    <xf numFmtId="0" fontId="1" applyFont="1" fillId="0" borderId="0"/>
    <xf numFmtId="9" applyNumberFormat="1" fontId="7" applyFont="0" fillId="0" applyFill="0" borderId="0" applyBorder="0" applyProtection="0" applyAlignment="0"/>
  </cellStyleXfs>
  <cellXfs count="281">
    <xf numFmtId="0" fontId="0" fillId="0" borderId="0" xfId="0"/>
    <xf numFmtId="0" fontId="2" applyFont="1" fillId="0" borderId="0" xfId="0" applyProtection="1" applyAlignment="1">
      <alignment vertical="center"/>
    </xf>
    <xf numFmtId="0" fontId="9" applyFont="1" fillId="0" borderId="0" xfId="0" applyAlignment="1">
      <alignment horizontal="center"/>
    </xf>
    <xf numFmtId="0" fontId="8" applyFont="1" fillId="0" borderId="0" xfId="0" applyProtection="1" applyAlignment="1">
      <alignment vertical="center"/>
    </xf>
    <xf numFmtId="0" fontId="2" applyFont="1" fillId="0" borderId="0" applyBorder="1" xfId="0" applyProtection="1" applyAlignment="1">
      <alignment vertical="center"/>
    </xf>
    <xf numFmtId="0" fontId="2" applyFont="1" fillId="4" applyFill="1" borderId="0" xfId="0" applyProtection="1" applyAlignment="1">
      <alignment vertical="center"/>
    </xf>
    <xf numFmtId="0" fontId="2" applyFont="1" fillId="0" applyFill="1" borderId="0" xfId="0" applyProtection="1" applyAlignment="1">
      <alignment vertical="center"/>
    </xf>
    <xf numFmtId="0" fontId="13" applyFont="1" fillId="0" borderId="0" applyBorder="1" xfId="0" applyProtection="1" applyAlignment="1">
      <alignment horizontal="center" vertical="center" wrapText="1"/>
    </xf>
    <xf numFmtId="0" fontId="6" applyFont="1" fillId="0" borderId="0" xfId="0" applyProtection="1" applyAlignment="1">
      <alignment vertical="center"/>
    </xf>
    <xf numFmtId="0" fontId="2" applyFont="1" fillId="0" applyFill="1" borderId="0" applyBorder="1" xfId="0" applyProtection="1" applyAlignment="1">
      <alignment vertical="center"/>
    </xf>
    <xf numFmtId="166" applyNumberFormat="1" fontId="2" applyFont="1" fillId="0" borderId="0" xfId="1" applyProtection="1" applyAlignment="1">
      <alignment horizontal="center" vertical="center"/>
    </xf>
    <xf numFmtId="166" applyNumberFormat="1" fontId="2" applyFont="1" fillId="0" borderId="0" xfId="0" applyProtection="1" applyAlignment="1">
      <alignment horizontal="center" vertical="center"/>
    </xf>
    <xf numFmtId="9" applyNumberFormat="1" fontId="2" applyFont="1" fillId="0" borderId="0" xfId="8" applyProtection="1" applyAlignment="1">
      <alignment horizontal="center" vertical="center"/>
    </xf>
    <xf numFmtId="166" applyNumberFormat="1" fontId="10" applyFont="1" fillId="3" applyFill="1" borderId="34" applyBorder="1" xfId="1" applyProtection="1" applyAlignment="1">
      <alignment horizontal="center" vertical="center" wrapText="1"/>
    </xf>
    <xf numFmtId="9" applyNumberFormat="1" fontId="10" applyFont="1" fillId="3" applyFill="1" borderId="35" applyBorder="1" xfId="8" applyProtection="1" applyAlignment="1">
      <alignment horizontal="center" vertical="center" wrapText="1"/>
    </xf>
    <xf numFmtId="166" applyNumberFormat="1" fontId="10" applyFont="1" fillId="3" applyFill="1" borderId="36" applyBorder="1" xfId="1" applyProtection="1" applyAlignment="1">
      <alignment horizontal="center" vertical="center" wrapText="1"/>
    </xf>
    <xf numFmtId="0" fontId="23" applyFont="1" fillId="0" borderId="0" xfId="7" applyAlignment="1">
      <alignment horizontal="right"/>
    </xf>
    <xf numFmtId="0" fontId="23" applyFont="1" fillId="0" borderId="0" xfId="7" applyAlignment="1">
      <alignment vertical="center"/>
    </xf>
    <xf numFmtId="0" fontId="23" applyFont="1" fillId="0" borderId="0" xfId="7"/>
    <xf numFmtId="166" applyNumberFormat="1" fontId="10" applyFont="1" fillId="2" applyFill="1" borderId="5" applyBorder="1" xfId="0" applyProtection="1" applyAlignment="1">
      <alignment horizontal="center" vertical="center" wrapText="1"/>
    </xf>
    <xf numFmtId="166" applyNumberFormat="1" fontId="10" applyFont="1" fillId="2" applyFill="1" borderId="1" applyBorder="1" xfId="0" applyProtection="1" applyAlignment="1">
      <alignment horizontal="center" vertical="center" wrapText="1"/>
    </xf>
    <xf numFmtId="166" applyNumberFormat="1" fontId="12" applyFont="1" fillId="0" borderId="1" applyBorder="1" xfId="0" applyProtection="1" applyAlignment="1">
      <alignment horizontal="center" vertical="center" wrapText="1"/>
    </xf>
    <xf numFmtId="166" applyNumberFormat="1" fontId="12" applyFont="1" fillId="2" applyFill="1" borderId="1" applyBorder="1" xfId="0" applyProtection="1" applyAlignment="1">
      <alignment horizontal="center" vertical="center" wrapText="1"/>
    </xf>
    <xf numFmtId="166" applyNumberFormat="1" fontId="11" applyFont="1" fillId="0" borderId="1" applyBorder="1" xfId="0" applyProtection="1" applyAlignment="1">
      <alignment horizontal="center" vertical="center" wrapText="1"/>
    </xf>
    <xf numFmtId="166" applyNumberFormat="1" fontId="12" applyFont="1" fillId="0" borderId="2" applyBorder="1" xfId="0" applyProtection="1" applyAlignment="1">
      <alignment horizontal="center" vertical="center" wrapText="1"/>
    </xf>
    <xf numFmtId="166" applyNumberFormat="1" fontId="12" applyFont="1" fillId="0" borderId="42" applyBorder="1" xfId="0" applyProtection="1" applyAlignment="1">
      <alignment horizontal="center" vertical="center" wrapText="1"/>
    </xf>
    <xf numFmtId="166" applyNumberFormat="1" fontId="6" applyFont="1" fillId="3" applyFill="1" borderId="46" applyBorder="1" xfId="0" applyProtection="1" applyAlignment="1">
      <alignment horizontal="center" vertical="center"/>
    </xf>
    <xf numFmtId="166" applyNumberFormat="1" fontId="12" applyFont="1" fillId="0" applyFill="1" borderId="1" applyBorder="1" xfId="0" applyProtection="1" applyAlignment="1">
      <alignment horizontal="center" vertical="center" wrapText="1"/>
    </xf>
    <xf numFmtId="166" applyNumberFormat="1" fontId="11" applyFont="1" fillId="0" applyFill="1" borderId="1" applyBorder="1" xfId="0" applyProtection="1" applyAlignment="1">
      <alignment horizontal="center" vertical="center" wrapText="1"/>
    </xf>
    <xf numFmtId="166" applyNumberFormat="1" fontId="10" applyFont="1" fillId="3" applyFill="1" borderId="1" applyBorder="1" xfId="0" applyProtection="1" applyAlignment="1">
      <alignment horizontal="center" vertical="center" wrapText="1"/>
    </xf>
    <xf numFmtId="166" applyNumberFormat="1" fontId="10" applyFont="1" fillId="0" borderId="1" applyBorder="1" xfId="0" applyProtection="1" applyAlignment="1">
      <alignment horizontal="center" vertical="center" wrapText="1"/>
    </xf>
    <xf numFmtId="166" applyNumberFormat="1" fontId="10" applyFont="1" fillId="0" borderId="0" xfId="0" applyProtection="1" applyAlignment="1">
      <alignment horizontal="center" vertical="center" wrapText="1"/>
    </xf>
    <xf numFmtId="166" applyNumberFormat="1" fontId="10" applyFont="1" fillId="5" applyFill="1" borderId="1" applyBorder="1" xfId="0" applyProtection="1" applyAlignment="1">
      <alignment horizontal="center" vertical="center" wrapText="1"/>
    </xf>
    <xf numFmtId="166" applyNumberFormat="1" fontId="6" applyFont="1" fillId="3" applyFill="1" borderId="2" applyBorder="1" xfId="0" applyProtection="1" applyAlignment="1">
      <alignment horizontal="center" vertical="center"/>
    </xf>
    <xf numFmtId="166" applyNumberFormat="1" fontId="11" applyFont="1" fillId="3" applyFill="1" borderId="4" applyBorder="1" xfId="0" applyProtection="1" applyAlignment="1">
      <alignment horizontal="center" vertical="center" wrapText="1"/>
    </xf>
    <xf numFmtId="166" applyNumberFormat="1" fontId="10" applyFont="1" fillId="0" applyFill="1" borderId="1" applyBorder="1" xfId="0" applyProtection="1" applyAlignment="1">
      <alignment horizontal="center" vertical="center" wrapText="1"/>
    </xf>
    <xf numFmtId="166" applyNumberFormat="1" fontId="10" applyFont="1" fillId="0" applyFill="1" borderId="0" applyBorder="1" xfId="0" applyProtection="1" applyAlignment="1">
      <alignment horizontal="center" vertical="center" wrapText="1"/>
    </xf>
    <xf numFmtId="166" applyNumberFormat="1" fontId="10" applyFont="1" fillId="5" applyFill="1" borderId="4" applyBorder="1" xfId="0" applyProtection="1" applyAlignment="1">
      <alignment horizontal="center" vertical="center" wrapText="1"/>
    </xf>
    <xf numFmtId="166" applyNumberFormat="1" fontId="10" applyFont="1" fillId="2" applyFill="1" borderId="37" applyBorder="1" xfId="1" applyProtection="1" applyAlignment="1">
      <alignment horizontal="center" vertical="center" wrapText="1"/>
    </xf>
    <xf numFmtId="9" applyNumberFormat="1" fontId="10" applyFont="1" fillId="2" applyFill="1" borderId="38" applyBorder="1" xfId="8" applyProtection="1" applyAlignment="1">
      <alignment horizontal="center" vertical="center" wrapText="1"/>
    </xf>
    <xf numFmtId="166" applyNumberFormat="1" fontId="10" applyFont="1" fillId="2" applyFill="1" borderId="39" applyBorder="1" xfId="1" applyProtection="1" applyAlignment="1">
      <alignment horizontal="center" vertical="center" wrapText="1"/>
    </xf>
    <xf numFmtId="9" applyNumberFormat="1" fontId="10" applyFont="1" fillId="2" applyFill="1" borderId="40" applyBorder="1" xfId="8" applyProtection="1" applyAlignment="1">
      <alignment horizontal="center" vertical="center" wrapText="1"/>
    </xf>
    <xf numFmtId="166" applyNumberFormat="1" fontId="12" applyFont="1" fillId="0" borderId="39" applyBorder="1" xfId="1" applyProtection="1" applyAlignment="1">
      <alignment horizontal="center" vertical="center" wrapText="1"/>
    </xf>
    <xf numFmtId="9" applyNumberFormat="1" fontId="12" applyFont="1" fillId="0" borderId="40" applyBorder="1" xfId="8" applyProtection="1" applyAlignment="1">
      <alignment horizontal="center" vertical="center" wrapText="1"/>
    </xf>
    <xf numFmtId="166" applyNumberFormat="1" fontId="12" applyFont="1" fillId="2" applyFill="1" borderId="39" applyBorder="1" xfId="1" applyProtection="1" applyAlignment="1">
      <alignment horizontal="center" vertical="center" wrapText="1"/>
    </xf>
    <xf numFmtId="9" applyNumberFormat="1" fontId="12" applyFont="1" fillId="2" applyFill="1" borderId="40" applyBorder="1" xfId="8" applyProtection="1" applyAlignment="1">
      <alignment horizontal="center" vertical="center" wrapText="1"/>
    </xf>
    <xf numFmtId="166" applyNumberFormat="1" fontId="11" applyFont="1" fillId="0" borderId="39" applyBorder="1" xfId="1" applyProtection="1" applyAlignment="1">
      <alignment horizontal="center" vertical="center" wrapText="1"/>
    </xf>
    <xf numFmtId="9" applyNumberFormat="1" fontId="11" applyFont="1" fillId="0" borderId="40" applyBorder="1" xfId="8" applyProtection="1" applyAlignment="1">
      <alignment horizontal="center" vertical="center" wrapText="1"/>
    </xf>
    <xf numFmtId="9" applyNumberFormat="1" fontId="12" applyFont="1" fillId="0" borderId="41" applyBorder="1" xfId="8" applyProtection="1" applyAlignment="1">
      <alignment horizontal="center" vertical="center" wrapText="1"/>
    </xf>
    <xf numFmtId="166" applyNumberFormat="1" fontId="12" applyFont="1" fillId="0" borderId="43" applyBorder="1" xfId="1" applyProtection="1" applyAlignment="1">
      <alignment horizontal="center" vertical="center" wrapText="1"/>
    </xf>
    <xf numFmtId="9" applyNumberFormat="1" fontId="12" applyFont="1" fillId="0" borderId="44" applyBorder="1" xfId="8" applyProtection="1" applyAlignment="1">
      <alignment horizontal="center" vertical="center" wrapText="1"/>
    </xf>
    <xf numFmtId="166" applyNumberFormat="1" fontId="6" applyFont="1" fillId="3" applyFill="1" borderId="47" applyBorder="1" xfId="1" applyProtection="1" applyAlignment="1">
      <alignment horizontal="center" vertical="center"/>
    </xf>
    <xf numFmtId="9" applyNumberFormat="1" fontId="6" applyFont="1" fillId="3" applyFill="1" borderId="27" applyBorder="1" xfId="8" applyProtection="1" applyAlignment="1">
      <alignment horizontal="center" vertical="center"/>
    </xf>
    <xf numFmtId="166" applyNumberFormat="1" fontId="6" applyFont="1" fillId="3" applyFill="1" borderId="37" applyBorder="1" xfId="1" applyProtection="1" applyAlignment="1">
      <alignment horizontal="center" vertical="center"/>
    </xf>
    <xf numFmtId="9" applyNumberFormat="1" fontId="6" applyFont="1" fillId="3" applyFill="1" borderId="45" applyBorder="1" xfId="8" applyProtection="1" applyAlignment="1">
      <alignment horizontal="center" vertical="center"/>
    </xf>
    <xf numFmtId="166" applyNumberFormat="1" fontId="12" applyFont="1" fillId="0" applyFill="1" borderId="39" applyBorder="1" xfId="1" applyProtection="1" applyAlignment="1">
      <alignment horizontal="center" vertical="center" wrapText="1"/>
    </xf>
    <xf numFmtId="9" applyNumberFormat="1" fontId="12" applyFont="1" fillId="0" applyFill="1" borderId="40" applyBorder="1" xfId="8" applyProtection="1" applyAlignment="1">
      <alignment horizontal="center" vertical="center" wrapText="1"/>
    </xf>
    <xf numFmtId="166" applyNumberFormat="1" fontId="11" applyFont="1" fillId="0" applyFill="1" borderId="39" applyBorder="1" xfId="1" applyProtection="1" applyAlignment="1">
      <alignment horizontal="center" vertical="center" wrapText="1"/>
    </xf>
    <xf numFmtId="9" applyNumberFormat="1" fontId="11" applyFont="1" fillId="0" applyFill="1" borderId="40" applyBorder="1" xfId="8" applyProtection="1" applyAlignment="1">
      <alignment horizontal="center" vertical="center" wrapText="1"/>
    </xf>
    <xf numFmtId="166" applyNumberFormat="1" fontId="10" applyFont="1" fillId="3" applyFill="1" borderId="39" applyBorder="1" xfId="1" applyProtection="1" applyAlignment="1">
      <alignment horizontal="center" vertical="center" wrapText="1"/>
    </xf>
    <xf numFmtId="9" applyNumberFormat="1" fontId="10" applyFont="1" fillId="3" applyFill="1" borderId="40" applyBorder="1" xfId="8" applyProtection="1" applyAlignment="1">
      <alignment horizontal="center" vertical="center" wrapText="1"/>
    </xf>
    <xf numFmtId="166" applyNumberFormat="1" fontId="10" applyFont="1" fillId="0" borderId="39" applyBorder="1" xfId="1" applyProtection="1" applyAlignment="1">
      <alignment horizontal="center" vertical="center" wrapText="1"/>
    </xf>
    <xf numFmtId="9" applyNumberFormat="1" fontId="10" applyFont="1" fillId="0" borderId="40" applyBorder="1" xfId="8" applyProtection="1" applyAlignment="1">
      <alignment horizontal="center" vertical="center" wrapText="1"/>
    </xf>
    <xf numFmtId="166" applyNumberFormat="1" fontId="10" applyFont="1" fillId="0" borderId="0" xfId="1" applyProtection="1" applyAlignment="1">
      <alignment horizontal="center" vertical="center" wrapText="1"/>
    </xf>
    <xf numFmtId="9" applyNumberFormat="1" fontId="10" applyFont="1" fillId="0" borderId="0" xfId="8" applyProtection="1" applyAlignment="1">
      <alignment horizontal="center" vertical="center" wrapText="1"/>
    </xf>
    <xf numFmtId="166" applyNumberFormat="1" fontId="11" applyFont="1" fillId="3" applyFill="1" borderId="4" applyBorder="1" xfId="1" applyProtection="1" applyAlignment="1">
      <alignment horizontal="center" vertical="center" wrapText="1"/>
    </xf>
    <xf numFmtId="9" applyNumberFormat="1" fontId="11" applyFont="1" fillId="3" applyFill="1" borderId="4" applyBorder="1" xfId="8" applyProtection="1" applyAlignment="1">
      <alignment horizontal="center" vertical="center" wrapText="1"/>
    </xf>
    <xf numFmtId="166" applyNumberFormat="1" fontId="10" applyFont="1" fillId="0" applyFill="1" borderId="0" applyBorder="1" xfId="1" applyProtection="1" applyAlignment="1">
      <alignment horizontal="center" vertical="center" wrapText="1"/>
    </xf>
    <xf numFmtId="9" applyNumberFormat="1" fontId="10" applyFont="1" fillId="0" applyFill="1" borderId="0" applyBorder="1" xfId="8" applyProtection="1" applyAlignment="1">
      <alignment horizontal="center" vertical="center" wrapText="1"/>
    </xf>
    <xf numFmtId="166" applyNumberFormat="1" fontId="10" applyFont="1" fillId="5" applyFill="1" borderId="4" applyBorder="1" xfId="1" applyProtection="1" applyAlignment="1">
      <alignment horizontal="center" vertical="center" wrapText="1"/>
    </xf>
    <xf numFmtId="9" applyNumberFormat="1" fontId="10" applyFont="1" fillId="5" applyFill="1" borderId="4" applyBorder="1" xfId="8" applyProtection="1" applyAlignment="1">
      <alignment horizontal="center" vertical="center" wrapText="1"/>
    </xf>
    <xf numFmtId="0" fontId="10" applyFont="1" fillId="5" applyFill="1" borderId="29" applyBorder="1" xfId="0" applyProtection="1" applyAlignment="1">
      <alignment horizontal="center" vertical="center" wrapText="1"/>
    </xf>
    <xf numFmtId="0" fontId="10" applyFont="1" fillId="5" applyFill="1" borderId="30" applyBorder="1" xfId="0" applyProtection="1" applyAlignment="1">
      <alignment horizontal="center" vertical="center" wrapText="1"/>
    </xf>
    <xf numFmtId="166" applyNumberFormat="1" fontId="10" applyFont="1" fillId="5" applyFill="1" borderId="30" applyBorder="1" xfId="0" applyProtection="1" applyAlignment="1">
      <alignment horizontal="center" vertical="center" wrapText="1"/>
    </xf>
    <xf numFmtId="0" fontId="6" applyFont="1" fillId="3" applyFill="1" borderId="33" applyBorder="1" xfId="0" applyProtection="1" applyAlignment="1">
      <alignment horizontal="centerContinuous" vertical="center"/>
    </xf>
    <xf numFmtId="0" fontId="10" applyFont="1" fillId="2" applyFill="1" borderId="5" applyBorder="1" xfId="0" applyProtection="1" applyAlignment="1">
      <alignment horizontal="center" vertical="center" wrapText="1"/>
    </xf>
    <xf numFmtId="0" fontId="10" applyFont="1" fillId="2" applyFill="1" borderId="5" applyBorder="1" xfId="0" applyProtection="1" applyAlignment="1">
      <alignment horizontal="left" vertical="center" wrapText="1"/>
    </xf>
    <xf numFmtId="0" fontId="10" applyFont="1" fillId="2" applyFill="1" borderId="1" applyBorder="1" xfId="0" applyProtection="1" applyAlignment="1">
      <alignment horizontal="center" vertical="center" wrapText="1"/>
    </xf>
    <xf numFmtId="0" fontId="10" applyFont="1" fillId="2" applyFill="1" borderId="1" applyBorder="1" xfId="0" applyProtection="1" applyAlignment="1">
      <alignment horizontal="left" vertical="center" wrapText="1"/>
    </xf>
    <xf numFmtId="0" fontId="11" applyFont="1" fillId="0" borderId="1" applyBorder="1" xfId="0" applyProtection="1" applyAlignment="1">
      <alignment horizontal="center" vertical="center" wrapText="1"/>
    </xf>
    <xf numFmtId="0" fontId="12" applyFont="1" fillId="0" borderId="1" applyBorder="1" xfId="0" applyProtection="1" applyAlignment="1">
      <alignment horizontal="left" vertical="center" wrapText="1" indent="1"/>
    </xf>
    <xf numFmtId="0" fontId="11" applyFont="1" fillId="2" applyFill="1" borderId="1" applyBorder="1" xfId="0" applyProtection="1" applyAlignment="1">
      <alignment horizontal="center" vertical="center" wrapText="1"/>
    </xf>
    <xf numFmtId="0" fontId="12" applyFont="1" fillId="2" applyFill="1" borderId="1" applyBorder="1" xfId="0" applyProtection="1" applyAlignment="1">
      <alignment horizontal="left" vertical="center" wrapText="1" indent="1"/>
    </xf>
    <xf numFmtId="0" fontId="12" applyFont="1" fillId="0" borderId="1" applyBorder="1" xfId="0" applyProtection="1" applyAlignment="1">
      <alignment horizontal="center" vertical="center" wrapText="1"/>
    </xf>
    <xf numFmtId="0" fontId="11" applyFont="1" fillId="0" borderId="1" applyBorder="1" xfId="0" applyProtection="1" applyAlignment="1">
      <alignment horizontal="left" vertical="center" wrapText="1" indent="1"/>
    </xf>
    <xf numFmtId="0" fontId="10" applyFont="1" fillId="0" borderId="1" applyBorder="1" xfId="0" applyProtection="1" applyAlignment="1">
      <alignment horizontal="center" vertical="center" wrapText="1"/>
    </xf>
    <xf numFmtId="0" fontId="12" applyFont="1" fillId="0" borderId="2" applyBorder="1" xfId="0" applyProtection="1" applyAlignment="1">
      <alignment horizontal="left" vertical="center" wrapText="1" indent="1"/>
    </xf>
    <xf numFmtId="0" fontId="10" applyFont="1" fillId="0" borderId="28" applyBorder="1" xfId="0" applyProtection="1" applyAlignment="1">
      <alignment horizontal="center" vertical="center" wrapText="1"/>
    </xf>
    <xf numFmtId="0" fontId="12" applyFont="1" fillId="0" borderId="42" applyBorder="1" xfId="0" applyProtection="1" applyAlignment="1">
      <alignment horizontal="left" vertical="center" wrapText="1" indent="1"/>
    </xf>
    <xf numFmtId="0" fontId="6" applyFont="1" fillId="3" applyFill="1" borderId="47" applyBorder="1" xfId="0" applyProtection="1" applyAlignment="1">
      <alignment horizontal="centerContinuous" vertical="center"/>
    </xf>
    <xf numFmtId="0" fontId="6" applyFont="1" fillId="3" applyFill="1" borderId="46" applyBorder="1" xfId="0" applyProtection="1" applyAlignment="1">
      <alignment horizontal="centerContinuous" vertical="center"/>
    </xf>
    <xf numFmtId="0" fontId="6" applyFont="1" fillId="3" applyFill="1" borderId="6" applyBorder="1" xfId="0" applyProtection="1" applyAlignment="1">
      <alignment horizontal="centerContinuous" vertical="center"/>
    </xf>
    <xf numFmtId="0" fontId="12" applyFont="1" fillId="0" applyFill="1" borderId="1" applyBorder="1" xfId="0" applyProtection="1" applyAlignment="1">
      <alignment horizontal="center" vertical="center" wrapText="1"/>
    </xf>
    <xf numFmtId="0" fontId="12" applyFont="1" fillId="0" applyFill="1" borderId="1" applyBorder="1" xfId="0" applyProtection="1" applyAlignment="1">
      <alignment horizontal="left" vertical="center" wrapText="1" indent="1"/>
    </xf>
    <xf numFmtId="0" fontId="10" applyFont="1" fillId="0" applyFill="1" borderId="1" applyBorder="1" xfId="0" applyProtection="1" applyAlignment="1">
      <alignment horizontal="center" vertical="center" wrapText="1"/>
    </xf>
    <xf numFmtId="0" fontId="10" applyFont="1" fillId="0" applyFill="1" borderId="1" applyBorder="1" xfId="0" applyProtection="1" applyAlignment="1">
      <alignment horizontal="left" vertical="center" wrapText="1" indent="1"/>
    </xf>
    <xf numFmtId="0" fontId="12" applyFont="1" fillId="0" applyFill="1" borderId="1" applyBorder="1" xfId="0" applyProtection="1" applyAlignment="1">
      <alignment horizontal="left" vertical="center" wrapText="1" indent="3"/>
    </xf>
    <xf numFmtId="0" fontId="11" applyFont="1" fillId="0" applyFill="1" borderId="1" applyBorder="1" xfId="0" applyProtection="1" applyAlignment="1">
      <alignment horizontal="center" vertical="center" wrapText="1"/>
    </xf>
    <xf numFmtId="0" fontId="11" applyFont="1" fillId="0" applyFill="1" borderId="1" applyBorder="1" xfId="0" applyProtection="1" applyAlignment="1">
      <alignment horizontal="left" vertical="center" wrapText="1" indent="1"/>
    </xf>
    <xf numFmtId="0" fontId="10" applyFont="1" fillId="3" applyFill="1" borderId="1" applyBorder="1" xfId="0" applyProtection="1" applyAlignment="1">
      <alignment horizontal="centerContinuous" vertical="center" wrapText="1"/>
    </xf>
    <xf numFmtId="0" fontId="10" applyFont="1" fillId="0" borderId="1" applyBorder="1" xfId="0" applyProtection="1" applyAlignment="1">
      <alignment horizontal="left" vertical="center" wrapText="1"/>
    </xf>
    <xf numFmtId="0" fontId="10" applyFont="1" fillId="3" applyFill="1" borderId="1" applyBorder="1" xfId="0" applyProtection="1" applyAlignment="1">
      <alignment horizontal="center" vertical="center" wrapText="1"/>
    </xf>
    <xf numFmtId="0" fontId="10" applyFont="1" fillId="0" borderId="0" xfId="0" applyProtection="1" applyAlignment="1">
      <alignment horizontal="center" vertical="center" wrapText="1"/>
    </xf>
    <xf numFmtId="0" fontId="10" applyFont="1" fillId="5" applyFill="1" borderId="1" applyBorder="1" xfId="0" applyProtection="1" applyAlignment="1">
      <alignment horizontal="centerContinuous" vertical="center" wrapText="1"/>
    </xf>
    <xf numFmtId="0" fontId="10" applyFont="1" fillId="3" applyFill="1" borderId="3" applyBorder="1" xfId="0" applyProtection="1" applyAlignment="1">
      <alignment horizontal="centerContinuous" vertical="center" wrapText="1"/>
    </xf>
    <xf numFmtId="0" fontId="6" applyFont="1" fillId="3" applyFill="1" borderId="3" applyBorder="1" xfId="0" applyProtection="1" applyAlignment="1">
      <alignment horizontal="centerContinuous" vertical="center"/>
    </xf>
    <xf numFmtId="0" fontId="13" applyFont="1" fillId="0" borderId="0" xfId="0" applyProtection="1" applyAlignment="1">
      <alignment horizontal="center" vertical="center" wrapText="1"/>
    </xf>
    <xf numFmtId="0" fontId="11" applyFont="1" fillId="3" applyFill="1" borderId="3" applyBorder="1" xfId="0" applyProtection="1" applyAlignment="1">
      <alignment horizontal="centerContinuous" vertical="center" wrapText="1"/>
    </xf>
    <xf numFmtId="0" fontId="12" applyFont="1" fillId="0" borderId="1" applyBorder="1" xfId="0" applyProtection="1" applyAlignment="1">
      <alignment horizontal="left" vertical="center" wrapText="1"/>
    </xf>
    <xf numFmtId="0" fontId="10" applyFont="1" fillId="0" applyFill="1" borderId="1" applyBorder="1" xfId="0" applyProtection="1" applyAlignment="1">
      <alignment horizontal="left" vertical="center" wrapText="1"/>
    </xf>
    <xf numFmtId="0" fontId="10" applyFont="1" fillId="0" applyFill="1" borderId="0" applyBorder="1" xfId="0" applyProtection="1" applyAlignment="1">
      <alignment horizontal="center" vertical="center" wrapText="1"/>
    </xf>
    <xf numFmtId="0" fontId="10" applyFont="1" fillId="0" applyFill="1" borderId="0" applyBorder="1" xfId="0" applyProtection="1" applyAlignment="1">
      <alignment horizontal="left" vertical="center" wrapText="1"/>
    </xf>
    <xf numFmtId="0" fontId="11" applyFont="1" fillId="3" applyFill="1" borderId="1" applyBorder="1" xfId="0" applyProtection="1" applyAlignment="1">
      <alignment horizontal="centerContinuous" vertical="center" wrapText="1"/>
    </xf>
    <xf numFmtId="0" fontId="12" applyFont="1" fillId="0" applyFill="1" borderId="1" applyBorder="1" xfId="0" applyProtection="1" applyAlignment="1">
      <alignment horizontal="left" vertical="center" wrapText="1"/>
    </xf>
    <xf numFmtId="0" fontId="10" applyFont="1" fillId="5" applyFill="1" borderId="3" applyBorder="1" xfId="0" applyProtection="1" applyAlignment="1">
      <alignment horizontal="centerContinuous" vertical="center" wrapText="1"/>
    </xf>
    <xf numFmtId="0" fontId="10" applyFont="1" fillId="5" applyFill="1" borderId="4" applyBorder="1" xfId="0" applyProtection="1" applyAlignment="1">
      <alignment horizontal="centerContinuous" vertical="center" wrapText="1"/>
    </xf>
    <xf numFmtId="0" fontId="2" applyFont="1" fillId="0" borderId="1" applyBorder="1" xfId="0" applyProtection="1" applyAlignment="1">
      <alignment vertical="center"/>
    </xf>
    <xf numFmtId="0" fontId="0" applyFont="1" fillId="0" borderId="0" xfId="0" applyProtection="1" applyAlignment="1"/>
    <xf numFmtId="0" fontId="14" applyFont="1" fillId="0" borderId="0" xfId="0" applyProtection="1" applyAlignment="1"/>
    <xf numFmtId="166" applyNumberFormat="1" fontId="12" applyFont="1" fillId="0" borderId="1" applyBorder="1" xfId="0" applyProtection="1" applyAlignment="1">
      <alignment horizontal="center" vertical="center" wrapText="1"/>
      <protection locked="0"/>
    </xf>
    <xf numFmtId="166" applyNumberFormat="1" fontId="11" applyFont="1" fillId="0" borderId="1" applyBorder="1" xfId="0" applyProtection="1" applyAlignment="1">
      <alignment horizontal="center" vertical="center" wrapText="1"/>
      <protection locked="0"/>
    </xf>
    <xf numFmtId="166" applyNumberFormat="1" fontId="12" applyFont="1" fillId="0" borderId="2" applyBorder="1" xfId="0" applyProtection="1" applyAlignment="1">
      <alignment horizontal="center" vertical="center" wrapText="1"/>
      <protection locked="0"/>
    </xf>
    <xf numFmtId="166" applyNumberFormat="1" fontId="12" applyFont="1" fillId="0" borderId="42" applyBorder="1" xfId="0" applyProtection="1" applyAlignment="1">
      <alignment horizontal="center" vertical="center" wrapText="1"/>
      <protection locked="0"/>
    </xf>
    <xf numFmtId="166" applyNumberFormat="1" fontId="12" applyFont="1" fillId="0" applyFill="1" borderId="1" applyBorder="1" xfId="0" applyProtection="1" applyAlignment="1">
      <alignment horizontal="center" vertical="center" wrapText="1"/>
      <protection locked="0"/>
    </xf>
    <xf numFmtId="166" applyNumberFormat="1" fontId="11" applyFont="1" fillId="0" applyFill="1" borderId="1" applyBorder="1" xfId="0" applyProtection="1" applyAlignment="1">
      <alignment horizontal="center" vertical="center" wrapText="1"/>
      <protection locked="0"/>
    </xf>
    <xf numFmtId="166" applyNumberFormat="1" fontId="10" applyFont="1" fillId="0" borderId="1" applyBorder="1" xfId="0" applyProtection="1" applyAlignment="1">
      <alignment horizontal="center" vertical="center" wrapText="1"/>
      <protection locked="0"/>
    </xf>
    <xf numFmtId="166" applyNumberFormat="1" fontId="12" applyFont="1" fillId="2" applyFill="1" borderId="1" applyBorder="1" xfId="0" applyProtection="1" applyAlignment="1">
      <alignment horizontal="center" vertical="center" wrapText="1"/>
      <protection locked="0"/>
    </xf>
    <xf numFmtId="166" applyNumberFormat="1" fontId="10" applyFont="1" fillId="2" applyFill="1" borderId="5" applyBorder="1" xfId="0" applyProtection="1" applyAlignment="1">
      <alignment horizontal="center" vertical="center" wrapText="1"/>
      <protection locked="0"/>
    </xf>
    <xf numFmtId="0" fontId="25" applyFont="1" fillId="7" applyFill="1" borderId="25" applyBorder="1" xfId="7" applyProtection="1" applyAlignment="1">
      <alignment horizontal="center" vertical="center"/>
    </xf>
    <xf numFmtId="0" fontId="26" applyFont="1" fillId="7" applyFill="1" borderId="49" applyBorder="1" xfId="7" applyProtection="1" applyAlignment="1">
      <alignment horizontal="center" vertical="center"/>
    </xf>
    <xf numFmtId="0" fontId="26" applyFont="1" fillId="7" applyFill="1" borderId="27" applyBorder="1" xfId="7" applyProtection="1" applyAlignment="1">
      <alignment horizontal="center" vertical="center" wrapText="1"/>
    </xf>
    <xf numFmtId="0" fontId="26" applyFont="1" fillId="0" borderId="59" applyBorder="1" xfId="7" applyProtection="1" applyAlignment="1">
      <alignment vertical="center"/>
    </xf>
    <xf numFmtId="0" fontId="28" applyFont="1" fillId="0" borderId="53" applyBorder="1" xfId="7" applyProtection="1" applyAlignment="1">
      <alignment horizontal="left" vertical="center" indent="1"/>
    </xf>
    <xf numFmtId="0" fontId="28" applyFont="1" fillId="0" borderId="50" applyBorder="1" xfId="7" applyProtection="1" applyAlignment="1">
      <alignment horizontal="left" vertical="center" indent="4"/>
    </xf>
    <xf numFmtId="0" fontId="26" applyFont="1" fillId="0" borderId="50" applyBorder="1" xfId="7" applyProtection="1" applyAlignment="1">
      <alignment vertical="center"/>
    </xf>
    <xf numFmtId="0" fontId="28" applyFont="1" fillId="0" borderId="53" applyBorder="1" xfId="7" applyProtection="1" applyAlignment="1">
      <alignment horizontal="left" vertical="center" indent="4"/>
    </xf>
    <xf numFmtId="0" fontId="28" applyFont="1" fillId="0" borderId="56" applyBorder="1" xfId="7" applyProtection="1" applyAlignment="1">
      <alignment horizontal="left" vertical="center" indent="1"/>
    </xf>
    <xf numFmtId="0" fontId="28" applyFont="1" fillId="0" borderId="62" applyBorder="1" xfId="7" applyProtection="1" applyAlignment="1">
      <alignment horizontal="left" vertical="center" indent="1"/>
    </xf>
    <xf numFmtId="0" fontId="23" applyFont="1" fillId="0" borderId="0" xfId="7" applyProtection="1" applyAlignment="1">
      <alignment vertical="center"/>
    </xf>
    <xf numFmtId="0" fontId="15" applyFont="1" fillId="0" borderId="0" xfId="0" applyProtection="1" applyAlignment="1">
      <protection locked="0"/>
    </xf>
    <xf numFmtId="0" fontId="15" applyFont="1" fillId="0" borderId="0" xfId="0" applyProtection="1" applyAlignment="1">
      <alignment horizontal="center" vertical="center"/>
      <protection locked="0"/>
    </xf>
    <xf numFmtId="0" fontId="20" applyFont="1" fillId="0" borderId="19" applyBorder="1" xfId="0" applyProtection="1" applyAlignment="1">
      <alignment horizontal="center" vertical="center"/>
      <protection locked="0"/>
    </xf>
    <xf numFmtId="0" fontId="20" applyFont="1" fillId="0" borderId="20" applyBorder="1" xfId="0" applyProtection="1" applyAlignment="1">
      <alignment horizontal="center" vertical="center"/>
      <protection locked="0"/>
    </xf>
    <xf numFmtId="0" fontId="15" applyFont="1" fillId="0" borderId="20" applyBorder="1" xfId="0" applyProtection="1" applyAlignment="1">
      <alignment horizontal="center" vertical="center"/>
      <protection locked="0"/>
    </xf>
    <xf numFmtId="0" fontId="17" applyFont="1" fillId="0" applyFill="1" borderId="20" applyBorder="1" xfId="0" applyProtection="1" applyAlignment="1">
      <alignment horizontal="center" vertical="center" wrapText="1"/>
      <protection locked="0"/>
    </xf>
    <xf numFmtId="165" applyNumberFormat="1" fontId="21" applyFont="1" fillId="0" applyFill="1" borderId="20" applyBorder="1" xfId="1" applyProtection="1" applyAlignment="1">
      <alignment horizontal="center" vertical="center"/>
      <protection locked="0"/>
    </xf>
    <xf numFmtId="0" fontId="18" applyFont="1" fillId="0" applyFill="1" borderId="20" applyBorder="1" xfId="0" applyProtection="1" applyAlignment="1">
      <alignment horizontal="center" vertical="center" wrapText="1"/>
      <protection locked="0"/>
    </xf>
    <xf numFmtId="165" applyNumberFormat="1" fontId="19" applyFont="1" fillId="0" borderId="21" applyBorder="1" xfId="1" applyProtection="1" applyAlignment="1">
      <alignment horizontal="center" vertical="center"/>
      <protection locked="0"/>
    </xf>
    <xf numFmtId="0" fontId="20" applyFont="1" fillId="0" borderId="14" applyBorder="1" xfId="0" applyProtection="1" applyAlignment="1">
      <alignment horizontal="center" vertical="center"/>
      <protection locked="0"/>
    </xf>
    <xf numFmtId="0" fontId="20" applyFont="1" fillId="0" borderId="13" applyBorder="1" xfId="0" applyProtection="1" applyAlignment="1">
      <alignment horizontal="center" vertical="center"/>
      <protection locked="0"/>
    </xf>
    <xf numFmtId="0" fontId="15" applyFont="1" fillId="0" borderId="13" applyBorder="1" xfId="0" applyProtection="1" applyAlignment="1">
      <alignment horizontal="center" vertical="center"/>
      <protection locked="0"/>
    </xf>
    <xf numFmtId="165" applyNumberFormat="1" fontId="21" applyFont="1" fillId="0" applyFill="1" borderId="13" applyBorder="1" xfId="1" applyProtection="1" applyAlignment="1">
      <alignment horizontal="center" vertical="center"/>
      <protection locked="0"/>
    </xf>
    <xf numFmtId="165" applyNumberFormat="1" fontId="19" applyFont="1" fillId="0" borderId="15" applyBorder="1" xfId="1" applyProtection="1" applyAlignment="1">
      <alignment horizontal="center" vertical="center"/>
      <protection locked="0"/>
    </xf>
    <xf numFmtId="165" applyNumberFormat="1" fontId="21" applyFont="1" fillId="0" borderId="13" applyBorder="1" xfId="1" applyProtection="1" applyAlignment="1">
      <alignment horizontal="center" vertical="center"/>
      <protection locked="0"/>
    </xf>
    <xf numFmtId="0" fontId="20" applyFont="1" fillId="0" borderId="16" applyBorder="1" xfId="0" applyProtection="1" applyAlignment="1">
      <alignment horizontal="center" vertical="center"/>
      <protection locked="0"/>
    </xf>
    <xf numFmtId="0" fontId="20" applyFont="1" fillId="0" borderId="17" applyBorder="1" xfId="0" applyProtection="1" applyAlignment="1">
      <alignment horizontal="center" vertical="center"/>
      <protection locked="0"/>
    </xf>
    <xf numFmtId="0" fontId="15" applyFont="1" fillId="0" borderId="17" applyBorder="1" xfId="0" applyProtection="1" applyAlignment="1">
      <alignment horizontal="center" vertical="center"/>
      <protection locked="0"/>
    </xf>
    <xf numFmtId="165" applyNumberFormat="1" fontId="21" applyFont="1" fillId="0" borderId="17" applyBorder="1" xfId="1" applyProtection="1" applyAlignment="1">
      <alignment horizontal="center" vertical="center"/>
      <protection locked="0"/>
    </xf>
    <xf numFmtId="165" applyNumberFormat="1" fontId="19" applyFont="1" fillId="0" borderId="18" applyBorder="1" xfId="1" applyProtection="1" applyAlignment="1">
      <alignment horizontal="center" vertical="center"/>
      <protection locked="0"/>
    </xf>
    <xf numFmtId="0" fontId="21" applyFont="1" fillId="0" borderId="0" xfId="0" applyProtection="1" applyAlignment="1">
      <alignment horizontal="center" vertical="center"/>
      <protection locked="0"/>
    </xf>
    <xf numFmtId="165" applyNumberFormat="1" fontId="21" applyFont="1" fillId="0" borderId="0" xfId="1" applyProtection="1" applyAlignment="1">
      <alignment horizontal="center" vertical="center"/>
      <protection locked="0"/>
    </xf>
    <xf numFmtId="0" fontId="19" applyFont="1" fillId="0" borderId="0" xfId="0" applyProtection="1" applyAlignment="1">
      <alignment horizontal="center" vertical="center"/>
      <protection locked="0"/>
    </xf>
    <xf numFmtId="165" applyNumberFormat="1" fontId="19" applyFont="1" fillId="0" borderId="0" xfId="1" applyProtection="1" applyAlignment="1">
      <alignment horizontal="center" vertical="center"/>
      <protection locked="0"/>
    </xf>
    <xf numFmtId="0" fontId="16" applyFont="1" fillId="2" applyFill="1" borderId="22" applyBorder="1" xfId="0" applyProtection="1" applyAlignment="1">
      <alignment horizontal="center" vertical="center" wrapText="1"/>
    </xf>
    <xf numFmtId="0" fontId="16" applyFont="1" fillId="2" applyFill="1" borderId="23" applyBorder="1" xfId="0" applyProtection="1" applyAlignment="1">
      <alignment horizontal="center" vertical="center" wrapText="1"/>
    </xf>
    <xf numFmtId="0" fontId="17" applyFont="1" fillId="2" applyFill="1" borderId="23" applyBorder="1" xfId="0" applyProtection="1" applyAlignment="1">
      <alignment horizontal="center" vertical="center" wrapText="1"/>
    </xf>
    <xf numFmtId="165" applyNumberFormat="1" fontId="17" applyFont="1" fillId="2" applyFill="1" borderId="23" applyBorder="1" xfId="1" applyProtection="1" applyAlignment="1">
      <alignment horizontal="center" vertical="center" wrapText="1"/>
    </xf>
    <xf numFmtId="0" fontId="18" applyFont="1" fillId="2" applyFill="1" borderId="23" applyBorder="1" xfId="0" applyProtection="1" applyAlignment="1">
      <alignment horizontal="center" vertical="center" wrapText="1"/>
    </xf>
    <xf numFmtId="165" applyNumberFormat="1" fontId="18" applyFont="1" fillId="2" applyFill="1" borderId="24" applyBorder="1" xfId="1" applyProtection="1" applyAlignment="1">
      <alignment horizontal="center" vertical="center" wrapText="1"/>
    </xf>
    <xf numFmtId="166" applyNumberFormat="1" fontId="10" applyFont="1" fillId="0" applyFill="1" borderId="1" applyBorder="1" xfId="0" applyProtection="1" applyAlignment="1">
      <alignment horizontal="center" vertical="center" wrapText="1"/>
      <protection locked="0"/>
    </xf>
    <xf numFmtId="166" applyNumberFormat="1" fontId="2" applyFont="1" fillId="0" borderId="1" applyBorder="1" xfId="0" applyProtection="1" applyAlignment="1">
      <alignment horizontal="center" vertical="center"/>
      <protection locked="0"/>
    </xf>
    <xf numFmtId="166" applyNumberFormat="1" fontId="27" applyFont="1" fillId="0" borderId="51" applyBorder="1" xfId="7" applyProtection="1" applyAlignment="1">
      <alignment horizontal="center" vertical="center"/>
      <protection locked="0"/>
    </xf>
    <xf numFmtId="3" applyNumberFormat="1" fontId="27" applyFont="1" fillId="0" borderId="51" applyBorder="1" xfId="7" applyProtection="1" applyAlignment="1">
      <alignment horizontal="center" vertical="center"/>
      <protection locked="0"/>
    </xf>
    <xf numFmtId="167" applyNumberFormat="1" fontId="27" applyFont="1" fillId="0" borderId="52" applyBorder="1" xfId="7" applyProtection="1" applyAlignment="1">
      <alignment horizontal="center" vertical="center"/>
      <protection locked="0"/>
    </xf>
    <xf numFmtId="166" applyNumberFormat="1" fontId="29" applyFont="1" fillId="0" borderId="54" applyBorder="1" xfId="7" applyProtection="1" applyAlignment="1">
      <alignment horizontal="center" vertical="center"/>
      <protection locked="0"/>
    </xf>
    <xf numFmtId="3" applyNumberFormat="1" fontId="29" applyFont="1" fillId="0" borderId="54" applyBorder="1" xfId="7" applyProtection="1" applyAlignment="1">
      <alignment horizontal="center" vertical="center"/>
      <protection locked="0"/>
    </xf>
    <xf numFmtId="167" applyNumberFormat="1" fontId="29" applyFont="1" fillId="0" borderId="55" applyBorder="1" xfId="7" applyProtection="1" applyAlignment="1">
      <alignment horizontal="center" vertical="center"/>
      <protection locked="0"/>
    </xf>
    <xf numFmtId="166" applyNumberFormat="1" fontId="29" applyFont="1" fillId="0" borderId="57" applyBorder="1" xfId="7" applyProtection="1" applyAlignment="1">
      <alignment horizontal="center" vertical="center"/>
      <protection locked="0"/>
    </xf>
    <xf numFmtId="3" applyNumberFormat="1" fontId="29" applyFont="1" fillId="0" borderId="57" applyBorder="1" xfId="7" applyProtection="1" applyAlignment="1">
      <alignment horizontal="center" vertical="center"/>
      <protection locked="0"/>
    </xf>
    <xf numFmtId="167" applyNumberFormat="1" fontId="29" applyFont="1" fillId="0" borderId="58" applyBorder="1" xfId="7" applyProtection="1" applyAlignment="1">
      <alignment horizontal="center" vertical="center"/>
      <protection locked="0"/>
    </xf>
    <xf numFmtId="166" applyNumberFormat="1" fontId="27" applyFont="1" fillId="0" borderId="60" applyBorder="1" xfId="7" applyProtection="1" applyAlignment="1">
      <alignment horizontal="center" vertical="center"/>
      <protection locked="0"/>
    </xf>
    <xf numFmtId="3" applyNumberFormat="1" fontId="27" applyFont="1" fillId="0" borderId="60" applyBorder="1" xfId="7" applyProtection="1" applyAlignment="1">
      <alignment horizontal="center" vertical="center"/>
      <protection locked="0"/>
    </xf>
    <xf numFmtId="167" applyNumberFormat="1" fontId="27" applyFont="1" fillId="0" borderId="61" applyBorder="1" xfId="7" applyProtection="1" applyAlignment="1">
      <alignment horizontal="center" vertical="center"/>
      <protection locked="0"/>
    </xf>
    <xf numFmtId="166" applyNumberFormat="1" fontId="29" applyFont="1" fillId="0" borderId="63" applyBorder="1" xfId="7" applyProtection="1" applyAlignment="1">
      <alignment horizontal="center" vertical="center"/>
      <protection locked="0"/>
    </xf>
    <xf numFmtId="3" applyNumberFormat="1" fontId="29" applyFont="1" fillId="0" borderId="63" applyBorder="1" xfId="7" applyProtection="1" applyAlignment="1">
      <alignment horizontal="center" vertical="center"/>
      <protection locked="0"/>
    </xf>
    <xf numFmtId="167" applyNumberFormat="1" fontId="29" applyFont="1" fillId="0" borderId="64" applyBorder="1" xfId="7" applyProtection="1" applyAlignment="1">
      <alignment horizontal="center" vertical="center"/>
      <protection locked="0"/>
    </xf>
    <xf numFmtId="166" applyNumberFormat="1" fontId="29" applyFont="1" fillId="0" borderId="51" applyBorder="1" xfId="7" applyProtection="1" applyAlignment="1">
      <alignment horizontal="center" vertical="center"/>
      <protection locked="0"/>
    </xf>
    <xf numFmtId="3" applyNumberFormat="1" fontId="29" applyFont="1" fillId="0" borderId="51" applyBorder="1" xfId="7" applyProtection="1" applyAlignment="1">
      <alignment horizontal="center" vertical="center"/>
      <protection locked="0"/>
    </xf>
    <xf numFmtId="167" applyNumberFormat="1" fontId="29" applyFont="1" fillId="0" borderId="52" applyBorder="1" xfId="7" applyProtection="1" applyAlignment="1">
      <alignment horizontal="center" vertical="center"/>
      <protection locked="0"/>
    </xf>
    <xf numFmtId="166" applyNumberFormat="1" fontId="10" applyFont="1" fillId="2" applyFill="1" borderId="1" applyBorder="1" xfId="0" applyProtection="1" applyAlignment="1">
      <alignment horizontal="center" vertical="center" wrapText="1"/>
      <protection locked="0"/>
    </xf>
    <xf numFmtId="0" fontId="10" applyFont="1" fillId="5" applyFill="1" borderId="25" applyBorder="1" xfId="0" applyProtection="1" applyAlignment="1">
      <alignment horizontal="center" vertical="center" wrapText="1"/>
    </xf>
    <xf numFmtId="0" fontId="10" applyFont="1" fillId="6" applyFill="1" borderId="0" applyBorder="1" xfId="0" applyProtection="1" applyAlignment="1">
      <alignment horizontal="centerContinuous" vertical="center" wrapText="1"/>
      <protection locked="0"/>
    </xf>
    <xf numFmtId="166" applyNumberFormat="1" fontId="10" applyFont="1" fillId="6" applyFill="1" borderId="0" applyBorder="1" xfId="0" applyProtection="1" applyAlignment="1">
      <alignment horizontal="center" vertical="center" wrapText="1"/>
      <protection locked="0"/>
    </xf>
    <xf numFmtId="166" applyNumberFormat="1" fontId="2" applyFont="1" fillId="0" borderId="0" xfId="1" applyProtection="1" applyAlignment="1">
      <alignment horizontal="center" vertical="center"/>
      <protection locked="0"/>
    </xf>
    <xf numFmtId="9" applyNumberFormat="1" fontId="2" applyFont="1" fillId="0" borderId="0" xfId="8" applyProtection="1" applyAlignment="1">
      <alignment horizontal="center" vertical="center"/>
      <protection locked="0"/>
    </xf>
    <xf numFmtId="0" fontId="11" applyFont="1" fillId="0" applyFill="1" borderId="0" applyBorder="1" xfId="0" applyProtection="1" applyAlignment="1">
      <alignment horizontal="centerContinuous" vertical="center" wrapText="1"/>
      <protection locked="0"/>
    </xf>
    <xf numFmtId="166" applyNumberFormat="1" fontId="11" applyFont="1" fillId="0" applyFill="1" borderId="0" applyBorder="1" xfId="0" applyProtection="1" applyAlignment="1">
      <alignment horizontal="center" vertical="center" wrapText="1"/>
      <protection locked="0"/>
    </xf>
    <xf numFmtId="166" applyNumberFormat="1" fontId="2" applyFont="1" fillId="0" borderId="0" applyBorder="1" xfId="1" applyProtection="1" applyAlignment="1">
      <alignment horizontal="center" vertical="center"/>
      <protection locked="0"/>
    </xf>
    <xf numFmtId="9" applyNumberFormat="1" fontId="2" applyFont="1" fillId="0" borderId="0" applyBorder="1" xfId="8" applyProtection="1" applyAlignment="1">
      <alignment horizontal="center" vertical="center"/>
      <protection locked="0"/>
    </xf>
    <xf numFmtId="0" fontId="23" applyFont="1" fillId="0" borderId="0" xfId="7" applyAlignment="1">
      <alignment horizontal="left"/>
    </xf>
    <xf numFmtId="0" fontId="27" applyFont="1" fillId="7" applyFill="1" borderId="27" applyBorder="1" xfId="7" applyProtection="1" applyAlignment="1">
      <alignment horizontal="left" vertical="center" wrapText="1"/>
    </xf>
    <xf numFmtId="2" applyNumberFormat="1" fontId="27" applyFont="1" fillId="7" applyFill="1" borderId="27" applyBorder="1" xfId="7" applyProtection="1" applyAlignment="1">
      <alignment horizontal="left" vertical="center" wrapText="1"/>
    </xf>
    <xf numFmtId="0" fontId="10" applyFont="1" fillId="5" applyFill="1" borderId="26" applyBorder="1" xfId="0" applyProtection="1" applyAlignment="1">
      <alignment vertical="center" wrapText="1"/>
    </xf>
    <xf numFmtId="0" fontId="10" applyFont="1" fillId="5" applyFill="1" borderId="27" applyBorder="1" xfId="0" applyProtection="1" applyAlignment="1">
      <alignment vertical="center" wrapText="1"/>
    </xf>
    <xf numFmtId="2" applyNumberFormat="1" fontId="27" applyFont="1" fillId="0" borderId="52" applyBorder="1" xfId="7" applyProtection="1" applyAlignment="1">
      <alignment horizontal="left" vertical="center"/>
    </xf>
    <xf numFmtId="2" applyNumberFormat="1" fontId="27" applyFont="1" fillId="0" borderId="55" applyBorder="1" xfId="7" applyProtection="1" applyAlignment="1">
      <alignment horizontal="left" vertical="center"/>
    </xf>
    <xf numFmtId="2" applyNumberFormat="1" fontId="27" applyFont="1" fillId="0" borderId="60" applyBorder="1" xfId="7" applyProtection="1" applyAlignment="1">
      <alignment horizontal="left" vertical="center"/>
    </xf>
    <xf numFmtId="2" applyNumberFormat="1" fontId="27" applyFont="1" fillId="0" borderId="54" applyBorder="1" xfId="7" applyProtection="1" applyAlignment="1">
      <alignment horizontal="left" vertical="center"/>
    </xf>
    <xf numFmtId="2" applyNumberFormat="1" fontId="27" applyFont="1" fillId="0" borderId="63" applyBorder="1" xfId="7" applyProtection="1" applyAlignment="1">
      <alignment horizontal="left" vertical="center"/>
    </xf>
    <xf numFmtId="167" applyNumberFormat="1" fontId="27" applyFont="1" fillId="0" borderId="52" applyBorder="1" xfId="7" applyProtection="1" applyAlignment="1">
      <alignment horizontal="left" vertical="center"/>
    </xf>
    <xf numFmtId="167" applyNumberFormat="1" fontId="27" applyFont="1" fillId="0" borderId="60" applyBorder="1" xfId="7" applyProtection="1" applyAlignment="1">
      <alignment horizontal="left" vertical="center"/>
    </xf>
    <xf numFmtId="167" applyNumberFormat="1" fontId="27" applyFont="1" fillId="0" borderId="51" applyBorder="1" xfId="7" applyProtection="1" applyAlignment="1">
      <alignment horizontal="left" vertical="center"/>
    </xf>
    <xf numFmtId="0" fontId="10" applyFont="1" fillId="6" applyFill="1" borderId="0" applyBorder="1" xfId="0" applyProtection="1" applyAlignment="1">
      <alignment horizontal="centerContinuous" vertical="center" wrapText="1"/>
    </xf>
    <xf numFmtId="0" fontId="11" applyFont="1" fillId="0" applyFill="1" borderId="0" applyBorder="1" xfId="0" applyProtection="1" applyAlignment="1">
      <alignment horizontal="centerContinuous" vertical="center" wrapText="1"/>
    </xf>
    <xf numFmtId="0" fontId="0" applyFont="1" fillId="8" applyFill="1" borderId="0" xfId="0" applyProtection="1" applyAlignment="1"/>
    <xf numFmtId="0" fontId="23" applyFont="1" fillId="8" applyFill="1" borderId="0" xfId="7"/>
    <xf numFmtId="166" applyNumberFormat="1" fontId="30" applyFont="1" fillId="0" applyFill="1" borderId="0" applyBorder="1" xfId="0" applyProtection="1" applyAlignment="1">
      <alignment horizontal="center" vertical="center" wrapText="1"/>
      <protection locked="0"/>
    </xf>
    <xf numFmtId="0" fontId="10" applyFont="1" fillId="5" applyFill="1" borderId="9" applyBorder="1" xfId="0" applyProtection="1" applyAlignment="1">
      <alignment horizontal="center" vertical="center" wrapText="1"/>
    </xf>
    <xf numFmtId="0" fontId="10" applyFont="1" fillId="5" applyFill="1" borderId="0" applyBorder="1" xfId="0" applyProtection="1" applyAlignment="1">
      <alignment horizontal="center" vertical="center" wrapText="1"/>
    </xf>
    <xf numFmtId="0" fontId="10" applyFont="1" fillId="5" applyFill="1" borderId="10" applyBorder="1" xfId="0" applyProtection="1" applyAlignment="1">
      <alignment horizontal="center" vertical="center" wrapText="1"/>
    </xf>
    <xf numFmtId="0" applyNumberFormat="1" fontId="10" applyFont="1" fillId="5" applyFill="1" borderId="1" applyBorder="1" xfId="0" applyProtection="1" applyAlignment="1">
      <alignment horizontal="center" vertical="center" wrapText="1"/>
    </xf>
    <xf numFmtId="167" applyNumberFormat="1" fontId="27" applyFont="1" fillId="0" applyFill="1" borderId="51" applyBorder="1" xfId="7" applyProtection="1" applyAlignment="1">
      <alignment horizontal="left" vertical="center"/>
    </xf>
    <xf numFmtId="0" fontId="26" applyFont="1" fillId="0" applyFill="1" borderId="50" applyBorder="1" xfId="7" applyProtection="1" applyAlignment="1">
      <alignment vertical="center"/>
    </xf>
    <xf numFmtId="166" applyNumberFormat="1" fontId="29" applyFont="1" fillId="0" applyFill="1" borderId="54" applyBorder="1" xfId="7" applyProtection="1" applyAlignment="1">
      <alignment horizontal="center" vertical="center"/>
      <protection locked="0"/>
    </xf>
    <xf numFmtId="3" applyNumberFormat="1" fontId="29" applyFont="1" fillId="0" applyFill="1" borderId="54" applyBorder="1" xfId="7" applyProtection="1" applyAlignment="1">
      <alignment horizontal="center" vertical="center"/>
      <protection locked="0"/>
    </xf>
    <xf numFmtId="167" applyNumberFormat="1" fontId="29" applyFont="1" fillId="0" applyFill="1" borderId="55" applyBorder="1" xfId="7" applyProtection="1" applyAlignment="1">
      <alignment horizontal="center" vertical="center"/>
      <protection locked="0"/>
    </xf>
    <xf numFmtId="167" applyNumberFormat="1" fontId="27" applyFont="1" fillId="0" applyFill="1" borderId="66" applyBorder="1" xfId="7" applyProtection="1" applyAlignment="1">
      <alignment horizontal="left" vertical="center"/>
    </xf>
    <xf numFmtId="0" fontId="28" applyFont="1" fillId="0" applyFill="1" borderId="62" applyBorder="1" xfId="7" applyProtection="1" applyAlignment="1">
      <alignment horizontal="left" vertical="center" indent="4"/>
    </xf>
    <xf numFmtId="166" applyNumberFormat="1" fontId="29" applyFont="1" fillId="0" applyFill="1" borderId="63" applyBorder="1" xfId="7" applyProtection="1" applyAlignment="1">
      <alignment horizontal="center" vertical="center"/>
      <protection locked="0"/>
    </xf>
    <xf numFmtId="3" applyNumberFormat="1" fontId="29" applyFont="1" fillId="0" applyFill="1" borderId="63" applyBorder="1" xfId="7" applyProtection="1" applyAlignment="1">
      <alignment horizontal="center" vertical="center"/>
      <protection locked="0"/>
    </xf>
    <xf numFmtId="167" applyNumberFormat="1" fontId="29" applyFont="1" fillId="0" applyFill="1" borderId="64" applyBorder="1" xfId="7" applyProtection="1" applyAlignment="1">
      <alignment horizontal="center" vertical="center"/>
      <protection locked="0"/>
    </xf>
    <xf numFmtId="0" fontId="28" applyFont="1" fillId="0" applyFill="1" borderId="53" applyBorder="1" xfId="7" applyProtection="1" applyAlignment="1">
      <alignment horizontal="left" vertical="center" indent="4"/>
    </xf>
    <xf numFmtId="0" fontId="28" applyFont="1" fillId="0" applyFill="1" borderId="53" applyBorder="1" xfId="7" applyProtection="1" applyAlignment="1">
      <alignment horizontal="left" vertical="center" indent="1"/>
    </xf>
    <xf numFmtId="0" fontId="28" applyFont="1" fillId="0" applyFill="1" borderId="50" applyBorder="1" xfId="7" applyProtection="1" applyAlignment="1">
      <alignment horizontal="left" vertical="center" indent="4"/>
    </xf>
    <xf numFmtId="166" applyNumberFormat="1" fontId="29" applyFont="1" fillId="0" applyFill="1" borderId="51" applyBorder="1" xfId="7" applyProtection="1" applyAlignment="1">
      <alignment horizontal="center" vertical="center"/>
      <protection locked="0"/>
    </xf>
    <xf numFmtId="3" applyNumberFormat="1" fontId="29" applyFont="1" fillId="0" applyFill="1" borderId="51" applyBorder="1" xfId="7" applyProtection="1" applyAlignment="1">
      <alignment horizontal="center" vertical="center"/>
      <protection locked="0"/>
    </xf>
    <xf numFmtId="167" applyNumberFormat="1" fontId="29" applyFont="1" fillId="0" applyFill="1" borderId="52" applyBorder="1" xfId="7" applyProtection="1" applyAlignment="1">
      <alignment horizontal="center" vertical="center"/>
      <protection locked="0"/>
    </xf>
    <xf numFmtId="166" applyNumberFormat="1" fontId="27" applyFont="1" fillId="0" applyFill="1" borderId="51" applyBorder="1" xfId="7" applyProtection="1" applyAlignment="1">
      <alignment horizontal="center" vertical="center"/>
      <protection locked="0"/>
    </xf>
    <xf numFmtId="3" applyNumberFormat="1" fontId="27" applyFont="1" fillId="0" applyFill="1" borderId="51" applyBorder="1" xfId="7" applyProtection="1" applyAlignment="1">
      <alignment horizontal="center" vertical="center"/>
      <protection locked="0"/>
    </xf>
    <xf numFmtId="167" applyNumberFormat="1" fontId="27" applyFont="1" fillId="0" applyFill="1" borderId="52" applyBorder="1" xfId="7" applyProtection="1" applyAlignment="1">
      <alignment horizontal="center" vertical="center"/>
      <protection locked="0"/>
    </xf>
    <xf numFmtId="166" applyNumberFormat="1" fontId="29" applyFont="1" fillId="0" applyFill="1" borderId="57" applyBorder="1" xfId="7" applyProtection="1" applyAlignment="1">
      <alignment horizontal="center" vertical="center"/>
      <protection locked="0"/>
    </xf>
    <xf numFmtId="3" applyNumberFormat="1" fontId="29" applyFont="1" fillId="0" applyFill="1" borderId="57" applyBorder="1" xfId="7" applyProtection="1" applyAlignment="1">
      <alignment horizontal="center" vertical="center"/>
      <protection locked="0"/>
    </xf>
    <xf numFmtId="167" applyNumberFormat="1" fontId="29" applyFont="1" fillId="0" applyFill="1" borderId="58" applyBorder="1" xfId="7" applyProtection="1" applyAlignment="1">
      <alignment horizontal="center" vertical="center"/>
      <protection locked="0"/>
    </xf>
    <xf numFmtId="167" applyNumberFormat="1" fontId="27" applyFont="1" fillId="0" applyFill="1" borderId="52" applyBorder="1" xfId="7" applyProtection="1" applyAlignment="1">
      <alignment horizontal="left" vertical="center"/>
    </xf>
    <xf numFmtId="0" fontId="2" applyFont="1" fillId="0" applyFill="1" borderId="1" applyBorder="1" xfId="0" applyProtection="1" applyAlignment="1">
      <alignment vertical="center"/>
    </xf>
    <xf numFmtId="166" applyNumberFormat="1" fontId="2" applyFont="1" fillId="0" applyFill="1" borderId="1" applyBorder="1" xfId="0" applyProtection="1" applyAlignment="1">
      <alignment horizontal="center" vertical="center"/>
      <protection locked="0"/>
    </xf>
    <xf numFmtId="0" fontId="6" applyFont="1" fillId="0" applyFill="1" borderId="1" applyBorder="1" xfId="0" applyProtection="1" applyAlignment="1">
      <alignment vertical="center"/>
    </xf>
    <xf numFmtId="0" fontId="13" applyFont="1" fillId="0" applyFill="1" borderId="1" applyBorder="1" xfId="0" applyProtection="1" applyAlignment="1">
      <alignment vertical="center"/>
    </xf>
    <xf numFmtId="166" applyNumberFormat="1" fontId="13" applyFont="1" fillId="0" applyFill="1" borderId="1" applyBorder="1" xfId="0" applyProtection="1" applyAlignment="1">
      <alignment horizontal="center" vertical="center"/>
      <protection locked="0"/>
    </xf>
    <xf numFmtId="0" fontId="10" applyFont="1" fillId="0" applyFill="1" borderId="1" applyBorder="1" xfId="0" applyProtection="1" applyAlignment="1">
      <alignment vertical="center"/>
    </xf>
    <xf numFmtId="166" applyNumberFormat="1" fontId="2" applyFont="1" fillId="0" borderId="1" applyBorder="1" xfId="1" applyProtection="1" applyAlignment="1">
      <alignment horizontal="center" vertical="center"/>
    </xf>
    <xf numFmtId="9" applyNumberFormat="1" fontId="2" applyFont="1" fillId="0" borderId="1" applyBorder="1" xfId="8" applyProtection="1" applyAlignment="1">
      <alignment horizontal="center" vertical="center"/>
    </xf>
    <xf numFmtId="166" applyNumberFormat="1" fontId="2" applyFont="1" fillId="0" applyFill="1" borderId="1" applyBorder="1" xfId="1" applyProtection="1" applyAlignment="1">
      <alignment horizontal="center" vertical="center"/>
    </xf>
    <xf numFmtId="9" applyNumberFormat="1" fontId="2" applyFont="1" fillId="0" applyFill="1" borderId="1" applyBorder="1" xfId="8" applyProtection="1" applyAlignment="1">
      <alignment horizontal="center" vertical="center"/>
    </xf>
    <xf numFmtId="166" applyNumberFormat="1" fontId="13" applyFont="1" fillId="0" applyFill="1" borderId="1" applyBorder="1" xfId="1" applyProtection="1" applyAlignment="1">
      <alignment horizontal="center" vertical="center"/>
    </xf>
    <xf numFmtId="9" applyNumberFormat="1" fontId="13" applyFont="1" fillId="0" applyFill="1" borderId="1" applyBorder="1" xfId="8" applyProtection="1" applyAlignment="1">
      <alignment horizontal="center" vertical="center"/>
    </xf>
    <xf numFmtId="166" applyNumberFormat="1" fontId="2" applyFont="1" fillId="0" borderId="1" applyBorder="1" xfId="0" applyProtection="1" applyAlignment="1">
      <alignment horizontal="center" vertical="center"/>
    </xf>
    <xf numFmtId="166" applyNumberFormat="1" fontId="2" applyFont="1" fillId="0" applyFill="1" borderId="1" applyBorder="1" xfId="0" applyProtection="1" applyAlignment="1">
      <alignment horizontal="center" vertical="center"/>
    </xf>
    <xf numFmtId="166" applyNumberFormat="1" fontId="13" applyFont="1" fillId="0" applyFill="1" borderId="1" applyBorder="1" xfId="0" applyProtection="1" applyAlignment="1">
      <alignment horizontal="center" vertical="center"/>
    </xf>
    <xf numFmtId="166" applyNumberFormat="1" fontId="10" applyFont="1" fillId="5" applyFill="1" borderId="3" applyBorder="1" xfId="0" applyProtection="1" applyAlignment="1">
      <alignment horizontal="center" vertical="center" wrapText="1"/>
    </xf>
    <xf numFmtId="166" applyNumberFormat="1" fontId="10" applyFont="1" fillId="5" applyFill="1" borderId="2" applyBorder="1" xfId="0" applyProtection="1" applyAlignment="1">
      <alignment horizontal="center" vertical="center" wrapText="1"/>
    </xf>
    <xf numFmtId="0" fontId="10" applyFont="1" fillId="5" applyFill="1" borderId="7" applyBorder="1" xfId="0" applyProtection="1" applyAlignment="1">
      <alignment horizontal="center" vertical="center" wrapText="1"/>
    </xf>
    <xf numFmtId="0" fontId="10" applyFont="1" fillId="5" applyFill="1" borderId="8" applyBorder="1" xfId="0" applyProtection="1" applyAlignment="1">
      <alignment horizontal="center" vertical="center" wrapText="1"/>
    </xf>
    <xf numFmtId="166" applyNumberFormat="1" fontId="10" applyFont="1" fillId="5" applyFill="1" borderId="31" applyBorder="1" xfId="0" applyProtection="1" applyAlignment="1">
      <alignment horizontal="center" vertical="center" wrapText="1"/>
    </xf>
    <xf numFmtId="166" applyNumberFormat="1" fontId="10" applyFont="1" fillId="5" applyFill="1" borderId="32" applyBorder="1" xfId="0" applyProtection="1" applyAlignment="1">
      <alignment horizontal="center" vertical="center" wrapText="1"/>
    </xf>
    <xf numFmtId="166" applyNumberFormat="1" fontId="6" applyFont="1" fillId="3" applyFill="1" borderId="48" applyBorder="1" xfId="0" applyProtection="1" applyAlignment="1">
      <alignment horizontal="center" vertical="center"/>
    </xf>
    <xf numFmtId="166" applyNumberFormat="1" fontId="6" applyFont="1" fillId="3" applyFill="1" borderId="8" applyBorder="1" xfId="0" applyProtection="1" applyAlignment="1">
      <alignment horizontal="center" vertical="center"/>
    </xf>
    <xf numFmtId="166" applyNumberFormat="1" fontId="6" applyFont="1" fillId="3" applyFill="1" borderId="4" applyBorder="1" xfId="0" applyProtection="1" applyAlignment="1">
      <alignment horizontal="center" vertical="center"/>
    </xf>
    <xf numFmtId="166" applyNumberFormat="1" fontId="6" applyFont="1" fillId="3" applyFill="1" borderId="41" applyBorder="1" xfId="0" applyProtection="1" applyAlignment="1">
      <alignment horizontal="center" vertical="center"/>
    </xf>
    <xf numFmtId="0" fontId="22" applyFont="1" fillId="0" borderId="25" applyBorder="1" xfId="0" applyProtection="1" applyAlignment="1">
      <alignment horizontal="center" vertical="center"/>
    </xf>
    <xf numFmtId="0" fontId="22" applyFont="1" fillId="0" borderId="26" applyBorder="1" xfId="0" applyProtection="1" applyAlignment="1">
      <alignment horizontal="center" vertical="center"/>
    </xf>
    <xf numFmtId="0" fontId="22" applyFont="1" fillId="0" borderId="27" applyBorder="1" xfId="0" applyProtection="1" applyAlignment="1">
      <alignment horizontal="center" vertical="center"/>
    </xf>
    <xf numFmtId="0" fontId="24" applyFont="1" fillId="7" applyFill="1" borderId="7" applyBorder="1" xfId="7" applyProtection="1" applyAlignment="1">
      <alignment horizontal="center" wrapText="1"/>
    </xf>
    <xf numFmtId="0" fontId="24" applyFont="1" fillId="7" applyFill="1" borderId="48" applyBorder="1" xfId="7" applyProtection="1" applyAlignment="1">
      <alignment horizontal="center" wrapText="1"/>
    </xf>
    <xf numFmtId="0" fontId="24" applyFont="1" fillId="7" applyFill="1" borderId="8" applyBorder="1" xfId="7" applyProtection="1" applyAlignment="1">
      <alignment horizontal="center" wrapText="1"/>
    </xf>
    <xf numFmtId="0" fontId="24" applyFont="1" fillId="7" applyFill="1" borderId="11" applyBorder="1" xfId="7" applyProtection="1" applyAlignment="1">
      <alignment horizontal="center" wrapText="1"/>
    </xf>
    <xf numFmtId="0" fontId="24" applyFont="1" fillId="7" applyFill="1" borderId="65" applyBorder="1" xfId="7" applyProtection="1" applyAlignment="1">
      <alignment horizontal="center" wrapText="1"/>
    </xf>
    <xf numFmtId="0" fontId="24" applyFont="1" fillId="7" applyFill="1" borderId="12" applyBorder="1" xfId="7" applyProtection="1" applyAlignment="1">
      <alignment horizontal="center" wrapText="1"/>
    </xf>
    <xf numFmtId="0" fontId="24" applyFont="1" fillId="7" applyFill="1" borderId="25" applyBorder="1" xfId="7" applyProtection="1" applyAlignment="1">
      <alignment horizontal="center" wrapText="1"/>
    </xf>
    <xf numFmtId="0" fontId="24" applyFont="1" fillId="7" applyFill="1" borderId="26" applyBorder="1" xfId="7" applyProtection="1" applyAlignment="1">
      <alignment horizontal="center" wrapText="1"/>
    </xf>
    <xf numFmtId="0" fontId="24" applyFont="1" fillId="7" applyFill="1" borderId="27" applyBorder="1" xfId="7" applyProtection="1" applyAlignment="1">
      <alignment horizontal="center" wrapText="1"/>
    </xf>
  </cellXfs>
  <cellStyles count="9">
    <cellStyle name="Comma" xfId="1" builtinId="3"/>
    <cellStyle name="Comma 2" xfId="2"/>
    <cellStyle name="Comma 27" xfId="3"/>
    <cellStyle name="Comma 6 2" xfId="4"/>
    <cellStyle name="Comma 8 2" xfId="5"/>
    <cellStyle name="Normal" xfId="0" builtinId="0"/>
    <cellStyle name="Normal 2" xfId="6"/>
    <cellStyle name="Normal 3" xfId="7"/>
    <cellStyle name="Percent" xfId="8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11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22" fmlaLink="$F$3" fmlaRange="SEL_CURR" noThreeD="1" sel="46" val="39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</xdr:row>
          <xdr:rowOff>0</xdr:rowOff>
        </xdr:from>
        <xdr:to>
          <xdr:col>4</xdr:col>
          <xdr:colOff>57150</xdr:colOff>
          <xdr:row>3</xdr:row>
          <xdr:rowOff>85725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1</xdr:row>
          <xdr:rowOff>171450</xdr:rowOff>
        </xdr:from>
        <xdr:to>
          <xdr:col>5</xdr:col>
          <xdr:colOff>180975</xdr:colOff>
          <xdr:row>3</xdr:row>
          <xdr:rowOff>85725</xdr:rowOff>
        </xdr:to>
        <xdr:sp macro="" textlink="">
          <xdr:nvSpPr>
            <xdr:cNvPr id="1030" name="Button 6" descr="Göstər / gizlə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Göstər / gizlət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F419"/>
  <sheetViews>
    <sheetView showGridLines="0" tabSelected="1" view="pageBreakPreview" topLeftCell="A127" zoomScaleNormal="115" zoomScaleSheetLayoutView="100" workbookViewId="0">
      <selection activeCell="C140" sqref="C140"/>
    </sheetView>
  </sheetViews>
  <sheetFormatPr defaultColWidth="9.140625" defaultRowHeight="15" outlineLevelCol="1" x14ac:dyDescent="0.25"/>
  <cols>
    <col min="1" max="1" width="8" customWidth="1" style="7"/>
    <col min="2" max="2" width="46.42578125" customWidth="1" style="1"/>
    <col min="3" max="3" width="14.28515625" customWidth="1" style="11"/>
    <col min="4" max="4" width="16.5703125" customWidth="1" style="10"/>
    <col min="5" max="7" width="15" customWidth="1" style="10"/>
    <col min="8" max="8" hidden="1" width="13.7109375" customWidth="1" style="10"/>
    <col min="9" max="9" width="15.7109375" customWidth="1" style="10"/>
    <col min="10" max="10" hidden="1" width="15" customWidth="1" outlineLevel="1" style="10"/>
    <col min="11" max="11" width="15" customWidth="1" outlineLevel="1" style="10"/>
    <col min="12" max="14" hidden="1" width="15" customWidth="1" outlineLevel="1" style="10"/>
    <col min="15" max="15" width="15" customWidth="1" outlineLevel="1" style="10"/>
    <col min="16" max="56" hidden="1" width="15" customWidth="1" outlineLevel="1" style="10"/>
    <col min="57" max="57" width="21.85546875" customWidth="1" style="10"/>
    <col min="58" max="58" width="15" customWidth="1" style="12"/>
    <col min="59" max="16384" width="9.140625" customWidth="1" style="1"/>
  </cols>
  <sheetData>
    <row r="1">
      <c r="A1" s="212" t="s">
        <v>205</v>
      </c>
      <c r="B1" s="191"/>
      <c r="C1" s="192"/>
      <c r="D1" s="192"/>
      <c r="E1" s="192"/>
      <c r="F1" s="192"/>
      <c r="G1" s="192"/>
      <c r="H1" s="192"/>
      <c r="I1" s="192"/>
      <c r="J1" s="192"/>
      <c r="K1" s="192"/>
      <c r="L1" s="192"/>
      <c r="M1" s="192"/>
      <c r="N1" s="192"/>
      <c r="O1" s="192"/>
      <c r="P1" s="192"/>
      <c r="Q1" s="192"/>
      <c r="R1" s="192"/>
      <c r="S1" s="192"/>
      <c r="T1" s="192"/>
      <c r="U1" s="192"/>
      <c r="V1" s="192"/>
      <c r="W1" s="192"/>
      <c r="X1" s="192"/>
      <c r="Y1" s="192"/>
      <c r="Z1" s="192"/>
      <c r="AA1" s="192"/>
      <c r="AB1" s="192"/>
      <c r="AC1" s="192"/>
      <c r="AD1" s="192"/>
      <c r="AE1" s="192"/>
      <c r="AF1" s="192"/>
      <c r="AG1" s="192"/>
      <c r="AH1" s="192"/>
      <c r="AI1" s="192"/>
      <c r="AJ1" s="192"/>
      <c r="AK1" s="192"/>
      <c r="AL1" s="192"/>
      <c r="AM1" s="192"/>
      <c r="AN1" s="192"/>
      <c r="AO1" s="192"/>
      <c r="AP1" s="192"/>
      <c r="AQ1" s="192"/>
      <c r="AR1" s="192"/>
      <c r="AS1" s="192"/>
      <c r="AT1" s="192"/>
      <c r="AU1" s="192"/>
      <c r="AV1" s="192"/>
      <c r="AW1" s="192"/>
      <c r="AX1" s="192"/>
      <c r="AY1" s="192"/>
      <c r="AZ1" s="192"/>
      <c r="BA1" s="192"/>
      <c r="BB1" s="192"/>
      <c r="BC1" s="192"/>
      <c r="BD1" s="192"/>
      <c r="BE1" s="193"/>
      <c r="BF1" s="194"/>
    </row>
    <row r="2">
      <c r="A2" s="212"/>
      <c r="B2" s="191"/>
      <c r="C2" s="192"/>
      <c r="D2" s="192"/>
      <c r="E2" s="192"/>
      <c r="F2" s="192"/>
      <c r="G2" s="192"/>
      <c r="H2" s="192"/>
      <c r="I2" s="192"/>
      <c r="J2" s="192"/>
      <c r="K2" s="192"/>
      <c r="L2" s="192"/>
      <c r="M2" s="192"/>
      <c r="N2" s="192"/>
      <c r="O2" s="192"/>
      <c r="P2" s="192"/>
      <c r="Q2" s="192"/>
      <c r="R2" s="192"/>
      <c r="S2" s="192"/>
      <c r="T2" s="192"/>
      <c r="U2" s="192"/>
      <c r="V2" s="192"/>
      <c r="W2" s="192"/>
      <c r="X2" s="192"/>
      <c r="Y2" s="192"/>
      <c r="Z2" s="192"/>
      <c r="AA2" s="192"/>
      <c r="AB2" s="192"/>
      <c r="AC2" s="192"/>
      <c r="AD2" s="192"/>
      <c r="AE2" s="192"/>
      <c r="AF2" s="192"/>
      <c r="AG2" s="192"/>
      <c r="AH2" s="192"/>
      <c r="AI2" s="192"/>
      <c r="AJ2" s="192"/>
      <c r="AK2" s="192"/>
      <c r="AL2" s="192"/>
      <c r="AM2" s="192"/>
      <c r="AN2" s="192"/>
      <c r="AO2" s="192"/>
      <c r="AP2" s="192"/>
      <c r="AQ2" s="192"/>
      <c r="AR2" s="192"/>
      <c r="AS2" s="192"/>
      <c r="AT2" s="192"/>
      <c r="AU2" s="192"/>
      <c r="AV2" s="192"/>
      <c r="AW2" s="192"/>
      <c r="AX2" s="192"/>
      <c r="AY2" s="192"/>
      <c r="AZ2" s="192"/>
      <c r="BA2" s="192"/>
      <c r="BB2" s="192"/>
      <c r="BC2" s="192"/>
      <c r="BD2" s="192"/>
      <c r="BE2" s="193"/>
      <c r="BF2" s="194"/>
    </row>
    <row r="3" s="4" customFormat="1">
      <c r="A3" s="213" t="s">
        <v>206</v>
      </c>
      <c r="B3" s="195"/>
      <c r="C3" s="196"/>
      <c r="D3" s="196"/>
      <c r="E3" s="196"/>
      <c r="F3" s="216">
        <v>46</v>
      </c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G3" s="196"/>
      <c r="AH3" s="196"/>
      <c r="AI3" s="196"/>
      <c r="AJ3" s="196"/>
      <c r="AK3" s="196"/>
      <c r="AL3" s="196"/>
      <c r="AM3" s="196"/>
      <c r="AN3" s="196"/>
      <c r="AO3" s="196"/>
      <c r="AP3" s="196"/>
      <c r="AQ3" s="196"/>
      <c r="AR3" s="196"/>
      <c r="AS3" s="196"/>
      <c r="AT3" s="196"/>
      <c r="AU3" s="196"/>
      <c r="AV3" s="196"/>
      <c r="AW3" s="196"/>
      <c r="AX3" s="196"/>
      <c r="AY3" s="196"/>
      <c r="AZ3" s="196"/>
      <c r="BA3" s="196"/>
      <c r="BB3" s="196"/>
      <c r="BC3" s="196"/>
      <c r="BD3" s="196"/>
      <c r="BE3" s="197"/>
      <c r="BF3" s="198"/>
    </row>
    <row r="4" ht="15.75" s="4" customFormat="1">
      <c r="A4" s="213" t="s">
        <v>207</v>
      </c>
      <c r="B4" s="195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196"/>
      <c r="AO4" s="196"/>
      <c r="AP4" s="196"/>
      <c r="AQ4" s="196"/>
      <c r="AR4" s="196"/>
      <c r="AS4" s="196"/>
      <c r="AT4" s="196"/>
      <c r="AU4" s="196"/>
      <c r="AV4" s="196"/>
      <c r="AW4" s="196"/>
      <c r="AX4" s="196"/>
      <c r="AY4" s="196"/>
      <c r="AZ4" s="196"/>
      <c r="BA4" s="196"/>
      <c r="BB4" s="196"/>
      <c r="BC4" s="196"/>
      <c r="BD4" s="196"/>
      <c r="BE4" s="197"/>
      <c r="BF4" s="198"/>
    </row>
    <row r="5" ht="27.75" customHeight="1">
      <c r="A5" s="190"/>
      <c r="B5" s="202" t="s">
        <v>208</v>
      </c>
      <c r="C5" s="202"/>
      <c r="D5" s="202"/>
      <c r="E5" s="202"/>
      <c r="F5" s="202"/>
      <c r="G5" s="202"/>
      <c r="H5" s="202"/>
      <c r="I5" s="202"/>
      <c r="J5" s="202"/>
      <c r="K5" s="202"/>
      <c r="L5" s="202"/>
      <c r="M5" s="202"/>
      <c r="N5" s="202"/>
      <c r="O5" s="202"/>
      <c r="P5" s="202"/>
      <c r="Q5" s="202"/>
      <c r="R5" s="202"/>
      <c r="S5" s="202"/>
      <c r="T5" s="202"/>
      <c r="U5" s="202"/>
      <c r="V5" s="202"/>
      <c r="W5" s="202"/>
      <c r="X5" s="202"/>
      <c r="Y5" s="202"/>
      <c r="Z5" s="202"/>
      <c r="AA5" s="202"/>
      <c r="AB5" s="202"/>
      <c r="AC5" s="202"/>
      <c r="AD5" s="202"/>
      <c r="AE5" s="202"/>
      <c r="AF5" s="202"/>
      <c r="AG5" s="202"/>
      <c r="AH5" s="202"/>
      <c r="AI5" s="202"/>
      <c r="AJ5" s="202"/>
      <c r="AK5" s="202"/>
      <c r="AL5" s="202"/>
      <c r="AM5" s="202"/>
      <c r="AN5" s="202"/>
      <c r="AO5" s="202"/>
      <c r="AP5" s="202"/>
      <c r="AQ5" s="202"/>
      <c r="AR5" s="202"/>
      <c r="AS5" s="202"/>
      <c r="AT5" s="202"/>
      <c r="AU5" s="202"/>
      <c r="AV5" s="202"/>
      <c r="AW5" s="202"/>
      <c r="AX5" s="202"/>
      <c r="AY5" s="202"/>
      <c r="AZ5" s="202"/>
      <c r="BA5" s="202"/>
      <c r="BB5" s="202"/>
      <c r="BC5" s="202"/>
      <c r="BD5" s="202"/>
      <c r="BE5" s="202"/>
      <c r="BF5" s="203"/>
    </row>
    <row r="6">
      <c r="A6" s="71"/>
      <c r="B6" s="72"/>
      <c r="C6" s="73" t="s">
        <v>209</v>
      </c>
      <c r="D6" s="263" t="s">
        <v>210</v>
      </c>
      <c r="E6" s="264"/>
      <c r="F6" s="264"/>
      <c r="G6" s="264"/>
      <c r="H6" s="264"/>
      <c r="I6" s="264"/>
      <c r="J6" s="264"/>
      <c r="K6" s="264"/>
      <c r="L6" s="264"/>
      <c r="M6" s="264"/>
      <c r="N6" s="264"/>
      <c r="O6" s="264"/>
      <c r="P6" s="264"/>
      <c r="Q6" s="264"/>
      <c r="R6" s="264"/>
      <c r="S6" s="264"/>
      <c r="T6" s="264"/>
      <c r="U6" s="264"/>
      <c r="V6" s="264"/>
      <c r="W6" s="264"/>
      <c r="X6" s="264"/>
      <c r="Y6" s="264"/>
      <c r="Z6" s="264"/>
      <c r="AA6" s="264"/>
      <c r="AB6" s="264"/>
      <c r="AC6" s="264"/>
      <c r="AD6" s="264"/>
      <c r="AE6" s="264"/>
      <c r="AF6" s="264"/>
      <c r="AG6" s="264"/>
      <c r="AH6" s="264"/>
      <c r="AI6" s="264"/>
      <c r="AJ6" s="264"/>
      <c r="AK6" s="264"/>
      <c r="AL6" s="264"/>
      <c r="AM6" s="264"/>
      <c r="AN6" s="264"/>
      <c r="AO6" s="264"/>
      <c r="AP6" s="264"/>
      <c r="AQ6" s="264"/>
      <c r="AR6" s="264"/>
      <c r="AS6" s="264"/>
      <c r="AT6" s="264"/>
      <c r="AU6" s="264"/>
      <c r="AV6" s="264"/>
      <c r="AW6" s="264"/>
      <c r="AX6" s="264"/>
      <c r="AY6" s="264"/>
      <c r="AZ6" s="264"/>
      <c r="BA6" s="264"/>
      <c r="BB6" s="264"/>
      <c r="BC6" s="264"/>
      <c r="BD6" s="264"/>
      <c r="BE6" s="261" t="s">
        <v>211</v>
      </c>
      <c r="BF6" s="262"/>
    </row>
    <row r="7">
      <c r="A7" s="217"/>
      <c r="B7" s="218"/>
      <c r="C7" s="220">
        <v>1</v>
      </c>
      <c r="D7" s="220">
        <v>2</v>
      </c>
      <c r="E7" s="220">
        <v>3</v>
      </c>
      <c r="F7" s="220">
        <v>4</v>
      </c>
      <c r="G7" s="220">
        <v>5</v>
      </c>
      <c r="H7" s="220">
        <v>6</v>
      </c>
      <c r="I7" s="220">
        <v>7</v>
      </c>
      <c r="J7" s="220">
        <v>8</v>
      </c>
      <c r="K7" s="220">
        <v>9</v>
      </c>
      <c r="L7" s="220">
        <v>10</v>
      </c>
      <c r="M7" s="220">
        <v>11</v>
      </c>
      <c r="N7" s="220">
        <v>12</v>
      </c>
      <c r="O7" s="220">
        <v>13</v>
      </c>
      <c r="P7" s="220">
        <v>14</v>
      </c>
      <c r="Q7" s="220">
        <v>15</v>
      </c>
      <c r="R7" s="220">
        <v>16</v>
      </c>
      <c r="S7" s="220">
        <v>17</v>
      </c>
      <c r="T7" s="220">
        <v>18</v>
      </c>
      <c r="U7" s="220">
        <v>19</v>
      </c>
      <c r="V7" s="220">
        <v>20</v>
      </c>
      <c r="W7" s="220">
        <v>21</v>
      </c>
      <c r="X7" s="220">
        <v>22</v>
      </c>
      <c r="Y7" s="220">
        <v>23</v>
      </c>
      <c r="Z7" s="220">
        <v>24</v>
      </c>
      <c r="AA7" s="220">
        <v>25</v>
      </c>
      <c r="AB7" s="220">
        <v>26</v>
      </c>
      <c r="AC7" s="220">
        <v>27</v>
      </c>
      <c r="AD7" s="220">
        <v>28</v>
      </c>
      <c r="AE7" s="220">
        <v>29</v>
      </c>
      <c r="AF7" s="220">
        <v>30</v>
      </c>
      <c r="AG7" s="220">
        <v>31</v>
      </c>
      <c r="AH7" s="220">
        <v>32</v>
      </c>
      <c r="AI7" s="220">
        <v>33</v>
      </c>
      <c r="AJ7" s="220">
        <v>34</v>
      </c>
      <c r="AK7" s="220">
        <v>35</v>
      </c>
      <c r="AL7" s="220">
        <v>36</v>
      </c>
      <c r="AM7" s="220">
        <v>37</v>
      </c>
      <c r="AN7" s="220">
        <v>38</v>
      </c>
      <c r="AO7" s="220">
        <v>39</v>
      </c>
      <c r="AP7" s="220">
        <v>40</v>
      </c>
      <c r="AQ7" s="220">
        <v>41</v>
      </c>
      <c r="AR7" s="220">
        <v>42</v>
      </c>
      <c r="AS7" s="220">
        <v>43</v>
      </c>
      <c r="AT7" s="220">
        <v>44</v>
      </c>
      <c r="AU7" s="220">
        <v>45</v>
      </c>
      <c r="AV7" s="220">
        <v>46</v>
      </c>
      <c r="AW7" s="220">
        <v>47</v>
      </c>
      <c r="AX7" s="220">
        <v>48</v>
      </c>
      <c r="AY7" s="220">
        <v>49</v>
      </c>
      <c r="AZ7" s="220">
        <v>50</v>
      </c>
      <c r="BA7" s="220">
        <v>51</v>
      </c>
      <c r="BB7" s="220">
        <v>52</v>
      </c>
      <c r="BC7" s="220">
        <v>53</v>
      </c>
      <c r="BD7" s="220">
        <v>54</v>
      </c>
      <c r="BE7" s="218"/>
      <c r="BF7" s="219"/>
    </row>
    <row r="8" ht="15.75">
      <c r="A8" s="74"/>
      <c r="B8" s="74" t="s">
        <v>212</v>
      </c>
      <c r="C8" s="13" t="s">
        <v>213</v>
      </c>
      <c r="D8" s="13" t="s">
        <v>213</v>
      </c>
      <c r="E8" s="13" t="s">
        <v>214</v>
      </c>
      <c r="F8" s="13" t="s">
        <v>215</v>
      </c>
      <c r="G8" s="13" t="s">
        <v>216</v>
      </c>
      <c r="H8" s="13" t="s">
        <v>217</v>
      </c>
      <c r="I8" s="13" t="s">
        <v>218</v>
      </c>
      <c r="J8" s="13" t="s">
        <v>219</v>
      </c>
      <c r="K8" s="13" t="s">
        <v>220</v>
      </c>
      <c r="L8" s="13" t="s">
        <v>221</v>
      </c>
      <c r="M8" s="13" t="s">
        <v>222</v>
      </c>
      <c r="N8" s="13" t="s">
        <v>223</v>
      </c>
      <c r="O8" s="13" t="s">
        <v>224</v>
      </c>
      <c r="P8" s="13" t="s">
        <v>225</v>
      </c>
      <c r="Q8" s="13" t="s">
        <v>226</v>
      </c>
      <c r="R8" s="13" t="s">
        <v>227</v>
      </c>
      <c r="S8" s="13" t="s">
        <v>228</v>
      </c>
      <c r="T8" s="13" t="s">
        <v>229</v>
      </c>
      <c r="U8" s="13" t="s">
        <v>230</v>
      </c>
      <c r="V8" s="13" t="s">
        <v>231</v>
      </c>
      <c r="W8" s="13" t="s">
        <v>232</v>
      </c>
      <c r="X8" s="13" t="s">
        <v>233</v>
      </c>
      <c r="Y8" s="13" t="s">
        <v>234</v>
      </c>
      <c r="Z8" s="13" t="s">
        <v>235</v>
      </c>
      <c r="AA8" s="13" t="s">
        <v>236</v>
      </c>
      <c r="AB8" s="13" t="s">
        <v>237</v>
      </c>
      <c r="AC8" s="13" t="s">
        <v>238</v>
      </c>
      <c r="AD8" s="13" t="s">
        <v>239</v>
      </c>
      <c r="AE8" s="13" t="s">
        <v>240</v>
      </c>
      <c r="AF8" s="13" t="s">
        <v>241</v>
      </c>
      <c r="AG8" s="13" t="s">
        <v>242</v>
      </c>
      <c r="AH8" s="13" t="s">
        <v>243</v>
      </c>
      <c r="AI8" s="13" t="s">
        <v>244</v>
      </c>
      <c r="AJ8" s="13" t="s">
        <v>245</v>
      </c>
      <c r="AK8" s="13" t="s">
        <v>246</v>
      </c>
      <c r="AL8" s="13" t="s">
        <v>247</v>
      </c>
      <c r="AM8" s="13" t="s">
        <v>248</v>
      </c>
      <c r="AN8" s="13" t="s">
        <v>249</v>
      </c>
      <c r="AO8" s="13" t="s">
        <v>250</v>
      </c>
      <c r="AP8" s="13" t="s">
        <v>251</v>
      </c>
      <c r="AQ8" s="13" t="s">
        <v>252</v>
      </c>
      <c r="AR8" s="13" t="s">
        <v>253</v>
      </c>
      <c r="AS8" s="13" t="s">
        <v>254</v>
      </c>
      <c r="AT8" s="13" t="s">
        <v>255</v>
      </c>
      <c r="AU8" s="13" t="s">
        <v>256</v>
      </c>
      <c r="AV8" s="13" t="s">
        <v>257</v>
      </c>
      <c r="AW8" s="13" t="s">
        <v>258</v>
      </c>
      <c r="AX8" s="13" t="s">
        <v>259</v>
      </c>
      <c r="AY8" s="13" t="s">
        <v>260</v>
      </c>
      <c r="AZ8" s="13" t="s">
        <v>261</v>
      </c>
      <c r="BA8" s="13" t="s">
        <v>262</v>
      </c>
      <c r="BB8" s="13" t="s">
        <v>263</v>
      </c>
      <c r="BC8" s="13" t="s">
        <v>264</v>
      </c>
      <c r="BD8" s="13" t="s">
        <v>265</v>
      </c>
      <c r="BE8" s="15" t="s">
        <v>266</v>
      </c>
      <c r="BF8" s="14" t="s">
        <v>267</v>
      </c>
    </row>
    <row r="9">
      <c r="A9" s="75" t="s">
        <v>268</v>
      </c>
      <c r="B9" s="76" t="s">
        <v>269</v>
      </c>
      <c r="C9" s="127">
        <v>3092.15159</v>
      </c>
      <c r="D9" s="19">
        <f>SUM(E9:OFFSET(BE9:BE9,0,-1))</f>
        <v>0</v>
      </c>
      <c r="E9" s="127">
        <v>523.76643</v>
      </c>
      <c r="F9" s="127">
        <v>1875.3193</v>
      </c>
      <c r="G9" s="127">
        <v>693.06586</v>
      </c>
      <c r="H9" s="127"/>
      <c r="I9" s="127">
        <v>0</v>
      </c>
      <c r="J9" s="127"/>
      <c r="K9" s="127">
        <v>0</v>
      </c>
      <c r="L9" s="127"/>
      <c r="M9" s="127"/>
      <c r="N9" s="127"/>
      <c r="O9" s="127">
        <v>0</v>
      </c>
      <c r="P9" s="127"/>
      <c r="Q9" s="127"/>
      <c r="R9" s="127"/>
      <c r="S9" s="127"/>
      <c r="T9" s="127"/>
      <c r="U9" s="127"/>
      <c r="V9" s="127"/>
      <c r="W9" s="127"/>
      <c r="X9" s="127"/>
      <c r="Y9" s="127"/>
      <c r="Z9" s="127"/>
      <c r="AA9" s="127"/>
      <c r="AB9" s="127"/>
      <c r="AC9" s="127"/>
      <c r="AD9" s="127"/>
      <c r="AE9" s="127"/>
      <c r="AF9" s="127"/>
      <c r="AG9" s="127"/>
      <c r="AH9" s="127"/>
      <c r="AI9" s="127"/>
      <c r="AJ9" s="127"/>
      <c r="AK9" s="127"/>
      <c r="AL9" s="127"/>
      <c r="AM9" s="127"/>
      <c r="AN9" s="127"/>
      <c r="AO9" s="127"/>
      <c r="AP9" s="127"/>
      <c r="AQ9" s="127"/>
      <c r="AR9" s="127"/>
      <c r="AS9" s="127"/>
      <c r="AT9" s="127"/>
      <c r="AU9" s="127"/>
      <c r="AV9" s="127"/>
      <c r="AW9" s="127"/>
      <c r="AX9" s="127"/>
      <c r="AY9" s="127"/>
      <c r="AZ9" s="127"/>
      <c r="BA9" s="127"/>
      <c r="BB9" s="127"/>
      <c r="BC9" s="127"/>
      <c r="BD9" s="127"/>
      <c r="BE9" s="38">
        <f ref="BE9:BE15" t="shared" si="0" ca="1">D9-C9</f>
        <v>0</v>
      </c>
      <c r="BF9" s="39">
        <f ref="BF9:BF15" t="shared" si="1" ca="1">IFERROR(D9/C9-1,0)</f>
        <v>0</v>
      </c>
    </row>
    <row r="10" ht="12.6" customHeight="1">
      <c r="A10" s="77" t="s">
        <v>270</v>
      </c>
      <c r="B10" s="78" t="s">
        <v>271</v>
      </c>
      <c r="C10" s="189">
        <v>36385.35392</v>
      </c>
      <c r="D10" s="19">
        <f>SUM(E10:OFFSET(BE10:BE10,0,-1))</f>
        <v>0</v>
      </c>
      <c r="E10" s="189">
        <v>3555.47047</v>
      </c>
      <c r="F10" s="189">
        <v>948.3841</v>
      </c>
      <c r="G10" s="189">
        <v>31908.3593</v>
      </c>
      <c r="H10" s="189"/>
      <c r="I10" s="189">
        <v>0</v>
      </c>
      <c r="J10" s="189"/>
      <c r="K10" s="189">
        <v>0</v>
      </c>
      <c r="L10" s="189"/>
      <c r="M10" s="189"/>
      <c r="N10" s="189"/>
      <c r="O10" s="189">
        <v>0</v>
      </c>
      <c r="P10" s="189"/>
      <c r="Q10" s="189"/>
      <c r="R10" s="189"/>
      <c r="S10" s="189"/>
      <c r="T10" s="189"/>
      <c r="U10" s="189"/>
      <c r="V10" s="189"/>
      <c r="W10" s="189"/>
      <c r="X10" s="189"/>
      <c r="Y10" s="189"/>
      <c r="Z10" s="189"/>
      <c r="AA10" s="189"/>
      <c r="AB10" s="189"/>
      <c r="AC10" s="189"/>
      <c r="AD10" s="189"/>
      <c r="AE10" s="189"/>
      <c r="AF10" s="189"/>
      <c r="AG10" s="189"/>
      <c r="AH10" s="189"/>
      <c r="AI10" s="189"/>
      <c r="AJ10" s="189"/>
      <c r="AK10" s="189"/>
      <c r="AL10" s="189"/>
      <c r="AM10" s="189"/>
      <c r="AN10" s="189"/>
      <c r="AO10" s="189"/>
      <c r="AP10" s="189"/>
      <c r="AQ10" s="189"/>
      <c r="AR10" s="189"/>
      <c r="AS10" s="189"/>
      <c r="AT10" s="189"/>
      <c r="AU10" s="189"/>
      <c r="AV10" s="189"/>
      <c r="AW10" s="189"/>
      <c r="AX10" s="189"/>
      <c r="AY10" s="189"/>
      <c r="AZ10" s="189"/>
      <c r="BA10" s="189"/>
      <c r="BB10" s="189"/>
      <c r="BC10" s="189"/>
      <c r="BD10" s="189"/>
      <c r="BE10" s="40">
        <f t="shared" si="0" ca="1"/>
        <v>0</v>
      </c>
      <c r="BF10" s="41">
        <f t="shared" si="1" ca="1"/>
        <v>0</v>
      </c>
    </row>
    <row r="11">
      <c r="A11" s="79" t="s">
        <v>272</v>
      </c>
      <c r="B11" s="80" t="s">
        <v>273</v>
      </c>
      <c r="C11" s="119">
        <v>0.61156</v>
      </c>
      <c r="D11" s="21">
        <f>SUM(E11:OFFSET(BE11:BE11,0,-1))</f>
        <v>0</v>
      </c>
      <c r="E11" s="119">
        <v>0.61156</v>
      </c>
      <c r="F11" s="119">
        <v>0</v>
      </c>
      <c r="G11" s="119">
        <v>0</v>
      </c>
      <c r="H11" s="119"/>
      <c r="I11" s="119">
        <v>0</v>
      </c>
      <c r="J11" s="119"/>
      <c r="K11" s="119">
        <v>0</v>
      </c>
      <c r="L11" s="119"/>
      <c r="M11" s="119"/>
      <c r="N11" s="119"/>
      <c r="O11" s="119">
        <v>0</v>
      </c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42">
        <f t="shared" si="0" ca="1"/>
        <v>0</v>
      </c>
      <c r="BF11" s="43">
        <f t="shared" si="1" ca="1"/>
        <v>0</v>
      </c>
    </row>
    <row r="12">
      <c r="A12" s="79" t="s">
        <v>274</v>
      </c>
      <c r="B12" s="93" t="s">
        <v>275</v>
      </c>
      <c r="C12" s="119">
        <v>3571.20946</v>
      </c>
      <c r="D12" s="21">
        <f>SUM(E12:OFFSET(BE12:BE12,0,-1))</f>
        <v>0</v>
      </c>
      <c r="E12" s="119">
        <v>3470.954</v>
      </c>
      <c r="F12" s="119">
        <v>0</v>
      </c>
      <c r="G12" s="119">
        <v>100.25546</v>
      </c>
      <c r="H12" s="119"/>
      <c r="I12" s="119">
        <v>0</v>
      </c>
      <c r="J12" s="119"/>
      <c r="K12" s="119">
        <v>0</v>
      </c>
      <c r="L12" s="119"/>
      <c r="M12" s="119"/>
      <c r="N12" s="119"/>
      <c r="O12" s="119">
        <v>0</v>
      </c>
      <c r="P12" s="119"/>
      <c r="Q12" s="119"/>
      <c r="R12" s="119"/>
      <c r="S12" s="119"/>
      <c r="T12" s="119"/>
      <c r="U12" s="119"/>
      <c r="V12" s="119"/>
      <c r="W12" s="119"/>
      <c r="X12" s="119"/>
      <c r="Y12" s="119"/>
      <c r="Z12" s="119"/>
      <c r="AA12" s="119"/>
      <c r="AB12" s="119"/>
      <c r="AC12" s="119"/>
      <c r="AD12" s="119"/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19"/>
      <c r="AS12" s="119"/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119"/>
      <c r="BE12" s="42">
        <f t="shared" si="0" ca="1"/>
        <v>0</v>
      </c>
      <c r="BF12" s="43">
        <f t="shared" si="1" ca="1"/>
        <v>0</v>
      </c>
    </row>
    <row r="13">
      <c r="A13" s="77" t="s">
        <v>276</v>
      </c>
      <c r="B13" s="78" t="s">
        <v>277</v>
      </c>
      <c r="C13" s="20">
        <f>C15+C18</f>
        <v>0</v>
      </c>
      <c r="D13" s="20">
        <f ref="D13:BD13" t="shared" si="2" ca="1">D15+D18</f>
        <v>0</v>
      </c>
      <c r="E13" s="20">
        <f t="shared" si="2"/>
        <v>0</v>
      </c>
      <c r="F13" s="20">
        <f t="shared" si="2"/>
        <v>0</v>
      </c>
      <c r="G13" s="20">
        <f t="shared" si="2"/>
        <v>0</v>
      </c>
      <c r="H13" s="20">
        <f t="shared" si="2"/>
        <v>0</v>
      </c>
      <c r="I13" s="20">
        <f t="shared" si="2"/>
        <v>0</v>
      </c>
      <c r="J13" s="20">
        <f t="shared" si="2"/>
        <v>0</v>
      </c>
      <c r="K13" s="20">
        <f t="shared" si="2"/>
        <v>0</v>
      </c>
      <c r="L13" s="20">
        <f t="shared" si="2"/>
        <v>0</v>
      </c>
      <c r="M13" s="20">
        <f t="shared" si="2"/>
        <v>0</v>
      </c>
      <c r="N13" s="20">
        <f t="shared" si="2"/>
        <v>0</v>
      </c>
      <c r="O13" s="20">
        <f t="shared" si="2"/>
        <v>0</v>
      </c>
      <c r="P13" s="20">
        <f t="shared" si="2"/>
        <v>0</v>
      </c>
      <c r="Q13" s="20">
        <f t="shared" si="2"/>
        <v>0</v>
      </c>
      <c r="R13" s="20">
        <f t="shared" si="2"/>
        <v>0</v>
      </c>
      <c r="S13" s="20">
        <f t="shared" si="2"/>
        <v>0</v>
      </c>
      <c r="T13" s="20">
        <f t="shared" si="2"/>
        <v>0</v>
      </c>
      <c r="U13" s="20">
        <f t="shared" si="2"/>
        <v>0</v>
      </c>
      <c r="V13" s="20">
        <f t="shared" si="2"/>
        <v>0</v>
      </c>
      <c r="W13" s="20">
        <f t="shared" si="2"/>
        <v>0</v>
      </c>
      <c r="X13" s="20">
        <f t="shared" si="2"/>
        <v>0</v>
      </c>
      <c r="Y13" s="20">
        <f t="shared" si="2"/>
        <v>0</v>
      </c>
      <c r="Z13" s="20">
        <f t="shared" si="2"/>
        <v>0</v>
      </c>
      <c r="AA13" s="20">
        <f t="shared" si="2"/>
        <v>0</v>
      </c>
      <c r="AB13" s="20">
        <f t="shared" si="2"/>
        <v>0</v>
      </c>
      <c r="AC13" s="20">
        <f t="shared" si="2"/>
        <v>0</v>
      </c>
      <c r="AD13" s="20">
        <f t="shared" si="2"/>
        <v>0</v>
      </c>
      <c r="AE13" s="20">
        <f t="shared" si="2"/>
        <v>0</v>
      </c>
      <c r="AF13" s="20">
        <f t="shared" si="2"/>
        <v>0</v>
      </c>
      <c r="AG13" s="20">
        <f t="shared" si="2"/>
        <v>0</v>
      </c>
      <c r="AH13" s="20">
        <f t="shared" si="2"/>
        <v>0</v>
      </c>
      <c r="AI13" s="20">
        <f t="shared" si="2"/>
        <v>0</v>
      </c>
      <c r="AJ13" s="20">
        <f t="shared" si="2"/>
        <v>0</v>
      </c>
      <c r="AK13" s="20">
        <f t="shared" si="2"/>
        <v>0</v>
      </c>
      <c r="AL13" s="20">
        <f t="shared" si="2"/>
        <v>0</v>
      </c>
      <c r="AM13" s="20">
        <f t="shared" si="2"/>
        <v>0</v>
      </c>
      <c r="AN13" s="20">
        <f t="shared" si="2"/>
        <v>0</v>
      </c>
      <c r="AO13" s="20">
        <f t="shared" si="2"/>
        <v>0</v>
      </c>
      <c r="AP13" s="20">
        <f t="shared" si="2"/>
        <v>0</v>
      </c>
      <c r="AQ13" s="20">
        <f t="shared" si="2"/>
        <v>0</v>
      </c>
      <c r="AR13" s="20">
        <f t="shared" si="2"/>
        <v>0</v>
      </c>
      <c r="AS13" s="20">
        <f t="shared" si="2"/>
        <v>0</v>
      </c>
      <c r="AT13" s="20">
        <f t="shared" si="2"/>
        <v>0</v>
      </c>
      <c r="AU13" s="20">
        <f t="shared" si="2"/>
        <v>0</v>
      </c>
      <c r="AV13" s="20">
        <f t="shared" si="2"/>
        <v>0</v>
      </c>
      <c r="AW13" s="20">
        <f t="shared" si="2"/>
        <v>0</v>
      </c>
      <c r="AX13" s="20">
        <f t="shared" si="2"/>
        <v>0</v>
      </c>
      <c r="AY13" s="20">
        <f t="shared" si="2"/>
        <v>0</v>
      </c>
      <c r="AZ13" s="20">
        <f t="shared" si="2"/>
        <v>0</v>
      </c>
      <c r="BA13" s="20">
        <f t="shared" si="2"/>
        <v>0</v>
      </c>
      <c r="BB13" s="20">
        <f ref="BB13:BC13" t="shared" si="3">BB15+BB18</f>
        <v>0</v>
      </c>
      <c r="BC13" s="20">
        <f t="shared" si="3"/>
        <v>0</v>
      </c>
      <c r="BD13" s="20">
        <f t="shared" si="2"/>
        <v>0</v>
      </c>
      <c r="BE13" s="40">
        <f t="shared" si="0" ca="1"/>
        <v>0</v>
      </c>
      <c r="BF13" s="41">
        <f t="shared" si="1" ca="1"/>
        <v>0</v>
      </c>
    </row>
    <row r="14">
      <c r="A14" s="79" t="s">
        <v>278</v>
      </c>
      <c r="B14" s="80" t="s">
        <v>279</v>
      </c>
      <c r="C14" s="119">
        <v>8.58273</v>
      </c>
      <c r="D14" s="21">
        <f>SUM(E14:OFFSET(BE14:BE14,0,-1))</f>
        <v>0</v>
      </c>
      <c r="E14" s="119">
        <v>0</v>
      </c>
      <c r="F14" s="119">
        <v>0</v>
      </c>
      <c r="G14" s="119">
        <v>8.25726</v>
      </c>
      <c r="H14" s="119"/>
      <c r="I14" s="119">
        <v>0.00251</v>
      </c>
      <c r="J14" s="119"/>
      <c r="K14" s="119">
        <v>0.3139</v>
      </c>
      <c r="L14" s="119"/>
      <c r="M14" s="119"/>
      <c r="N14" s="119"/>
      <c r="O14" s="119">
        <v>0.00906</v>
      </c>
      <c r="P14" s="119"/>
      <c r="Q14" s="119"/>
      <c r="R14" s="119"/>
      <c r="S14" s="119"/>
      <c r="T14" s="119"/>
      <c r="U14" s="119"/>
      <c r="V14" s="119"/>
      <c r="W14" s="119"/>
      <c r="X14" s="119"/>
      <c r="Y14" s="119"/>
      <c r="Z14" s="119"/>
      <c r="AA14" s="119"/>
      <c r="AB14" s="119"/>
      <c r="AC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42">
        <f t="shared" si="0" ca="1"/>
        <v>0</v>
      </c>
      <c r="BF14" s="43">
        <f t="shared" si="1" ca="1"/>
        <v>0</v>
      </c>
    </row>
    <row r="15">
      <c r="A15" s="81" t="s">
        <v>280</v>
      </c>
      <c r="B15" s="82" t="s">
        <v>281</v>
      </c>
      <c r="C15" s="126">
        <v>0</v>
      </c>
      <c r="D15" s="22">
        <f>SUM(E15:OFFSET(BE15:BE15,0,-1))</f>
        <v>0</v>
      </c>
      <c r="E15" s="126">
        <v>0</v>
      </c>
      <c r="F15" s="126">
        <v>0</v>
      </c>
      <c r="G15" s="126">
        <v>0</v>
      </c>
      <c r="H15" s="126"/>
      <c r="I15" s="126">
        <v>0</v>
      </c>
      <c r="J15" s="126"/>
      <c r="K15" s="126">
        <v>0</v>
      </c>
      <c r="L15" s="126"/>
      <c r="M15" s="126"/>
      <c r="N15" s="126"/>
      <c r="O15" s="126">
        <v>0</v>
      </c>
      <c r="P15" s="126"/>
      <c r="Q15" s="126"/>
      <c r="R15" s="126"/>
      <c r="S15" s="126"/>
      <c r="T15" s="126"/>
      <c r="U15" s="126"/>
      <c r="V15" s="126"/>
      <c r="W15" s="126"/>
      <c r="X15" s="126"/>
      <c r="Y15" s="126"/>
      <c r="Z15" s="126"/>
      <c r="AA15" s="126"/>
      <c r="AB15" s="126"/>
      <c r="AC15" s="126"/>
      <c r="AD15" s="126"/>
      <c r="AE15" s="126"/>
      <c r="AF15" s="126"/>
      <c r="AG15" s="126"/>
      <c r="AH15" s="126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26"/>
      <c r="BB15" s="126"/>
      <c r="BC15" s="126"/>
      <c r="BD15" s="126"/>
      <c r="BE15" s="44">
        <f t="shared" si="0" ca="1"/>
        <v>0</v>
      </c>
      <c r="BF15" s="45">
        <f t="shared" si="1" ca="1"/>
        <v>0</v>
      </c>
    </row>
    <row r="16">
      <c r="A16" s="79" t="s">
        <v>282</v>
      </c>
      <c r="B16" s="80" t="s">
        <v>283</v>
      </c>
      <c r="C16" s="119">
        <v>0</v>
      </c>
      <c r="D16" s="21">
        <f>SUM(E16:OFFSET(BE16:BE16,0,-1))</f>
        <v>0</v>
      </c>
      <c r="E16" s="119">
        <v>0</v>
      </c>
      <c r="F16" s="119">
        <v>0</v>
      </c>
      <c r="G16" s="119">
        <v>0</v>
      </c>
      <c r="H16" s="119"/>
      <c r="I16" s="119">
        <v>0</v>
      </c>
      <c r="J16" s="119"/>
      <c r="K16" s="119">
        <v>0</v>
      </c>
      <c r="L16" s="119"/>
      <c r="M16" s="119"/>
      <c r="N16" s="119"/>
      <c r="O16" s="119">
        <v>0</v>
      </c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119"/>
      <c r="AB16" s="119"/>
      <c r="AC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19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19"/>
      <c r="BE16" s="42">
        <f ref="BE16:BE22" t="shared" si="4" ca="1">D16-C16</f>
        <v>0</v>
      </c>
      <c r="BF16" s="43">
        <f ref="BF16:BF22" t="shared" si="5" ca="1">IFERROR(D16/C16-1,0)</f>
        <v>0</v>
      </c>
    </row>
    <row r="17">
      <c r="A17" s="79" t="s">
        <v>284</v>
      </c>
      <c r="B17" s="80" t="s">
        <v>273</v>
      </c>
      <c r="C17" s="119"/>
      <c r="D17" s="21">
        <f>SUM(E17:OFFSET(BE17:BE17,0,-1))</f>
        <v>0</v>
      </c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19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19"/>
      <c r="BE17" s="42">
        <f t="shared" si="4" ca="1"/>
        <v>0</v>
      </c>
      <c r="BF17" s="43">
        <f t="shared" si="5" ca="1"/>
        <v>0</v>
      </c>
    </row>
    <row r="18">
      <c r="A18" s="81" t="s">
        <v>285</v>
      </c>
      <c r="B18" s="82" t="s">
        <v>286</v>
      </c>
      <c r="C18" s="126">
        <v>34.33094</v>
      </c>
      <c r="D18" s="22">
        <f>SUM(E18:OFFSET(BE18:BE18,0,-1))</f>
        <v>0</v>
      </c>
      <c r="E18" s="126">
        <v>0</v>
      </c>
      <c r="F18" s="126">
        <v>0</v>
      </c>
      <c r="G18" s="126">
        <v>33.02906</v>
      </c>
      <c r="H18" s="126"/>
      <c r="I18" s="126">
        <v>0.01004</v>
      </c>
      <c r="J18" s="126"/>
      <c r="K18" s="126">
        <v>1.2556</v>
      </c>
      <c r="L18" s="126"/>
      <c r="M18" s="126"/>
      <c r="N18" s="126"/>
      <c r="O18" s="126">
        <v>0.03624</v>
      </c>
      <c r="P18" s="126"/>
      <c r="Q18" s="126"/>
      <c r="R18" s="126"/>
      <c r="S18" s="126"/>
      <c r="T18" s="126"/>
      <c r="U18" s="126"/>
      <c r="V18" s="126"/>
      <c r="W18" s="126"/>
      <c r="X18" s="126"/>
      <c r="Y18" s="126"/>
      <c r="Z18" s="126"/>
      <c r="AA18" s="126"/>
      <c r="AB18" s="126"/>
      <c r="AC18" s="126"/>
      <c r="AD18" s="126"/>
      <c r="AE18" s="126"/>
      <c r="AF18" s="126"/>
      <c r="AG18" s="126"/>
      <c r="AH18" s="126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26"/>
      <c r="BB18" s="126"/>
      <c r="BC18" s="126"/>
      <c r="BD18" s="126"/>
      <c r="BE18" s="44">
        <f t="shared" si="4" ca="1"/>
        <v>0</v>
      </c>
      <c r="BF18" s="45">
        <f t="shared" si="5" ca="1"/>
        <v>0</v>
      </c>
    </row>
    <row r="19">
      <c r="A19" s="79" t="s">
        <v>287</v>
      </c>
      <c r="B19" s="80" t="s">
        <v>288</v>
      </c>
      <c r="C19" s="119">
        <v>8.58273</v>
      </c>
      <c r="D19" s="21">
        <f>SUM(E19:OFFSET(BE19:BE19,0,-1))</f>
        <v>0</v>
      </c>
      <c r="E19" s="119">
        <v>0</v>
      </c>
      <c r="F19" s="119">
        <v>0</v>
      </c>
      <c r="G19" s="119">
        <v>8.25726</v>
      </c>
      <c r="H19" s="119"/>
      <c r="I19" s="119">
        <v>0.00251</v>
      </c>
      <c r="J19" s="119"/>
      <c r="K19" s="119">
        <v>0.3139</v>
      </c>
      <c r="L19" s="119"/>
      <c r="M19" s="119"/>
      <c r="N19" s="119"/>
      <c r="O19" s="119">
        <v>0.00906</v>
      </c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  <c r="AA19" s="119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19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19"/>
      <c r="BE19" s="42">
        <f t="shared" si="4" ca="1"/>
        <v>0</v>
      </c>
      <c r="BF19" s="43">
        <f t="shared" si="5" ca="1"/>
        <v>0</v>
      </c>
    </row>
    <row r="20">
      <c r="A20" s="79" t="s">
        <v>289</v>
      </c>
      <c r="B20" s="80" t="s">
        <v>273</v>
      </c>
      <c r="C20" s="119"/>
      <c r="D20" s="21">
        <f>SUM(E20:OFFSET(BE20:BE20,0,-1))</f>
        <v>0</v>
      </c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  <c r="AA20" s="119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19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19"/>
      <c r="BE20" s="42">
        <f t="shared" si="4" ca="1"/>
        <v>0</v>
      </c>
      <c r="BF20" s="43">
        <f t="shared" si="5" ca="1"/>
        <v>0</v>
      </c>
    </row>
    <row r="21">
      <c r="A21" s="77" t="s">
        <v>290</v>
      </c>
      <c r="B21" s="78" t="s">
        <v>291</v>
      </c>
      <c r="C21" s="20">
        <f>C23+C29+C35</f>
        <v>0</v>
      </c>
      <c r="D21" s="20">
        <f>D23+D29+D35</f>
        <v>0</v>
      </c>
      <c r="E21" s="20">
        <f>E23+E29+E35</f>
        <v>0</v>
      </c>
      <c r="F21" s="20">
        <f ref="F21:BD21" t="shared" si="6">F23+F29+F35</f>
        <v>0</v>
      </c>
      <c r="G21" s="20">
        <f t="shared" si="6"/>
        <v>0</v>
      </c>
      <c r="H21" s="20">
        <f t="shared" si="6"/>
        <v>0</v>
      </c>
      <c r="I21" s="20">
        <f t="shared" si="6"/>
        <v>0</v>
      </c>
      <c r="J21" s="20">
        <f t="shared" si="6"/>
        <v>0</v>
      </c>
      <c r="K21" s="20">
        <f t="shared" si="6"/>
        <v>0</v>
      </c>
      <c r="L21" s="20">
        <f t="shared" si="6"/>
        <v>0</v>
      </c>
      <c r="M21" s="20">
        <f t="shared" si="6"/>
        <v>0</v>
      </c>
      <c r="N21" s="20">
        <f t="shared" si="6"/>
        <v>0</v>
      </c>
      <c r="O21" s="20">
        <f t="shared" si="6"/>
        <v>0</v>
      </c>
      <c r="P21" s="20">
        <f t="shared" si="6"/>
        <v>0</v>
      </c>
      <c r="Q21" s="20">
        <f t="shared" si="6"/>
        <v>0</v>
      </c>
      <c r="R21" s="20">
        <f t="shared" si="6"/>
        <v>0</v>
      </c>
      <c r="S21" s="20">
        <f t="shared" si="6"/>
        <v>0</v>
      </c>
      <c r="T21" s="20">
        <f t="shared" si="6"/>
        <v>0</v>
      </c>
      <c r="U21" s="20">
        <f t="shared" si="6"/>
        <v>0</v>
      </c>
      <c r="V21" s="20">
        <f t="shared" si="6"/>
        <v>0</v>
      </c>
      <c r="W21" s="20">
        <f t="shared" si="6"/>
        <v>0</v>
      </c>
      <c r="X21" s="20">
        <f t="shared" si="6"/>
        <v>0</v>
      </c>
      <c r="Y21" s="20">
        <f t="shared" si="6"/>
        <v>0</v>
      </c>
      <c r="Z21" s="20">
        <f t="shared" si="6"/>
        <v>0</v>
      </c>
      <c r="AA21" s="20">
        <f t="shared" si="6"/>
        <v>0</v>
      </c>
      <c r="AB21" s="20">
        <f t="shared" si="6"/>
        <v>0</v>
      </c>
      <c r="AC21" s="20">
        <f t="shared" si="6"/>
        <v>0</v>
      </c>
      <c r="AD21" s="20">
        <f t="shared" si="6"/>
        <v>0</v>
      </c>
      <c r="AE21" s="20">
        <f t="shared" si="6"/>
        <v>0</v>
      </c>
      <c r="AF21" s="20">
        <f t="shared" si="6"/>
        <v>0</v>
      </c>
      <c r="AG21" s="20">
        <f t="shared" si="6"/>
        <v>0</v>
      </c>
      <c r="AH21" s="20">
        <f t="shared" si="6"/>
        <v>0</v>
      </c>
      <c r="AI21" s="20">
        <f t="shared" si="6"/>
        <v>0</v>
      </c>
      <c r="AJ21" s="20">
        <f t="shared" si="6"/>
        <v>0</v>
      </c>
      <c r="AK21" s="20">
        <f t="shared" si="6"/>
        <v>0</v>
      </c>
      <c r="AL21" s="20">
        <f t="shared" si="6"/>
        <v>0</v>
      </c>
      <c r="AM21" s="20">
        <f t="shared" si="6"/>
        <v>0</v>
      </c>
      <c r="AN21" s="20">
        <f t="shared" si="6"/>
        <v>0</v>
      </c>
      <c r="AO21" s="20">
        <f t="shared" si="6"/>
        <v>0</v>
      </c>
      <c r="AP21" s="20">
        <f t="shared" si="6"/>
        <v>0</v>
      </c>
      <c r="AQ21" s="20">
        <f t="shared" si="6"/>
        <v>0</v>
      </c>
      <c r="AR21" s="20">
        <f t="shared" si="6"/>
        <v>0</v>
      </c>
      <c r="AS21" s="20">
        <f t="shared" si="6"/>
        <v>0</v>
      </c>
      <c r="AT21" s="20">
        <f t="shared" si="6"/>
        <v>0</v>
      </c>
      <c r="AU21" s="20">
        <f t="shared" si="6"/>
        <v>0</v>
      </c>
      <c r="AV21" s="20">
        <f t="shared" si="6"/>
        <v>0</v>
      </c>
      <c r="AW21" s="20">
        <f t="shared" si="6"/>
        <v>0</v>
      </c>
      <c r="AX21" s="20">
        <f t="shared" si="6"/>
        <v>0</v>
      </c>
      <c r="AY21" s="20">
        <f t="shared" si="6"/>
        <v>0</v>
      </c>
      <c r="AZ21" s="20">
        <f t="shared" si="6"/>
        <v>0</v>
      </c>
      <c r="BA21" s="20">
        <f t="shared" si="6"/>
        <v>0</v>
      </c>
      <c r="BB21" s="20">
        <f ref="BB21:BC21" t="shared" si="7">BB23+BB29+BB35</f>
        <v>0</v>
      </c>
      <c r="BC21" s="20">
        <f t="shared" si="7"/>
        <v>0</v>
      </c>
      <c r="BD21" s="20">
        <f t="shared" si="6"/>
        <v>0</v>
      </c>
      <c r="BE21" s="40">
        <f t="shared" si="4" ca="1"/>
        <v>0</v>
      </c>
      <c r="BF21" s="41">
        <f t="shared" si="5" ca="1"/>
        <v>0</v>
      </c>
    </row>
    <row r="22">
      <c r="A22" s="79" t="s">
        <v>292</v>
      </c>
      <c r="B22" s="80" t="s">
        <v>293</v>
      </c>
      <c r="C22" s="119"/>
      <c r="D22" s="21">
        <f>SUM(E22:OFFSET(BE22:BE22,0,-1))</f>
        <v>0</v>
      </c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  <c r="AV22" s="119"/>
      <c r="AW22" s="119"/>
      <c r="AX22" s="119"/>
      <c r="AY22" s="119"/>
      <c r="AZ22" s="119"/>
      <c r="BA22" s="119"/>
      <c r="BB22" s="119"/>
      <c r="BC22" s="119"/>
      <c r="BD22" s="119"/>
      <c r="BE22" s="42">
        <f t="shared" si="4" ca="1"/>
        <v>0</v>
      </c>
      <c r="BF22" s="43">
        <f t="shared" si="5" ca="1"/>
        <v>0</v>
      </c>
    </row>
    <row r="23" ht="28.5" s="6" customFormat="1">
      <c r="A23" s="77" t="s">
        <v>294</v>
      </c>
      <c r="B23" s="78" t="s">
        <v>295</v>
      </c>
      <c r="C23" s="20">
        <f>C24+C26+C28</f>
        <v>0</v>
      </c>
      <c r="D23" s="20">
        <f>D24+D26+D28</f>
        <v>0</v>
      </c>
      <c r="E23" s="20">
        <f>E24+E26+E28</f>
        <v>0</v>
      </c>
      <c r="F23" s="20">
        <f ref="F23:BD23" t="shared" si="8">F24+F26+F28</f>
        <v>0</v>
      </c>
      <c r="G23" s="20">
        <f t="shared" si="8"/>
        <v>0</v>
      </c>
      <c r="H23" s="20">
        <f t="shared" si="8"/>
        <v>0</v>
      </c>
      <c r="I23" s="20">
        <f t="shared" si="8"/>
        <v>0</v>
      </c>
      <c r="J23" s="20">
        <f t="shared" si="8"/>
        <v>0</v>
      </c>
      <c r="K23" s="20">
        <f t="shared" si="8"/>
        <v>0</v>
      </c>
      <c r="L23" s="20">
        <f t="shared" si="8"/>
        <v>0</v>
      </c>
      <c r="M23" s="20">
        <f t="shared" si="8"/>
        <v>0</v>
      </c>
      <c r="N23" s="20">
        <f t="shared" si="8"/>
        <v>0</v>
      </c>
      <c r="O23" s="20">
        <f t="shared" si="8"/>
        <v>0</v>
      </c>
      <c r="P23" s="20">
        <f t="shared" si="8"/>
        <v>0</v>
      </c>
      <c r="Q23" s="20">
        <f t="shared" si="8"/>
        <v>0</v>
      </c>
      <c r="R23" s="20">
        <f t="shared" si="8"/>
        <v>0</v>
      </c>
      <c r="S23" s="20">
        <f t="shared" si="8"/>
        <v>0</v>
      </c>
      <c r="T23" s="20">
        <f t="shared" si="8"/>
        <v>0</v>
      </c>
      <c r="U23" s="20">
        <f t="shared" si="8"/>
        <v>0</v>
      </c>
      <c r="V23" s="20">
        <f t="shared" si="8"/>
        <v>0</v>
      </c>
      <c r="W23" s="20">
        <f t="shared" si="8"/>
        <v>0</v>
      </c>
      <c r="X23" s="20">
        <f t="shared" si="8"/>
        <v>0</v>
      </c>
      <c r="Y23" s="20">
        <f t="shared" si="8"/>
        <v>0</v>
      </c>
      <c r="Z23" s="20">
        <f t="shared" si="8"/>
        <v>0</v>
      </c>
      <c r="AA23" s="20">
        <f t="shared" si="8"/>
        <v>0</v>
      </c>
      <c r="AB23" s="20">
        <f t="shared" si="8"/>
        <v>0</v>
      </c>
      <c r="AC23" s="20">
        <f t="shared" si="8"/>
        <v>0</v>
      </c>
      <c r="AD23" s="20">
        <f t="shared" si="8"/>
        <v>0</v>
      </c>
      <c r="AE23" s="20">
        <f t="shared" si="8"/>
        <v>0</v>
      </c>
      <c r="AF23" s="20">
        <f t="shared" si="8"/>
        <v>0</v>
      </c>
      <c r="AG23" s="20">
        <f t="shared" si="8"/>
        <v>0</v>
      </c>
      <c r="AH23" s="20">
        <f t="shared" si="8"/>
        <v>0</v>
      </c>
      <c r="AI23" s="20">
        <f t="shared" si="8"/>
        <v>0</v>
      </c>
      <c r="AJ23" s="20">
        <f t="shared" si="8"/>
        <v>0</v>
      </c>
      <c r="AK23" s="20">
        <f t="shared" si="8"/>
        <v>0</v>
      </c>
      <c r="AL23" s="20">
        <f t="shared" si="8"/>
        <v>0</v>
      </c>
      <c r="AM23" s="20">
        <f t="shared" si="8"/>
        <v>0</v>
      </c>
      <c r="AN23" s="20">
        <f t="shared" si="8"/>
        <v>0</v>
      </c>
      <c r="AO23" s="20">
        <f t="shared" si="8"/>
        <v>0</v>
      </c>
      <c r="AP23" s="20">
        <f t="shared" si="8"/>
        <v>0</v>
      </c>
      <c r="AQ23" s="20">
        <f t="shared" si="8"/>
        <v>0</v>
      </c>
      <c r="AR23" s="20">
        <f t="shared" si="8"/>
        <v>0</v>
      </c>
      <c r="AS23" s="20">
        <f t="shared" si="8"/>
        <v>0</v>
      </c>
      <c r="AT23" s="20">
        <f t="shared" si="8"/>
        <v>0</v>
      </c>
      <c r="AU23" s="20">
        <f t="shared" si="8"/>
        <v>0</v>
      </c>
      <c r="AV23" s="20">
        <f t="shared" si="8"/>
        <v>0</v>
      </c>
      <c r="AW23" s="20">
        <f t="shared" si="8"/>
        <v>0</v>
      </c>
      <c r="AX23" s="20">
        <f t="shared" si="8"/>
        <v>0</v>
      </c>
      <c r="AY23" s="20">
        <f t="shared" si="8"/>
        <v>0</v>
      </c>
      <c r="AZ23" s="20">
        <f t="shared" si="8"/>
        <v>0</v>
      </c>
      <c r="BA23" s="20">
        <f t="shared" si="8"/>
        <v>0</v>
      </c>
      <c r="BB23" s="20">
        <f ref="BB23:BC23" t="shared" si="9">BB24+BB26+BB28</f>
        <v>0</v>
      </c>
      <c r="BC23" s="20">
        <f t="shared" si="9"/>
        <v>0</v>
      </c>
      <c r="BD23" s="20">
        <f t="shared" si="8"/>
        <v>0</v>
      </c>
      <c r="BE23" s="40">
        <f ref="BE23:BE62" t="shared" si="10" ca="1">D23-C23</f>
        <v>0</v>
      </c>
      <c r="BF23" s="41">
        <f ref="BF23:BF62" t="shared" si="11" ca="1">IFERROR(D23/C23-1,0)</f>
        <v>0</v>
      </c>
    </row>
    <row r="24">
      <c r="A24" s="79" t="s">
        <v>296</v>
      </c>
      <c r="B24" s="80" t="s">
        <v>297</v>
      </c>
      <c r="C24" s="119">
        <v>2464.93075</v>
      </c>
      <c r="D24" s="21">
        <f>SUM(E24:OFFSET(BE24:BE24,0,-1))</f>
        <v>0</v>
      </c>
      <c r="E24" s="119">
        <v>2470.36728</v>
      </c>
      <c r="F24" s="119">
        <v>0</v>
      </c>
      <c r="G24" s="119">
        <v>0</v>
      </c>
      <c r="H24" s="119"/>
      <c r="I24" s="119">
        <v>0</v>
      </c>
      <c r="J24" s="119"/>
      <c r="K24" s="119">
        <v>0</v>
      </c>
      <c r="L24" s="119"/>
      <c r="M24" s="119"/>
      <c r="N24" s="119"/>
      <c r="O24" s="119">
        <v>0</v>
      </c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19"/>
      <c r="BE24" s="42">
        <f t="shared" si="10" ca="1"/>
        <v>0</v>
      </c>
      <c r="BF24" s="43">
        <f t="shared" si="11" ca="1"/>
        <v>0</v>
      </c>
    </row>
    <row r="25">
      <c r="A25" s="79" t="s">
        <v>298</v>
      </c>
      <c r="B25" s="80" t="s">
        <v>299</v>
      </c>
      <c r="C25" s="119">
        <v>2464.93075</v>
      </c>
      <c r="D25" s="21">
        <f>SUM(E25:OFFSET(BE25:BE25,0,-1))</f>
        <v>0</v>
      </c>
      <c r="E25" s="119">
        <v>2470.36728</v>
      </c>
      <c r="F25" s="119">
        <v>0</v>
      </c>
      <c r="G25" s="119">
        <v>0</v>
      </c>
      <c r="H25" s="119"/>
      <c r="I25" s="119">
        <v>0</v>
      </c>
      <c r="J25" s="119"/>
      <c r="K25" s="119">
        <v>0</v>
      </c>
      <c r="L25" s="119"/>
      <c r="M25" s="119"/>
      <c r="N25" s="119"/>
      <c r="O25" s="119">
        <v>0</v>
      </c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19"/>
      <c r="BE25" s="42">
        <f t="shared" si="10" ca="1"/>
        <v>0</v>
      </c>
      <c r="BF25" s="43">
        <f t="shared" si="11" ca="1"/>
        <v>0</v>
      </c>
    </row>
    <row r="26" ht="30" customHeight="1">
      <c r="A26" s="79" t="s">
        <v>300</v>
      </c>
      <c r="B26" s="80" t="s">
        <v>301</v>
      </c>
      <c r="C26" s="119">
        <v>24879.36161</v>
      </c>
      <c r="D26" s="21">
        <f>SUM(E26:OFFSET(BE26:BE26,0,-1))</f>
        <v>0</v>
      </c>
      <c r="E26" s="119">
        <v>24939.07236</v>
      </c>
      <c r="F26" s="119">
        <v>0</v>
      </c>
      <c r="G26" s="119">
        <v>0</v>
      </c>
      <c r="H26" s="119"/>
      <c r="I26" s="119">
        <v>0</v>
      </c>
      <c r="J26" s="119"/>
      <c r="K26" s="119">
        <v>0</v>
      </c>
      <c r="L26" s="119"/>
      <c r="M26" s="119"/>
      <c r="N26" s="119"/>
      <c r="O26" s="119">
        <v>0</v>
      </c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19"/>
      <c r="BE26" s="42">
        <f t="shared" si="10" ca="1"/>
        <v>0</v>
      </c>
      <c r="BF26" s="43">
        <f t="shared" si="11" ca="1"/>
        <v>0</v>
      </c>
    </row>
    <row r="27" ht="42.6" customHeight="1">
      <c r="A27" s="79" t="s">
        <v>302</v>
      </c>
      <c r="B27" s="80" t="s">
        <v>303</v>
      </c>
      <c r="C27" s="119">
        <v>24879.36161</v>
      </c>
      <c r="D27" s="21">
        <f>SUM(E27:OFFSET(BE27:BE27,0,-1))</f>
        <v>0</v>
      </c>
      <c r="E27" s="119">
        <v>24939.07236</v>
      </c>
      <c r="F27" s="119">
        <v>0</v>
      </c>
      <c r="G27" s="119">
        <v>0</v>
      </c>
      <c r="H27" s="119"/>
      <c r="I27" s="119">
        <v>0</v>
      </c>
      <c r="J27" s="119"/>
      <c r="K27" s="119">
        <v>0</v>
      </c>
      <c r="L27" s="119"/>
      <c r="M27" s="119"/>
      <c r="N27" s="119"/>
      <c r="O27" s="119">
        <v>0</v>
      </c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19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19"/>
      <c r="BE27" s="42">
        <f t="shared" si="10" ca="1"/>
        <v>0</v>
      </c>
      <c r="BF27" s="43">
        <f t="shared" si="11" ca="1"/>
        <v>0</v>
      </c>
    </row>
    <row r="28">
      <c r="A28" s="79" t="s">
        <v>304</v>
      </c>
      <c r="B28" s="80" t="s">
        <v>305</v>
      </c>
      <c r="C28" s="119"/>
      <c r="D28" s="21">
        <f>SUM(E28:OFFSET(BE28:BE28,0,-1))</f>
        <v>0</v>
      </c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19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19"/>
      <c r="BE28" s="42">
        <f t="shared" si="10" ca="1"/>
        <v>0</v>
      </c>
      <c r="BF28" s="43">
        <f t="shared" si="11" ca="1"/>
        <v>0</v>
      </c>
    </row>
    <row r="29" ht="28.5" s="6" customFormat="1">
      <c r="A29" s="77" t="s">
        <v>306</v>
      </c>
      <c r="B29" s="78" t="s">
        <v>307</v>
      </c>
      <c r="C29" s="20">
        <f>C30+C32+C34</f>
        <v>0</v>
      </c>
      <c r="D29" s="20">
        <f>D30+D32+D34</f>
        <v>0</v>
      </c>
      <c r="E29" s="20">
        <f>E30+E32+E34</f>
        <v>0</v>
      </c>
      <c r="F29" s="20">
        <f ref="F29:BD29" t="shared" si="12">F30+F32+F34</f>
        <v>0</v>
      </c>
      <c r="G29" s="20">
        <f t="shared" si="12"/>
        <v>0</v>
      </c>
      <c r="H29" s="20">
        <f t="shared" si="12"/>
        <v>0</v>
      </c>
      <c r="I29" s="20">
        <f t="shared" si="12"/>
        <v>0</v>
      </c>
      <c r="J29" s="20">
        <f t="shared" si="12"/>
        <v>0</v>
      </c>
      <c r="K29" s="20">
        <f t="shared" si="12"/>
        <v>0</v>
      </c>
      <c r="L29" s="20">
        <f t="shared" si="12"/>
        <v>0</v>
      </c>
      <c r="M29" s="20">
        <f t="shared" si="12"/>
        <v>0</v>
      </c>
      <c r="N29" s="20">
        <f t="shared" si="12"/>
        <v>0</v>
      </c>
      <c r="O29" s="20">
        <f t="shared" si="12"/>
        <v>0</v>
      </c>
      <c r="P29" s="20">
        <f t="shared" si="12"/>
        <v>0</v>
      </c>
      <c r="Q29" s="20">
        <f t="shared" si="12"/>
        <v>0</v>
      </c>
      <c r="R29" s="20">
        <f t="shared" si="12"/>
        <v>0</v>
      </c>
      <c r="S29" s="20">
        <f t="shared" si="12"/>
        <v>0</v>
      </c>
      <c r="T29" s="20">
        <f t="shared" si="12"/>
        <v>0</v>
      </c>
      <c r="U29" s="20">
        <f t="shared" si="12"/>
        <v>0</v>
      </c>
      <c r="V29" s="20">
        <f t="shared" si="12"/>
        <v>0</v>
      </c>
      <c r="W29" s="20">
        <f t="shared" si="12"/>
        <v>0</v>
      </c>
      <c r="X29" s="20">
        <f t="shared" si="12"/>
        <v>0</v>
      </c>
      <c r="Y29" s="20">
        <f t="shared" si="12"/>
        <v>0</v>
      </c>
      <c r="Z29" s="20">
        <f t="shared" si="12"/>
        <v>0</v>
      </c>
      <c r="AA29" s="20">
        <f t="shared" si="12"/>
        <v>0</v>
      </c>
      <c r="AB29" s="20">
        <f t="shared" si="12"/>
        <v>0</v>
      </c>
      <c r="AC29" s="20">
        <f t="shared" si="12"/>
        <v>0</v>
      </c>
      <c r="AD29" s="20">
        <f t="shared" si="12"/>
        <v>0</v>
      </c>
      <c r="AE29" s="20">
        <f t="shared" si="12"/>
        <v>0</v>
      </c>
      <c r="AF29" s="20">
        <f t="shared" si="12"/>
        <v>0</v>
      </c>
      <c r="AG29" s="20">
        <f t="shared" si="12"/>
        <v>0</v>
      </c>
      <c r="AH29" s="20">
        <f t="shared" si="12"/>
        <v>0</v>
      </c>
      <c r="AI29" s="20">
        <f t="shared" si="12"/>
        <v>0</v>
      </c>
      <c r="AJ29" s="20">
        <f t="shared" si="12"/>
        <v>0</v>
      </c>
      <c r="AK29" s="20">
        <f t="shared" si="12"/>
        <v>0</v>
      </c>
      <c r="AL29" s="20">
        <f t="shared" si="12"/>
        <v>0</v>
      </c>
      <c r="AM29" s="20">
        <f t="shared" si="12"/>
        <v>0</v>
      </c>
      <c r="AN29" s="20">
        <f t="shared" si="12"/>
        <v>0</v>
      </c>
      <c r="AO29" s="20">
        <f t="shared" si="12"/>
        <v>0</v>
      </c>
      <c r="AP29" s="20">
        <f t="shared" si="12"/>
        <v>0</v>
      </c>
      <c r="AQ29" s="20">
        <f t="shared" si="12"/>
        <v>0</v>
      </c>
      <c r="AR29" s="20">
        <f t="shared" si="12"/>
        <v>0</v>
      </c>
      <c r="AS29" s="20">
        <f t="shared" si="12"/>
        <v>0</v>
      </c>
      <c r="AT29" s="20">
        <f t="shared" si="12"/>
        <v>0</v>
      </c>
      <c r="AU29" s="20">
        <f t="shared" si="12"/>
        <v>0</v>
      </c>
      <c r="AV29" s="20">
        <f t="shared" si="12"/>
        <v>0</v>
      </c>
      <c r="AW29" s="20">
        <f t="shared" si="12"/>
        <v>0</v>
      </c>
      <c r="AX29" s="20">
        <f t="shared" si="12"/>
        <v>0</v>
      </c>
      <c r="AY29" s="20">
        <f t="shared" si="12"/>
        <v>0</v>
      </c>
      <c r="AZ29" s="20">
        <f t="shared" si="12"/>
        <v>0</v>
      </c>
      <c r="BA29" s="20">
        <f t="shared" si="12"/>
        <v>0</v>
      </c>
      <c r="BB29" s="20">
        <f ref="BB29:BC29" t="shared" si="13">BB30+BB32+BB34</f>
        <v>0</v>
      </c>
      <c r="BC29" s="20">
        <f t="shared" si="13"/>
        <v>0</v>
      </c>
      <c r="BD29" s="20">
        <f t="shared" si="12"/>
        <v>0</v>
      </c>
      <c r="BE29" s="40">
        <f t="shared" si="10" ca="1"/>
        <v>0</v>
      </c>
      <c r="BF29" s="41">
        <f t="shared" si="11" ca="1"/>
        <v>0</v>
      </c>
    </row>
    <row r="30">
      <c r="A30" s="79" t="s">
        <v>308</v>
      </c>
      <c r="B30" s="80" t="s">
        <v>297</v>
      </c>
      <c r="C30" s="119"/>
      <c r="D30" s="21">
        <f>SUM(E30:OFFSET(BE30:BE30,0,-1))</f>
        <v>0</v>
      </c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19"/>
      <c r="AB30" s="119"/>
      <c r="AC30" s="119"/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19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19"/>
      <c r="BE30" s="42">
        <f t="shared" si="10" ca="1"/>
        <v>0</v>
      </c>
      <c r="BF30" s="43">
        <f t="shared" si="11" ca="1"/>
        <v>0</v>
      </c>
    </row>
    <row r="31">
      <c r="A31" s="79" t="s">
        <v>309</v>
      </c>
      <c r="B31" s="80" t="s">
        <v>299</v>
      </c>
      <c r="C31" s="119"/>
      <c r="D31" s="21">
        <f>SUM(E31:OFFSET(BE31:BE31,0,-1))</f>
        <v>0</v>
      </c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19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19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19"/>
      <c r="BE31" s="42">
        <f t="shared" si="10" ca="1"/>
        <v>0</v>
      </c>
      <c r="BF31" s="43">
        <f t="shared" si="11" ca="1"/>
        <v>0</v>
      </c>
    </row>
    <row r="32" ht="30" customHeight="1">
      <c r="A32" s="79" t="s">
        <v>310</v>
      </c>
      <c r="B32" s="80" t="s">
        <v>301</v>
      </c>
      <c r="C32" s="119"/>
      <c r="D32" s="21">
        <f>SUM(E32:OFFSET(BE32:BE32,0,-1))</f>
        <v>0</v>
      </c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  <c r="AB32" s="119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19"/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119"/>
      <c r="BE32" s="42">
        <f t="shared" si="10" ca="1"/>
        <v>0</v>
      </c>
      <c r="BF32" s="43">
        <f t="shared" si="11" ca="1"/>
        <v>0</v>
      </c>
    </row>
    <row r="33" ht="42.6" customHeight="1">
      <c r="A33" s="79" t="s">
        <v>311</v>
      </c>
      <c r="B33" s="80" t="s">
        <v>303</v>
      </c>
      <c r="C33" s="119"/>
      <c r="D33" s="21">
        <f>SUM(E33:OFFSET(BE33:BE33,0,-1))</f>
        <v>0</v>
      </c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  <c r="AB33" s="119"/>
      <c r="AC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19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19"/>
      <c r="BE33" s="42">
        <f t="shared" si="10" ca="1"/>
        <v>0</v>
      </c>
      <c r="BF33" s="43">
        <f t="shared" si="11" ca="1"/>
        <v>0</v>
      </c>
    </row>
    <row r="34">
      <c r="A34" s="79" t="s">
        <v>312</v>
      </c>
      <c r="B34" s="80" t="s">
        <v>305</v>
      </c>
      <c r="C34" s="119"/>
      <c r="D34" s="21">
        <f>SUM(E34:OFFSET(BE34:BE34,0,-1))</f>
        <v>0</v>
      </c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  <c r="AB34" s="119"/>
      <c r="AC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19"/>
      <c r="AT34" s="119"/>
      <c r="AU34" s="119"/>
      <c r="AV34" s="119"/>
      <c r="AW34" s="119"/>
      <c r="AX34" s="119"/>
      <c r="AY34" s="119"/>
      <c r="AZ34" s="119"/>
      <c r="BA34" s="119"/>
      <c r="BB34" s="119"/>
      <c r="BC34" s="119"/>
      <c r="BD34" s="119"/>
      <c r="BE34" s="42">
        <f t="shared" si="10" ca="1"/>
        <v>0</v>
      </c>
      <c r="BF34" s="43">
        <f t="shared" si="11" ca="1"/>
        <v>0</v>
      </c>
    </row>
    <row r="35" ht="24.75" customHeight="1" s="6" customFormat="1">
      <c r="A35" s="77" t="s">
        <v>313</v>
      </c>
      <c r="B35" s="78" t="s">
        <v>314</v>
      </c>
      <c r="C35" s="20">
        <f>C36+C38+C40</f>
        <v>0</v>
      </c>
      <c r="D35" s="20">
        <f>D36+D38+D40</f>
        <v>0</v>
      </c>
      <c r="E35" s="20">
        <f>E36+E38+E40</f>
        <v>0</v>
      </c>
      <c r="F35" s="20">
        <f ref="F35:BD35" t="shared" si="14">F36+F38+F40</f>
        <v>0</v>
      </c>
      <c r="G35" s="20">
        <f t="shared" si="14"/>
        <v>0</v>
      </c>
      <c r="H35" s="20">
        <f t="shared" si="14"/>
        <v>0</v>
      </c>
      <c r="I35" s="20">
        <f t="shared" si="14"/>
        <v>0</v>
      </c>
      <c r="J35" s="20">
        <f t="shared" si="14"/>
        <v>0</v>
      </c>
      <c r="K35" s="20">
        <f t="shared" si="14"/>
        <v>0</v>
      </c>
      <c r="L35" s="20">
        <f t="shared" si="14"/>
        <v>0</v>
      </c>
      <c r="M35" s="20">
        <f t="shared" si="14"/>
        <v>0</v>
      </c>
      <c r="N35" s="20">
        <f t="shared" si="14"/>
        <v>0</v>
      </c>
      <c r="O35" s="20">
        <f t="shared" si="14"/>
        <v>0</v>
      </c>
      <c r="P35" s="20">
        <f t="shared" si="14"/>
        <v>0</v>
      </c>
      <c r="Q35" s="20">
        <f t="shared" si="14"/>
        <v>0</v>
      </c>
      <c r="R35" s="20">
        <f t="shared" si="14"/>
        <v>0</v>
      </c>
      <c r="S35" s="20">
        <f t="shared" si="14"/>
        <v>0</v>
      </c>
      <c r="T35" s="20">
        <f t="shared" si="14"/>
        <v>0</v>
      </c>
      <c r="U35" s="20">
        <f t="shared" si="14"/>
        <v>0</v>
      </c>
      <c r="V35" s="20">
        <f t="shared" si="14"/>
        <v>0</v>
      </c>
      <c r="W35" s="20">
        <f t="shared" si="14"/>
        <v>0</v>
      </c>
      <c r="X35" s="20">
        <f t="shared" si="14"/>
        <v>0</v>
      </c>
      <c r="Y35" s="20">
        <f t="shared" si="14"/>
        <v>0</v>
      </c>
      <c r="Z35" s="20">
        <f t="shared" si="14"/>
        <v>0</v>
      </c>
      <c r="AA35" s="20">
        <f t="shared" si="14"/>
        <v>0</v>
      </c>
      <c r="AB35" s="20">
        <f t="shared" si="14"/>
        <v>0</v>
      </c>
      <c r="AC35" s="20">
        <f t="shared" si="14"/>
        <v>0</v>
      </c>
      <c r="AD35" s="20">
        <f t="shared" si="14"/>
        <v>0</v>
      </c>
      <c r="AE35" s="20">
        <f t="shared" si="14"/>
        <v>0</v>
      </c>
      <c r="AF35" s="20">
        <f t="shared" si="14"/>
        <v>0</v>
      </c>
      <c r="AG35" s="20">
        <f t="shared" si="14"/>
        <v>0</v>
      </c>
      <c r="AH35" s="20">
        <f t="shared" si="14"/>
        <v>0</v>
      </c>
      <c r="AI35" s="20">
        <f t="shared" si="14"/>
        <v>0</v>
      </c>
      <c r="AJ35" s="20">
        <f t="shared" si="14"/>
        <v>0</v>
      </c>
      <c r="AK35" s="20">
        <f t="shared" si="14"/>
        <v>0</v>
      </c>
      <c r="AL35" s="20">
        <f t="shared" si="14"/>
        <v>0</v>
      </c>
      <c r="AM35" s="20">
        <f t="shared" si="14"/>
        <v>0</v>
      </c>
      <c r="AN35" s="20">
        <f t="shared" si="14"/>
        <v>0</v>
      </c>
      <c r="AO35" s="20">
        <f t="shared" si="14"/>
        <v>0</v>
      </c>
      <c r="AP35" s="20">
        <f t="shared" si="14"/>
        <v>0</v>
      </c>
      <c r="AQ35" s="20">
        <f t="shared" si="14"/>
        <v>0</v>
      </c>
      <c r="AR35" s="20">
        <f t="shared" si="14"/>
        <v>0</v>
      </c>
      <c r="AS35" s="20">
        <f t="shared" si="14"/>
        <v>0</v>
      </c>
      <c r="AT35" s="20">
        <f t="shared" si="14"/>
        <v>0</v>
      </c>
      <c r="AU35" s="20">
        <f t="shared" si="14"/>
        <v>0</v>
      </c>
      <c r="AV35" s="20">
        <f t="shared" si="14"/>
        <v>0</v>
      </c>
      <c r="AW35" s="20">
        <f t="shared" si="14"/>
        <v>0</v>
      </c>
      <c r="AX35" s="20">
        <f t="shared" si="14"/>
        <v>0</v>
      </c>
      <c r="AY35" s="20">
        <f t="shared" si="14"/>
        <v>0</v>
      </c>
      <c r="AZ35" s="20">
        <f t="shared" si="14"/>
        <v>0</v>
      </c>
      <c r="BA35" s="20">
        <f t="shared" si="14"/>
        <v>0</v>
      </c>
      <c r="BB35" s="20">
        <f ref="BB35:BC35" t="shared" si="15">BB36+BB38+BB40</f>
        <v>0</v>
      </c>
      <c r="BC35" s="20">
        <f t="shared" si="15"/>
        <v>0</v>
      </c>
      <c r="BD35" s="20">
        <f t="shared" si="14"/>
        <v>0</v>
      </c>
      <c r="BE35" s="40">
        <f t="shared" si="10" ca="1"/>
        <v>0</v>
      </c>
      <c r="BF35" s="41">
        <f t="shared" si="11" ca="1"/>
        <v>0</v>
      </c>
    </row>
    <row r="36">
      <c r="A36" s="79" t="s">
        <v>315</v>
      </c>
      <c r="B36" s="80" t="s">
        <v>297</v>
      </c>
      <c r="C36" s="119"/>
      <c r="D36" s="21">
        <f>SUM(E36:OFFSET(BE36:BE36,0,-1))</f>
        <v>0</v>
      </c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19"/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19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19"/>
      <c r="BE36" s="42">
        <f t="shared" si="10" ca="1"/>
        <v>0</v>
      </c>
      <c r="BF36" s="43">
        <f t="shared" si="11" ca="1"/>
        <v>0</v>
      </c>
    </row>
    <row r="37" ht="30">
      <c r="A37" s="79" t="s">
        <v>316</v>
      </c>
      <c r="B37" s="80" t="s">
        <v>299</v>
      </c>
      <c r="C37" s="119"/>
      <c r="D37" s="21">
        <f>SUM(E37:OFFSET(BE37:BE37,0,-1))</f>
        <v>0</v>
      </c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  <c r="AA37" s="119"/>
      <c r="AB37" s="119"/>
      <c r="AC37" s="119"/>
      <c r="AD37" s="119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19"/>
      <c r="AT37" s="119"/>
      <c r="AU37" s="119"/>
      <c r="AV37" s="119"/>
      <c r="AW37" s="119"/>
      <c r="AX37" s="119"/>
      <c r="AY37" s="119"/>
      <c r="AZ37" s="119"/>
      <c r="BA37" s="119"/>
      <c r="BB37" s="119"/>
      <c r="BC37" s="119"/>
      <c r="BD37" s="119"/>
      <c r="BE37" s="42">
        <f t="shared" si="10" ca="1"/>
        <v>0</v>
      </c>
      <c r="BF37" s="43">
        <f t="shared" si="11" ca="1"/>
        <v>0</v>
      </c>
    </row>
    <row r="38" ht="30" customHeight="1">
      <c r="A38" s="79" t="s">
        <v>317</v>
      </c>
      <c r="B38" s="80" t="s">
        <v>301</v>
      </c>
      <c r="C38" s="119"/>
      <c r="D38" s="21">
        <f>SUM(E38:OFFSET(BE38:BE38,0,-1))</f>
        <v>0</v>
      </c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U38" s="119"/>
      <c r="V38" s="119"/>
      <c r="W38" s="119"/>
      <c r="X38" s="119"/>
      <c r="Y38" s="119"/>
      <c r="Z38" s="119"/>
      <c r="AA38" s="119"/>
      <c r="AB38" s="119"/>
      <c r="AC38" s="119"/>
      <c r="AD38" s="119"/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19"/>
      <c r="AT38" s="119"/>
      <c r="AU38" s="119"/>
      <c r="AV38" s="119"/>
      <c r="AW38" s="119"/>
      <c r="AX38" s="119"/>
      <c r="AY38" s="119"/>
      <c r="AZ38" s="119"/>
      <c r="BA38" s="119"/>
      <c r="BB38" s="119"/>
      <c r="BC38" s="119"/>
      <c r="BD38" s="119"/>
      <c r="BE38" s="42">
        <f t="shared" si="10" ca="1"/>
        <v>0</v>
      </c>
      <c r="BF38" s="43">
        <f t="shared" si="11" ca="1"/>
        <v>0</v>
      </c>
    </row>
    <row r="39" ht="42.6" customHeight="1">
      <c r="A39" s="79" t="s">
        <v>318</v>
      </c>
      <c r="B39" s="80" t="s">
        <v>303</v>
      </c>
      <c r="C39" s="119"/>
      <c r="D39" s="21">
        <f>SUM(E39:OFFSET(BE39:BE39,0,-1))</f>
        <v>0</v>
      </c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T39" s="119"/>
      <c r="U39" s="119"/>
      <c r="V39" s="119"/>
      <c r="W39" s="119"/>
      <c r="X39" s="119"/>
      <c r="Y39" s="119"/>
      <c r="Z39" s="119"/>
      <c r="AA39" s="119"/>
      <c r="AB39" s="119"/>
      <c r="AC39" s="119"/>
      <c r="AD39" s="119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19"/>
      <c r="AT39" s="119"/>
      <c r="AU39" s="119"/>
      <c r="AV39" s="119"/>
      <c r="AW39" s="119"/>
      <c r="AX39" s="119"/>
      <c r="AY39" s="119"/>
      <c r="AZ39" s="119"/>
      <c r="BA39" s="119"/>
      <c r="BB39" s="119"/>
      <c r="BC39" s="119"/>
      <c r="BD39" s="119"/>
      <c r="BE39" s="42">
        <f t="shared" si="10" ca="1"/>
        <v>0</v>
      </c>
      <c r="BF39" s="43">
        <f t="shared" si="11" ca="1"/>
        <v>0</v>
      </c>
    </row>
    <row r="40">
      <c r="A40" s="79" t="s">
        <v>319</v>
      </c>
      <c r="B40" s="80" t="s">
        <v>305</v>
      </c>
      <c r="C40" s="119"/>
      <c r="D40" s="21">
        <f>SUM(E40:OFFSET(BE40:BE40,0,-1))</f>
        <v>0</v>
      </c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  <c r="W40" s="119"/>
      <c r="X40" s="119"/>
      <c r="Y40" s="119"/>
      <c r="Z40" s="119"/>
      <c r="AA40" s="119"/>
      <c r="AB40" s="119"/>
      <c r="AC40" s="119"/>
      <c r="AD40" s="119"/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19"/>
      <c r="AT40" s="119"/>
      <c r="AU40" s="119"/>
      <c r="AV40" s="119"/>
      <c r="AW40" s="119"/>
      <c r="AX40" s="119"/>
      <c r="AY40" s="119"/>
      <c r="AZ40" s="119"/>
      <c r="BA40" s="119"/>
      <c r="BB40" s="119"/>
      <c r="BC40" s="119"/>
      <c r="BD40" s="119"/>
      <c r="BE40" s="42">
        <f t="shared" si="10" ca="1"/>
        <v>0</v>
      </c>
      <c r="BF40" s="43">
        <f t="shared" si="11" ca="1"/>
        <v>0</v>
      </c>
    </row>
    <row r="41">
      <c r="A41" s="77" t="s">
        <v>320</v>
      </c>
      <c r="B41" s="78" t="s">
        <v>321</v>
      </c>
      <c r="C41" s="189">
        <v>45500</v>
      </c>
      <c r="D41" s="20">
        <f>SUM(E41:OFFSET(BE41:BE41,0,-1))</f>
        <v>0</v>
      </c>
      <c r="E41" s="189">
        <v>45500</v>
      </c>
      <c r="F41" s="189">
        <v>0</v>
      </c>
      <c r="G41" s="189">
        <v>0</v>
      </c>
      <c r="H41" s="189"/>
      <c r="I41" s="189">
        <v>0</v>
      </c>
      <c r="J41" s="189"/>
      <c r="K41" s="189">
        <v>0</v>
      </c>
      <c r="L41" s="189"/>
      <c r="M41" s="189"/>
      <c r="N41" s="189"/>
      <c r="O41" s="189">
        <v>0</v>
      </c>
      <c r="P41" s="189"/>
      <c r="Q41" s="189"/>
      <c r="R41" s="189"/>
      <c r="S41" s="189"/>
      <c r="T41" s="189"/>
      <c r="U41" s="189"/>
      <c r="V41" s="189"/>
      <c r="W41" s="189"/>
      <c r="X41" s="189"/>
      <c r="Y41" s="189"/>
      <c r="Z41" s="189"/>
      <c r="AA41" s="189"/>
      <c r="AB41" s="189"/>
      <c r="AC41" s="189"/>
      <c r="AD41" s="189"/>
      <c r="AE41" s="189"/>
      <c r="AF41" s="189"/>
      <c r="AG41" s="189"/>
      <c r="AH41" s="189"/>
      <c r="AI41" s="189"/>
      <c r="AJ41" s="189"/>
      <c r="AK41" s="189"/>
      <c r="AL41" s="189"/>
      <c r="AM41" s="189"/>
      <c r="AN41" s="189"/>
      <c r="AO41" s="189"/>
      <c r="AP41" s="189"/>
      <c r="AQ41" s="189"/>
      <c r="AR41" s="189"/>
      <c r="AS41" s="189"/>
      <c r="AT41" s="189"/>
      <c r="AU41" s="189"/>
      <c r="AV41" s="189"/>
      <c r="AW41" s="189"/>
      <c r="AX41" s="189"/>
      <c r="AY41" s="189"/>
      <c r="AZ41" s="189"/>
      <c r="BA41" s="189"/>
      <c r="BB41" s="189"/>
      <c r="BC41" s="189"/>
      <c r="BD41" s="189"/>
      <c r="BE41" s="40">
        <f t="shared" si="10" ca="1"/>
        <v>0</v>
      </c>
      <c r="BF41" s="41">
        <f t="shared" si="11" ca="1"/>
        <v>0</v>
      </c>
    </row>
    <row r="42">
      <c r="A42" s="77" t="s">
        <v>322</v>
      </c>
      <c r="B42" s="78" t="s">
        <v>323</v>
      </c>
      <c r="C42" s="189">
        <v>6329.799</v>
      </c>
      <c r="D42" s="20">
        <f>SUM(E42:OFFSET(BE42:BE42,0,-1))</f>
        <v>0</v>
      </c>
      <c r="E42" s="189">
        <v>6329.799</v>
      </c>
      <c r="F42" s="189">
        <v>0</v>
      </c>
      <c r="G42" s="189">
        <v>0</v>
      </c>
      <c r="H42" s="189"/>
      <c r="I42" s="189">
        <v>0</v>
      </c>
      <c r="J42" s="189"/>
      <c r="K42" s="189">
        <v>0</v>
      </c>
      <c r="L42" s="189"/>
      <c r="M42" s="189"/>
      <c r="N42" s="189"/>
      <c r="O42" s="189">
        <v>0</v>
      </c>
      <c r="P42" s="189"/>
      <c r="Q42" s="189"/>
      <c r="R42" s="189"/>
      <c r="S42" s="189"/>
      <c r="T42" s="189"/>
      <c r="U42" s="189"/>
      <c r="V42" s="189"/>
      <c r="W42" s="189"/>
      <c r="X42" s="189"/>
      <c r="Y42" s="189"/>
      <c r="Z42" s="189"/>
      <c r="AA42" s="189"/>
      <c r="AB42" s="189"/>
      <c r="AC42" s="189"/>
      <c r="AD42" s="189"/>
      <c r="AE42" s="189"/>
      <c r="AF42" s="189"/>
      <c r="AG42" s="189"/>
      <c r="AH42" s="189"/>
      <c r="AI42" s="189"/>
      <c r="AJ42" s="189"/>
      <c r="AK42" s="189"/>
      <c r="AL42" s="189"/>
      <c r="AM42" s="189"/>
      <c r="AN42" s="189"/>
      <c r="AO42" s="189"/>
      <c r="AP42" s="189"/>
      <c r="AQ42" s="189"/>
      <c r="AR42" s="189"/>
      <c r="AS42" s="189"/>
      <c r="AT42" s="189"/>
      <c r="AU42" s="189"/>
      <c r="AV42" s="189"/>
      <c r="AW42" s="189"/>
      <c r="AX42" s="189"/>
      <c r="AY42" s="189"/>
      <c r="AZ42" s="189"/>
      <c r="BA42" s="189"/>
      <c r="BB42" s="189"/>
      <c r="BC42" s="189"/>
      <c r="BD42" s="189"/>
      <c r="BE42" s="40">
        <f t="shared" si="10" ca="1"/>
        <v>0</v>
      </c>
      <c r="BF42" s="41">
        <f t="shared" si="11" ca="1"/>
        <v>0</v>
      </c>
    </row>
    <row r="43">
      <c r="A43" s="79" t="s">
        <v>324</v>
      </c>
      <c r="B43" s="80" t="s">
        <v>325</v>
      </c>
      <c r="C43" s="119">
        <v>950</v>
      </c>
      <c r="D43" s="21">
        <f>SUM(E43:OFFSET(BE43:BE43,0,-1))</f>
        <v>0</v>
      </c>
      <c r="E43" s="119">
        <v>950</v>
      </c>
      <c r="F43" s="119">
        <v>0</v>
      </c>
      <c r="G43" s="119">
        <v>0</v>
      </c>
      <c r="H43" s="119"/>
      <c r="I43" s="119">
        <v>0</v>
      </c>
      <c r="J43" s="119"/>
      <c r="K43" s="119">
        <v>0</v>
      </c>
      <c r="L43" s="119"/>
      <c r="M43" s="119"/>
      <c r="N43" s="119"/>
      <c r="O43" s="119">
        <v>0</v>
      </c>
      <c r="P43" s="119"/>
      <c r="Q43" s="119"/>
      <c r="R43" s="119"/>
      <c r="S43" s="119"/>
      <c r="T43" s="119"/>
      <c r="U43" s="119"/>
      <c r="V43" s="119"/>
      <c r="W43" s="119"/>
      <c r="X43" s="119"/>
      <c r="Y43" s="119"/>
      <c r="Z43" s="119"/>
      <c r="AA43" s="119"/>
      <c r="AB43" s="119"/>
      <c r="AC43" s="119"/>
      <c r="AD43" s="119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19"/>
      <c r="AT43" s="119"/>
      <c r="AU43" s="119"/>
      <c r="AV43" s="119"/>
      <c r="AW43" s="119"/>
      <c r="AX43" s="119"/>
      <c r="AY43" s="119"/>
      <c r="AZ43" s="119"/>
      <c r="BA43" s="119"/>
      <c r="BB43" s="119"/>
      <c r="BC43" s="119"/>
      <c r="BD43" s="119"/>
      <c r="BE43" s="42">
        <f t="shared" si="10" ca="1"/>
        <v>0</v>
      </c>
      <c r="BF43" s="43">
        <f t="shared" si="11" ca="1"/>
        <v>0</v>
      </c>
    </row>
    <row r="44">
      <c r="A44" s="79" t="s">
        <v>326</v>
      </c>
      <c r="B44" s="80" t="s">
        <v>327</v>
      </c>
      <c r="C44" s="119"/>
      <c r="D44" s="21">
        <f>SUM(E44:OFFSET(BE44:BE44,0,-1))</f>
        <v>0</v>
      </c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19"/>
      <c r="AA44" s="119"/>
      <c r="AB44" s="119"/>
      <c r="AC44" s="119"/>
      <c r="AD44" s="119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19"/>
      <c r="AP44" s="119"/>
      <c r="AQ44" s="119"/>
      <c r="AR44" s="119"/>
      <c r="AS44" s="119"/>
      <c r="AT44" s="119"/>
      <c r="AU44" s="119"/>
      <c r="AV44" s="119"/>
      <c r="AW44" s="119"/>
      <c r="AX44" s="119"/>
      <c r="AY44" s="119"/>
      <c r="AZ44" s="119"/>
      <c r="BA44" s="119"/>
      <c r="BB44" s="119"/>
      <c r="BC44" s="119"/>
      <c r="BD44" s="119"/>
      <c r="BE44" s="42">
        <f t="shared" si="10" ca="1"/>
        <v>0</v>
      </c>
      <c r="BF44" s="43">
        <f t="shared" si="11" ca="1"/>
        <v>0</v>
      </c>
    </row>
    <row r="45" ht="28.9" customHeight="1">
      <c r="A45" s="79" t="s">
        <v>328</v>
      </c>
      <c r="B45" s="80" t="s">
        <v>329</v>
      </c>
      <c r="C45" s="119">
        <v>5379.799</v>
      </c>
      <c r="D45" s="21">
        <f>SUM(E45:OFFSET(BE45:BE45,0,-1))</f>
        <v>0</v>
      </c>
      <c r="E45" s="119">
        <v>5379.799</v>
      </c>
      <c r="F45" s="119">
        <v>0</v>
      </c>
      <c r="G45" s="119">
        <v>0</v>
      </c>
      <c r="H45" s="119"/>
      <c r="I45" s="119">
        <v>0</v>
      </c>
      <c r="J45" s="119"/>
      <c r="K45" s="119">
        <v>0</v>
      </c>
      <c r="L45" s="119"/>
      <c r="M45" s="119"/>
      <c r="N45" s="119"/>
      <c r="O45" s="119">
        <v>0</v>
      </c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  <c r="AA45" s="119"/>
      <c r="AB45" s="119"/>
      <c r="AC45" s="119"/>
      <c r="AD45" s="119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19"/>
      <c r="AT45" s="119"/>
      <c r="AU45" s="119"/>
      <c r="AV45" s="119"/>
      <c r="AW45" s="119"/>
      <c r="AX45" s="119"/>
      <c r="AY45" s="119"/>
      <c r="AZ45" s="119"/>
      <c r="BA45" s="119"/>
      <c r="BB45" s="119"/>
      <c r="BC45" s="119"/>
      <c r="BD45" s="119"/>
      <c r="BE45" s="42">
        <f t="shared" si="10" ca="1"/>
        <v>0</v>
      </c>
      <c r="BF45" s="43">
        <f t="shared" si="11" ca="1"/>
        <v>0</v>
      </c>
    </row>
    <row r="46">
      <c r="A46" s="77" t="s">
        <v>330</v>
      </c>
      <c r="B46" s="78" t="s">
        <v>331</v>
      </c>
      <c r="C46" s="189">
        <v>0</v>
      </c>
      <c r="D46" s="20">
        <f>SUM(E46:OFFSET(BE46:BE46,0,-1))</f>
        <v>0</v>
      </c>
      <c r="E46" s="189">
        <v>0</v>
      </c>
      <c r="F46" s="189">
        <v>0</v>
      </c>
      <c r="G46" s="189">
        <v>0</v>
      </c>
      <c r="H46" s="189"/>
      <c r="I46" s="189">
        <v>0</v>
      </c>
      <c r="J46" s="189"/>
      <c r="K46" s="189">
        <v>0</v>
      </c>
      <c r="L46" s="189"/>
      <c r="M46" s="189"/>
      <c r="N46" s="189"/>
      <c r="O46" s="189">
        <v>0</v>
      </c>
      <c r="P46" s="189"/>
      <c r="Q46" s="189"/>
      <c r="R46" s="189"/>
      <c r="S46" s="189"/>
      <c r="T46" s="189"/>
      <c r="U46" s="189"/>
      <c r="V46" s="189"/>
      <c r="W46" s="189"/>
      <c r="X46" s="189"/>
      <c r="Y46" s="189"/>
      <c r="Z46" s="189"/>
      <c r="AA46" s="189"/>
      <c r="AB46" s="189"/>
      <c r="AC46" s="189"/>
      <c r="AD46" s="189"/>
      <c r="AE46" s="189"/>
      <c r="AF46" s="189"/>
      <c r="AG46" s="189"/>
      <c r="AH46" s="189"/>
      <c r="AI46" s="189"/>
      <c r="AJ46" s="189"/>
      <c r="AK46" s="189"/>
      <c r="AL46" s="189"/>
      <c r="AM46" s="189"/>
      <c r="AN46" s="189"/>
      <c r="AO46" s="189"/>
      <c r="AP46" s="189"/>
      <c r="AQ46" s="189"/>
      <c r="AR46" s="189"/>
      <c r="AS46" s="189"/>
      <c r="AT46" s="189"/>
      <c r="AU46" s="189"/>
      <c r="AV46" s="189"/>
      <c r="AW46" s="189"/>
      <c r="AX46" s="189"/>
      <c r="AY46" s="189"/>
      <c r="AZ46" s="189"/>
      <c r="BA46" s="189"/>
      <c r="BB46" s="189"/>
      <c r="BC46" s="189"/>
      <c r="BD46" s="189"/>
      <c r="BE46" s="40">
        <f t="shared" si="10" ca="1"/>
        <v>0</v>
      </c>
      <c r="BF46" s="41">
        <f t="shared" si="11" ca="1"/>
        <v>0</v>
      </c>
    </row>
    <row r="47" ht="30">
      <c r="A47" s="83" t="s">
        <v>332</v>
      </c>
      <c r="B47" s="80" t="s">
        <v>333</v>
      </c>
      <c r="C47" s="119"/>
      <c r="D47" s="21">
        <f>SUM(E47:OFFSET(BE47:BE47,0,-1))</f>
        <v>0</v>
      </c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  <c r="AA47" s="119"/>
      <c r="AB47" s="119"/>
      <c r="AC47" s="119"/>
      <c r="AD47" s="119"/>
      <c r="AE47" s="119"/>
      <c r="AF47" s="119"/>
      <c r="AG47" s="119"/>
      <c r="AH47" s="119"/>
      <c r="AI47" s="119"/>
      <c r="AJ47" s="119"/>
      <c r="AK47" s="119"/>
      <c r="AL47" s="119"/>
      <c r="AM47" s="119"/>
      <c r="AN47" s="119"/>
      <c r="AO47" s="119"/>
      <c r="AP47" s="119"/>
      <c r="AQ47" s="119"/>
      <c r="AR47" s="119"/>
      <c r="AS47" s="119"/>
      <c r="AT47" s="119"/>
      <c r="AU47" s="119"/>
      <c r="AV47" s="119"/>
      <c r="AW47" s="119"/>
      <c r="AX47" s="119"/>
      <c r="AY47" s="119"/>
      <c r="AZ47" s="119"/>
      <c r="BA47" s="119"/>
      <c r="BB47" s="119"/>
      <c r="BC47" s="119"/>
      <c r="BD47" s="119"/>
      <c r="BE47" s="42">
        <f t="shared" si="10" ca="1"/>
        <v>0</v>
      </c>
      <c r="BF47" s="43">
        <f t="shared" si="11" ca="1"/>
        <v>0</v>
      </c>
    </row>
    <row r="48" ht="17.45" customHeight="1">
      <c r="A48" s="77" t="s">
        <v>334</v>
      </c>
      <c r="B48" s="78" t="s">
        <v>335</v>
      </c>
      <c r="C48" s="20">
        <f>C49+C50+C51</f>
        <v>0</v>
      </c>
      <c r="D48" s="20">
        <f>D49+D50+D51</f>
        <v>0</v>
      </c>
      <c r="E48" s="20">
        <f>E49+E50+E51</f>
        <v>0</v>
      </c>
      <c r="F48" s="20">
        <f ref="F48:BD48" t="shared" si="16">F49+F50+F51</f>
        <v>0</v>
      </c>
      <c r="G48" s="20">
        <f t="shared" si="16"/>
        <v>0</v>
      </c>
      <c r="H48" s="20">
        <f t="shared" si="16"/>
        <v>0</v>
      </c>
      <c r="I48" s="20">
        <f t="shared" si="16"/>
        <v>0</v>
      </c>
      <c r="J48" s="20">
        <f t="shared" si="16"/>
        <v>0</v>
      </c>
      <c r="K48" s="20">
        <f t="shared" si="16"/>
        <v>0</v>
      </c>
      <c r="L48" s="20">
        <f t="shared" si="16"/>
        <v>0</v>
      </c>
      <c r="M48" s="20">
        <f t="shared" si="16"/>
        <v>0</v>
      </c>
      <c r="N48" s="20">
        <f t="shared" si="16"/>
        <v>0</v>
      </c>
      <c r="O48" s="20">
        <f t="shared" si="16"/>
        <v>0</v>
      </c>
      <c r="P48" s="20">
        <f t="shared" si="16"/>
        <v>0</v>
      </c>
      <c r="Q48" s="20">
        <f t="shared" si="16"/>
        <v>0</v>
      </c>
      <c r="R48" s="20">
        <f t="shared" si="16"/>
        <v>0</v>
      </c>
      <c r="S48" s="20">
        <f t="shared" si="16"/>
        <v>0</v>
      </c>
      <c r="T48" s="20">
        <f t="shared" si="16"/>
        <v>0</v>
      </c>
      <c r="U48" s="20">
        <f t="shared" si="16"/>
        <v>0</v>
      </c>
      <c r="V48" s="20">
        <f t="shared" si="16"/>
        <v>0</v>
      </c>
      <c r="W48" s="20">
        <f t="shared" si="16"/>
        <v>0</v>
      </c>
      <c r="X48" s="20">
        <f t="shared" si="16"/>
        <v>0</v>
      </c>
      <c r="Y48" s="20">
        <f t="shared" si="16"/>
        <v>0</v>
      </c>
      <c r="Z48" s="20">
        <f t="shared" si="16"/>
        <v>0</v>
      </c>
      <c r="AA48" s="20">
        <f t="shared" si="16"/>
        <v>0</v>
      </c>
      <c r="AB48" s="20">
        <f t="shared" si="16"/>
        <v>0</v>
      </c>
      <c r="AC48" s="20">
        <f t="shared" si="16"/>
        <v>0</v>
      </c>
      <c r="AD48" s="20">
        <f t="shared" si="16"/>
        <v>0</v>
      </c>
      <c r="AE48" s="20">
        <f t="shared" si="16"/>
        <v>0</v>
      </c>
      <c r="AF48" s="20">
        <f t="shared" si="16"/>
        <v>0</v>
      </c>
      <c r="AG48" s="20">
        <f t="shared" si="16"/>
        <v>0</v>
      </c>
      <c r="AH48" s="20">
        <f t="shared" si="16"/>
        <v>0</v>
      </c>
      <c r="AI48" s="20">
        <f t="shared" si="16"/>
        <v>0</v>
      </c>
      <c r="AJ48" s="20">
        <f t="shared" si="16"/>
        <v>0</v>
      </c>
      <c r="AK48" s="20">
        <f t="shared" si="16"/>
        <v>0</v>
      </c>
      <c r="AL48" s="20">
        <f t="shared" si="16"/>
        <v>0</v>
      </c>
      <c r="AM48" s="20">
        <f t="shared" si="16"/>
        <v>0</v>
      </c>
      <c r="AN48" s="20">
        <f t="shared" si="16"/>
        <v>0</v>
      </c>
      <c r="AO48" s="20">
        <f t="shared" si="16"/>
        <v>0</v>
      </c>
      <c r="AP48" s="20">
        <f t="shared" si="16"/>
        <v>0</v>
      </c>
      <c r="AQ48" s="20">
        <f t="shared" si="16"/>
        <v>0</v>
      </c>
      <c r="AR48" s="20">
        <f t="shared" si="16"/>
        <v>0</v>
      </c>
      <c r="AS48" s="20">
        <f t="shared" si="16"/>
        <v>0</v>
      </c>
      <c r="AT48" s="20">
        <f t="shared" si="16"/>
        <v>0</v>
      </c>
      <c r="AU48" s="20">
        <f t="shared" si="16"/>
        <v>0</v>
      </c>
      <c r="AV48" s="20">
        <f t="shared" si="16"/>
        <v>0</v>
      </c>
      <c r="AW48" s="20">
        <f t="shared" si="16"/>
        <v>0</v>
      </c>
      <c r="AX48" s="20">
        <f t="shared" si="16"/>
        <v>0</v>
      </c>
      <c r="AY48" s="20">
        <f t="shared" si="16"/>
        <v>0</v>
      </c>
      <c r="AZ48" s="20">
        <f t="shared" si="16"/>
        <v>0</v>
      </c>
      <c r="BA48" s="20">
        <f t="shared" si="16"/>
        <v>0</v>
      </c>
      <c r="BB48" s="20">
        <f ref="BB48:BC48" t="shared" si="17">BB49+BB50+BB51</f>
        <v>0</v>
      </c>
      <c r="BC48" s="20">
        <f t="shared" si="17"/>
        <v>0</v>
      </c>
      <c r="BD48" s="20">
        <f t="shared" si="16"/>
        <v>0</v>
      </c>
      <c r="BE48" s="40">
        <f t="shared" si="10" ca="1"/>
        <v>0</v>
      </c>
      <c r="BF48" s="41">
        <f t="shared" si="11" ca="1"/>
        <v>0</v>
      </c>
    </row>
    <row r="49" s="8" customFormat="1">
      <c r="A49" s="79" t="s">
        <v>336</v>
      </c>
      <c r="B49" s="84" t="s">
        <v>337</v>
      </c>
      <c r="C49" s="120">
        <v>297.42911</v>
      </c>
      <c r="D49" s="23">
        <f>SUM(E49:OFFSET(BE49:BE49,0,-1))</f>
        <v>0</v>
      </c>
      <c r="E49" s="120">
        <v>297.42911</v>
      </c>
      <c r="F49" s="120">
        <v>0</v>
      </c>
      <c r="G49" s="120">
        <v>0</v>
      </c>
      <c r="H49" s="120"/>
      <c r="I49" s="120">
        <v>0</v>
      </c>
      <c r="J49" s="120"/>
      <c r="K49" s="120">
        <v>0</v>
      </c>
      <c r="L49" s="120"/>
      <c r="M49" s="120"/>
      <c r="N49" s="120"/>
      <c r="O49" s="120">
        <v>0</v>
      </c>
      <c r="P49" s="120"/>
      <c r="Q49" s="120"/>
      <c r="R49" s="120"/>
      <c r="S49" s="120"/>
      <c r="T49" s="120"/>
      <c r="U49" s="120"/>
      <c r="V49" s="120"/>
      <c r="W49" s="120"/>
      <c r="X49" s="120"/>
      <c r="Y49" s="120"/>
      <c r="Z49" s="120"/>
      <c r="AA49" s="120"/>
      <c r="AB49" s="120"/>
      <c r="AC49" s="120"/>
      <c r="AD49" s="120"/>
      <c r="AE49" s="120"/>
      <c r="AF49" s="120"/>
      <c r="AG49" s="120"/>
      <c r="AH49" s="120"/>
      <c r="AI49" s="120"/>
      <c r="AJ49" s="120"/>
      <c r="AK49" s="120"/>
      <c r="AL49" s="120"/>
      <c r="AM49" s="120"/>
      <c r="AN49" s="120"/>
      <c r="AO49" s="120"/>
      <c r="AP49" s="120"/>
      <c r="AQ49" s="120"/>
      <c r="AR49" s="120"/>
      <c r="AS49" s="120"/>
      <c r="AT49" s="120"/>
      <c r="AU49" s="120"/>
      <c r="AV49" s="120"/>
      <c r="AW49" s="120"/>
      <c r="AX49" s="120"/>
      <c r="AY49" s="120"/>
      <c r="AZ49" s="120"/>
      <c r="BA49" s="120"/>
      <c r="BB49" s="120"/>
      <c r="BC49" s="120"/>
      <c r="BD49" s="120"/>
      <c r="BE49" s="46">
        <f t="shared" si="10" ca="1"/>
        <v>0</v>
      </c>
      <c r="BF49" s="47">
        <f t="shared" si="11" ca="1"/>
        <v>0</v>
      </c>
    </row>
    <row r="50" s="8" customFormat="1">
      <c r="A50" s="79" t="s">
        <v>338</v>
      </c>
      <c r="B50" s="84" t="s">
        <v>16</v>
      </c>
      <c r="C50" s="120">
        <v>2389.33337</v>
      </c>
      <c r="D50" s="23">
        <f>SUM(E50:OFFSET(BE50:BE50,0,-1))</f>
        <v>0</v>
      </c>
      <c r="E50" s="120">
        <v>2366.62109</v>
      </c>
      <c r="F50" s="120">
        <v>0</v>
      </c>
      <c r="G50" s="120">
        <v>0</v>
      </c>
      <c r="H50" s="120"/>
      <c r="I50" s="120">
        <v>0</v>
      </c>
      <c r="J50" s="120"/>
      <c r="K50" s="120">
        <v>0</v>
      </c>
      <c r="L50" s="120"/>
      <c r="M50" s="120"/>
      <c r="N50" s="120"/>
      <c r="O50" s="120">
        <v>0</v>
      </c>
      <c r="P50" s="120"/>
      <c r="Q50" s="120"/>
      <c r="R50" s="120"/>
      <c r="S50" s="120"/>
      <c r="T50" s="120"/>
      <c r="U50" s="120"/>
      <c r="V50" s="120"/>
      <c r="W50" s="120"/>
      <c r="X50" s="120"/>
      <c r="Y50" s="120"/>
      <c r="Z50" s="120"/>
      <c r="AA50" s="120"/>
      <c r="AB50" s="120"/>
      <c r="AC50" s="120"/>
      <c r="AD50" s="120"/>
      <c r="AE50" s="120"/>
      <c r="AF50" s="120"/>
      <c r="AG50" s="120"/>
      <c r="AH50" s="120"/>
      <c r="AI50" s="120"/>
      <c r="AJ50" s="120"/>
      <c r="AK50" s="120"/>
      <c r="AL50" s="120"/>
      <c r="AM50" s="120"/>
      <c r="AN50" s="120"/>
      <c r="AO50" s="120"/>
      <c r="AP50" s="120"/>
      <c r="AQ50" s="120"/>
      <c r="AR50" s="120"/>
      <c r="AS50" s="120"/>
      <c r="AT50" s="120"/>
      <c r="AU50" s="120"/>
      <c r="AV50" s="120"/>
      <c r="AW50" s="120"/>
      <c r="AX50" s="120"/>
      <c r="AY50" s="120"/>
      <c r="AZ50" s="120"/>
      <c r="BA50" s="120"/>
      <c r="BB50" s="120"/>
      <c r="BC50" s="120"/>
      <c r="BD50" s="120"/>
      <c r="BE50" s="46">
        <f t="shared" si="10" ca="1"/>
        <v>0</v>
      </c>
      <c r="BF50" s="47">
        <f t="shared" si="11" ca="1"/>
        <v>0</v>
      </c>
    </row>
    <row r="51" s="8" customFormat="1">
      <c r="A51" s="79" t="s">
        <v>339</v>
      </c>
      <c r="B51" s="84" t="s">
        <v>340</v>
      </c>
      <c r="C51" s="120">
        <v>59.23614</v>
      </c>
      <c r="D51" s="23">
        <f>SUM(E51:OFFSET(BE51:BE51,0,-1))</f>
        <v>0</v>
      </c>
      <c r="E51" s="120">
        <v>58.32193</v>
      </c>
      <c r="F51" s="120">
        <v>0</v>
      </c>
      <c r="G51" s="120">
        <v>0</v>
      </c>
      <c r="H51" s="120"/>
      <c r="I51" s="120">
        <v>0</v>
      </c>
      <c r="J51" s="120"/>
      <c r="K51" s="120">
        <v>0</v>
      </c>
      <c r="L51" s="120"/>
      <c r="M51" s="120"/>
      <c r="N51" s="120"/>
      <c r="O51" s="120">
        <v>0</v>
      </c>
      <c r="P51" s="120"/>
      <c r="Q51" s="120"/>
      <c r="R51" s="120"/>
      <c r="S51" s="120"/>
      <c r="T51" s="120"/>
      <c r="U51" s="120"/>
      <c r="V51" s="120"/>
      <c r="W51" s="120"/>
      <c r="X51" s="120"/>
      <c r="Y51" s="120"/>
      <c r="Z51" s="120"/>
      <c r="AA51" s="120"/>
      <c r="AB51" s="120"/>
      <c r="AC51" s="120"/>
      <c r="AD51" s="120"/>
      <c r="AE51" s="120"/>
      <c r="AF51" s="120"/>
      <c r="AG51" s="120"/>
      <c r="AH51" s="120"/>
      <c r="AI51" s="120"/>
      <c r="AJ51" s="120"/>
      <c r="AK51" s="120"/>
      <c r="AL51" s="120"/>
      <c r="AM51" s="120"/>
      <c r="AN51" s="120"/>
      <c r="AO51" s="120"/>
      <c r="AP51" s="120"/>
      <c r="AQ51" s="120"/>
      <c r="AR51" s="120"/>
      <c r="AS51" s="120"/>
      <c r="AT51" s="120"/>
      <c r="AU51" s="120"/>
      <c r="AV51" s="120"/>
      <c r="AW51" s="120"/>
      <c r="AX51" s="120"/>
      <c r="AY51" s="120"/>
      <c r="AZ51" s="120"/>
      <c r="BA51" s="120"/>
      <c r="BB51" s="120"/>
      <c r="BC51" s="120"/>
      <c r="BD51" s="120"/>
      <c r="BE51" s="46">
        <f t="shared" si="10" ca="1"/>
        <v>0</v>
      </c>
      <c r="BF51" s="47">
        <f t="shared" si="11" ca="1"/>
        <v>0</v>
      </c>
    </row>
    <row r="52" ht="33" customHeight="1" s="8" customFormat="1">
      <c r="A52" s="79" t="s">
        <v>341</v>
      </c>
      <c r="B52" s="84" t="s">
        <v>342</v>
      </c>
      <c r="C52" s="120">
        <v>1525.94958</v>
      </c>
      <c r="D52" s="23">
        <f>SUM(E52:OFFSET(BE52:BE52,0,-1))</f>
        <v>0</v>
      </c>
      <c r="E52" s="120">
        <v>1531.97727</v>
      </c>
      <c r="F52" s="120">
        <v>0</v>
      </c>
      <c r="G52" s="120">
        <v>0</v>
      </c>
      <c r="H52" s="120"/>
      <c r="I52" s="120">
        <v>0</v>
      </c>
      <c r="J52" s="120"/>
      <c r="K52" s="120">
        <v>0</v>
      </c>
      <c r="L52" s="120"/>
      <c r="M52" s="120"/>
      <c r="N52" s="120"/>
      <c r="O52" s="120">
        <v>0</v>
      </c>
      <c r="P52" s="120"/>
      <c r="Q52" s="120"/>
      <c r="R52" s="120"/>
      <c r="S52" s="120"/>
      <c r="T52" s="120"/>
      <c r="U52" s="120"/>
      <c r="V52" s="120"/>
      <c r="W52" s="120"/>
      <c r="X52" s="120"/>
      <c r="Y52" s="120"/>
      <c r="Z52" s="120"/>
      <c r="AA52" s="120"/>
      <c r="AB52" s="120"/>
      <c r="AC52" s="120"/>
      <c r="AD52" s="120"/>
      <c r="AE52" s="120"/>
      <c r="AF52" s="120"/>
      <c r="AG52" s="120"/>
      <c r="AH52" s="120"/>
      <c r="AI52" s="120"/>
      <c r="AJ52" s="120"/>
      <c r="AK52" s="120"/>
      <c r="AL52" s="120"/>
      <c r="AM52" s="120"/>
      <c r="AN52" s="120"/>
      <c r="AO52" s="120"/>
      <c r="AP52" s="120"/>
      <c r="AQ52" s="120"/>
      <c r="AR52" s="120"/>
      <c r="AS52" s="120"/>
      <c r="AT52" s="120"/>
      <c r="AU52" s="120"/>
      <c r="AV52" s="120"/>
      <c r="AW52" s="120"/>
      <c r="AX52" s="120"/>
      <c r="AY52" s="120"/>
      <c r="AZ52" s="120"/>
      <c r="BA52" s="120"/>
      <c r="BB52" s="120"/>
      <c r="BC52" s="120"/>
      <c r="BD52" s="120"/>
      <c r="BE52" s="46">
        <f t="shared" si="10" ca="1"/>
        <v>0</v>
      </c>
      <c r="BF52" s="47">
        <f t="shared" si="11" ca="1"/>
        <v>0</v>
      </c>
    </row>
    <row r="53" ht="28.5">
      <c r="A53" s="77" t="s">
        <v>343</v>
      </c>
      <c r="B53" s="78" t="s">
        <v>344</v>
      </c>
      <c r="C53" s="189">
        <v>2940.59061</v>
      </c>
      <c r="D53" s="20">
        <f>SUM(E53:OFFSET(BE53:BE53,0,-1))</f>
        <v>0</v>
      </c>
      <c r="E53" s="189">
        <v>2940.59061</v>
      </c>
      <c r="F53" s="189">
        <v>0</v>
      </c>
      <c r="G53" s="189">
        <v>0</v>
      </c>
      <c r="H53" s="189"/>
      <c r="I53" s="189">
        <v>0</v>
      </c>
      <c r="J53" s="189"/>
      <c r="K53" s="189">
        <v>0</v>
      </c>
      <c r="L53" s="189"/>
      <c r="M53" s="189"/>
      <c r="N53" s="189"/>
      <c r="O53" s="189">
        <v>0</v>
      </c>
      <c r="P53" s="189"/>
      <c r="Q53" s="189"/>
      <c r="R53" s="189"/>
      <c r="S53" s="189"/>
      <c r="T53" s="189"/>
      <c r="U53" s="189"/>
      <c r="V53" s="189"/>
      <c r="W53" s="189"/>
      <c r="X53" s="189"/>
      <c r="Y53" s="189"/>
      <c r="Z53" s="189"/>
      <c r="AA53" s="189"/>
      <c r="AB53" s="189"/>
      <c r="AC53" s="189"/>
      <c r="AD53" s="189"/>
      <c r="AE53" s="189"/>
      <c r="AF53" s="189"/>
      <c r="AG53" s="189"/>
      <c r="AH53" s="189"/>
      <c r="AI53" s="189"/>
      <c r="AJ53" s="189"/>
      <c r="AK53" s="189"/>
      <c r="AL53" s="189"/>
      <c r="AM53" s="189"/>
      <c r="AN53" s="189"/>
      <c r="AO53" s="189"/>
      <c r="AP53" s="189"/>
      <c r="AQ53" s="189"/>
      <c r="AR53" s="189"/>
      <c r="AS53" s="189"/>
      <c r="AT53" s="189"/>
      <c r="AU53" s="189"/>
      <c r="AV53" s="189"/>
      <c r="AW53" s="189"/>
      <c r="AX53" s="189"/>
      <c r="AY53" s="189"/>
      <c r="AZ53" s="189"/>
      <c r="BA53" s="189"/>
      <c r="BB53" s="189"/>
      <c r="BC53" s="189"/>
      <c r="BD53" s="189"/>
      <c r="BE53" s="40">
        <f t="shared" si="10" ca="1"/>
        <v>0</v>
      </c>
      <c r="BF53" s="41">
        <f t="shared" si="11" ca="1"/>
        <v>0</v>
      </c>
    </row>
    <row r="54">
      <c r="A54" s="77" t="s">
        <v>345</v>
      </c>
      <c r="B54" s="78" t="s">
        <v>346</v>
      </c>
      <c r="C54" s="189">
        <v>21904.2929</v>
      </c>
      <c r="D54" s="20">
        <f>SUM(E54:OFFSET(BE54:BE54,0,-1))</f>
        <v>0</v>
      </c>
      <c r="E54" s="189">
        <v>21904.2929</v>
      </c>
      <c r="F54" s="189">
        <v>0</v>
      </c>
      <c r="G54" s="189">
        <v>0</v>
      </c>
      <c r="H54" s="189"/>
      <c r="I54" s="189">
        <v>0</v>
      </c>
      <c r="J54" s="189"/>
      <c r="K54" s="189">
        <v>0</v>
      </c>
      <c r="L54" s="189"/>
      <c r="M54" s="189"/>
      <c r="N54" s="189"/>
      <c r="O54" s="189">
        <v>0</v>
      </c>
      <c r="P54" s="189"/>
      <c r="Q54" s="189"/>
      <c r="R54" s="189"/>
      <c r="S54" s="189"/>
      <c r="T54" s="189"/>
      <c r="U54" s="189"/>
      <c r="V54" s="189"/>
      <c r="W54" s="189"/>
      <c r="X54" s="189"/>
      <c r="Y54" s="189"/>
      <c r="Z54" s="189"/>
      <c r="AA54" s="189"/>
      <c r="AB54" s="189"/>
      <c r="AC54" s="189"/>
      <c r="AD54" s="189"/>
      <c r="AE54" s="189"/>
      <c r="AF54" s="189"/>
      <c r="AG54" s="189"/>
      <c r="AH54" s="189"/>
      <c r="AI54" s="189"/>
      <c r="AJ54" s="189"/>
      <c r="AK54" s="189"/>
      <c r="AL54" s="189"/>
      <c r="AM54" s="189"/>
      <c r="AN54" s="189"/>
      <c r="AO54" s="189"/>
      <c r="AP54" s="189"/>
      <c r="AQ54" s="189"/>
      <c r="AR54" s="189"/>
      <c r="AS54" s="189"/>
      <c r="AT54" s="189"/>
      <c r="AU54" s="189"/>
      <c r="AV54" s="189"/>
      <c r="AW54" s="189"/>
      <c r="AX54" s="189"/>
      <c r="AY54" s="189"/>
      <c r="AZ54" s="189"/>
      <c r="BA54" s="189"/>
      <c r="BB54" s="189"/>
      <c r="BC54" s="189"/>
      <c r="BD54" s="189"/>
      <c r="BE54" s="40">
        <f t="shared" si="10" ca="1"/>
        <v>0</v>
      </c>
      <c r="BF54" s="41">
        <f t="shared" si="11" ca="1"/>
        <v>0</v>
      </c>
    </row>
    <row r="55">
      <c r="A55" s="83" t="s">
        <v>347</v>
      </c>
      <c r="B55" s="80" t="s">
        <v>348</v>
      </c>
      <c r="C55" s="119">
        <v>21904.2929</v>
      </c>
      <c r="D55" s="21">
        <f>SUM(E55:OFFSET(BE55:BE55,0,-1))</f>
        <v>0</v>
      </c>
      <c r="E55" s="119">
        <v>21904.2929</v>
      </c>
      <c r="F55" s="119">
        <v>0</v>
      </c>
      <c r="G55" s="119">
        <v>0</v>
      </c>
      <c r="H55" s="119"/>
      <c r="I55" s="119">
        <v>0</v>
      </c>
      <c r="J55" s="119"/>
      <c r="K55" s="119">
        <v>0</v>
      </c>
      <c r="L55" s="119"/>
      <c r="M55" s="119"/>
      <c r="N55" s="119"/>
      <c r="O55" s="119">
        <v>0</v>
      </c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  <c r="AA55" s="119"/>
      <c r="AB55" s="119"/>
      <c r="AC55" s="119"/>
      <c r="AD55" s="119"/>
      <c r="AE55" s="119"/>
      <c r="AF55" s="119"/>
      <c r="AG55" s="119"/>
      <c r="AH55" s="119"/>
      <c r="AI55" s="119"/>
      <c r="AJ55" s="119"/>
      <c r="AK55" s="119"/>
      <c r="AL55" s="119"/>
      <c r="AM55" s="119"/>
      <c r="AN55" s="119"/>
      <c r="AO55" s="119"/>
      <c r="AP55" s="119"/>
      <c r="AQ55" s="119"/>
      <c r="AR55" s="119"/>
      <c r="AS55" s="119"/>
      <c r="AT55" s="119"/>
      <c r="AU55" s="119"/>
      <c r="AV55" s="119"/>
      <c r="AW55" s="119"/>
      <c r="AX55" s="119"/>
      <c r="AY55" s="119"/>
      <c r="AZ55" s="119"/>
      <c r="BA55" s="119"/>
      <c r="BB55" s="119"/>
      <c r="BC55" s="119"/>
      <c r="BD55" s="119"/>
      <c r="BE55" s="42">
        <f t="shared" si="10" ca="1"/>
        <v>0</v>
      </c>
      <c r="BF55" s="43">
        <f t="shared" si="11" ca="1"/>
        <v>0</v>
      </c>
    </row>
    <row r="56" ht="30">
      <c r="A56" s="83" t="s">
        <v>349</v>
      </c>
      <c r="B56" s="80" t="s">
        <v>350</v>
      </c>
      <c r="C56" s="119">
        <v>1920.1875</v>
      </c>
      <c r="D56" s="21">
        <f>SUM(E56:OFFSET(BE56:BE56,0,-1))</f>
        <v>0</v>
      </c>
      <c r="E56" s="119">
        <v>1920.1875</v>
      </c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  <c r="W56" s="119"/>
      <c r="X56" s="119"/>
      <c r="Y56" s="119"/>
      <c r="Z56" s="119"/>
      <c r="AA56" s="119"/>
      <c r="AB56" s="119"/>
      <c r="AC56" s="119"/>
      <c r="AD56" s="119"/>
      <c r="AE56" s="119"/>
      <c r="AF56" s="119"/>
      <c r="AG56" s="119"/>
      <c r="AH56" s="119"/>
      <c r="AI56" s="119"/>
      <c r="AJ56" s="119"/>
      <c r="AK56" s="119"/>
      <c r="AL56" s="119"/>
      <c r="AM56" s="119"/>
      <c r="AN56" s="119"/>
      <c r="AO56" s="119"/>
      <c r="AP56" s="119"/>
      <c r="AQ56" s="119"/>
      <c r="AR56" s="119"/>
      <c r="AS56" s="119"/>
      <c r="AT56" s="119"/>
      <c r="AU56" s="119"/>
      <c r="AV56" s="119"/>
      <c r="AW56" s="119"/>
      <c r="AX56" s="119"/>
      <c r="AY56" s="119"/>
      <c r="AZ56" s="119"/>
      <c r="BA56" s="119"/>
      <c r="BB56" s="119"/>
      <c r="BC56" s="119"/>
      <c r="BD56" s="119"/>
      <c r="BE56" s="42">
        <f t="shared" si="10" ca="1"/>
        <v>0</v>
      </c>
      <c r="BF56" s="43">
        <f t="shared" si="11" ca="1"/>
        <v>0</v>
      </c>
    </row>
    <row r="57">
      <c r="A57" s="77" t="s">
        <v>351</v>
      </c>
      <c r="B57" s="78" t="s">
        <v>352</v>
      </c>
      <c r="C57" s="189"/>
      <c r="D57" s="20">
        <f>SUM(E57:OFFSET(BE57:BE57,0,-1))</f>
        <v>0</v>
      </c>
      <c r="E57" s="189"/>
      <c r="F57" s="189"/>
      <c r="G57" s="189"/>
      <c r="H57" s="189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40">
        <f t="shared" si="10" ca="1"/>
        <v>0</v>
      </c>
      <c r="BF57" s="41">
        <f t="shared" si="11" ca="1"/>
        <v>0</v>
      </c>
    </row>
    <row r="58">
      <c r="A58" s="77" t="s">
        <v>353</v>
      </c>
      <c r="B58" s="78" t="s">
        <v>354</v>
      </c>
      <c r="C58" s="189">
        <v>453.40815</v>
      </c>
      <c r="D58" s="20">
        <f>SUM(E58:OFFSET(BE58:BE58,0,-1))</f>
        <v>0</v>
      </c>
      <c r="E58" s="189">
        <v>555.35651</v>
      </c>
      <c r="F58" s="189">
        <v>0</v>
      </c>
      <c r="G58" s="189">
        <v>0</v>
      </c>
      <c r="H58" s="189"/>
      <c r="I58" s="189">
        <v>0</v>
      </c>
      <c r="J58" s="189"/>
      <c r="K58" s="189">
        <v>0</v>
      </c>
      <c r="L58" s="189"/>
      <c r="M58" s="189"/>
      <c r="N58" s="189"/>
      <c r="O58" s="189">
        <v>0</v>
      </c>
      <c r="P58" s="189"/>
      <c r="Q58" s="189"/>
      <c r="R58" s="189"/>
      <c r="S58" s="189"/>
      <c r="T58" s="189"/>
      <c r="U58" s="189"/>
      <c r="V58" s="189"/>
      <c r="W58" s="189"/>
      <c r="X58" s="189"/>
      <c r="Y58" s="189"/>
      <c r="Z58" s="189"/>
      <c r="AA58" s="189"/>
      <c r="AB58" s="189"/>
      <c r="AC58" s="189"/>
      <c r="AD58" s="189"/>
      <c r="AE58" s="189"/>
      <c r="AF58" s="189"/>
      <c r="AG58" s="189"/>
      <c r="AH58" s="189"/>
      <c r="AI58" s="189"/>
      <c r="AJ58" s="189"/>
      <c r="AK58" s="189"/>
      <c r="AL58" s="189"/>
      <c r="AM58" s="189"/>
      <c r="AN58" s="189"/>
      <c r="AO58" s="189"/>
      <c r="AP58" s="189"/>
      <c r="AQ58" s="189"/>
      <c r="AR58" s="189"/>
      <c r="AS58" s="189"/>
      <c r="AT58" s="189"/>
      <c r="AU58" s="189"/>
      <c r="AV58" s="189"/>
      <c r="AW58" s="189"/>
      <c r="AX58" s="189"/>
      <c r="AY58" s="189"/>
      <c r="AZ58" s="189"/>
      <c r="BA58" s="189"/>
      <c r="BB58" s="189"/>
      <c r="BC58" s="189"/>
      <c r="BD58" s="189"/>
      <c r="BE58" s="40">
        <f t="shared" si="10" ca="1"/>
        <v>0</v>
      </c>
      <c r="BF58" s="41">
        <f t="shared" si="11" ca="1"/>
        <v>0</v>
      </c>
    </row>
    <row r="59">
      <c r="A59" s="85" t="s">
        <v>355</v>
      </c>
      <c r="B59" s="86" t="s">
        <v>356</v>
      </c>
      <c r="C59" s="121">
        <v>244.78283</v>
      </c>
      <c r="D59" s="24">
        <f>SUM(E59:OFFSET(BE59:BE59,0,-1))</f>
        <v>0</v>
      </c>
      <c r="E59" s="121">
        <v>349.61284</v>
      </c>
      <c r="F59" s="121">
        <v>0</v>
      </c>
      <c r="G59" s="121">
        <v>0</v>
      </c>
      <c r="H59" s="121"/>
      <c r="I59" s="121">
        <v>0</v>
      </c>
      <c r="J59" s="121"/>
      <c r="K59" s="121">
        <v>0</v>
      </c>
      <c r="L59" s="121"/>
      <c r="M59" s="121"/>
      <c r="N59" s="121"/>
      <c r="O59" s="121">
        <v>0</v>
      </c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S59" s="121"/>
      <c r="AT59" s="121"/>
      <c r="AU59" s="121"/>
      <c r="AV59" s="121"/>
      <c r="AW59" s="121"/>
      <c r="AX59" s="121"/>
      <c r="AY59" s="121"/>
      <c r="AZ59" s="121"/>
      <c r="BA59" s="121"/>
      <c r="BB59" s="121"/>
      <c r="BC59" s="121"/>
      <c r="BD59" s="121"/>
      <c r="BE59" s="42">
        <f t="shared" si="10" ca="1"/>
        <v>0</v>
      </c>
      <c r="BF59" s="48">
        <f t="shared" si="11" ca="1"/>
        <v>0</v>
      </c>
    </row>
    <row r="60" ht="30">
      <c r="A60" s="85" t="s">
        <v>357</v>
      </c>
      <c r="B60" s="86" t="s">
        <v>358</v>
      </c>
      <c r="C60" s="121">
        <v>188.46548</v>
      </c>
      <c r="D60" s="24">
        <f>SUM(E60:OFFSET(BE60:BE60,0,-1))</f>
        <v>0</v>
      </c>
      <c r="E60" s="121">
        <v>191.77232</v>
      </c>
      <c r="F60" s="121">
        <v>0</v>
      </c>
      <c r="G60" s="121">
        <v>0</v>
      </c>
      <c r="H60" s="121"/>
      <c r="I60" s="121">
        <v>0</v>
      </c>
      <c r="J60" s="121"/>
      <c r="K60" s="121">
        <v>0</v>
      </c>
      <c r="L60" s="121"/>
      <c r="M60" s="121"/>
      <c r="N60" s="121"/>
      <c r="O60" s="121">
        <v>0</v>
      </c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S60" s="121"/>
      <c r="AT60" s="121"/>
      <c r="AU60" s="121"/>
      <c r="AV60" s="121"/>
      <c r="AW60" s="121"/>
      <c r="AX60" s="121"/>
      <c r="AY60" s="121"/>
      <c r="AZ60" s="121"/>
      <c r="BA60" s="121"/>
      <c r="BB60" s="121"/>
      <c r="BC60" s="121"/>
      <c r="BD60" s="121"/>
      <c r="BE60" s="42">
        <f t="shared" si="10" ca="1"/>
        <v>0</v>
      </c>
      <c r="BF60" s="48">
        <f t="shared" si="11" ca="1"/>
        <v>0</v>
      </c>
    </row>
    <row r="61" ht="30.75">
      <c r="A61" s="87" t="s">
        <v>359</v>
      </c>
      <c r="B61" s="88" t="s">
        <v>360</v>
      </c>
      <c r="C61" s="122">
        <v>7792.05199</v>
      </c>
      <c r="D61" s="25">
        <f>SUM(E61:OFFSET(BE61:BE61,0,-1))</f>
        <v>0</v>
      </c>
      <c r="E61" s="122">
        <v>7792.05636</v>
      </c>
      <c r="F61" s="122">
        <v>0</v>
      </c>
      <c r="G61" s="122">
        <v>0</v>
      </c>
      <c r="H61" s="122"/>
      <c r="I61" s="122">
        <v>0</v>
      </c>
      <c r="J61" s="122"/>
      <c r="K61" s="122">
        <v>0</v>
      </c>
      <c r="L61" s="122"/>
      <c r="M61" s="122"/>
      <c r="N61" s="122"/>
      <c r="O61" s="122">
        <v>0</v>
      </c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  <c r="AH61" s="122"/>
      <c r="AI61" s="122"/>
      <c r="AJ61" s="122"/>
      <c r="AK61" s="122"/>
      <c r="AL61" s="122"/>
      <c r="AM61" s="122"/>
      <c r="AN61" s="122"/>
      <c r="AO61" s="122"/>
      <c r="AP61" s="122"/>
      <c r="AQ61" s="122"/>
      <c r="AR61" s="122"/>
      <c r="AS61" s="122"/>
      <c r="AT61" s="122"/>
      <c r="AU61" s="122"/>
      <c r="AV61" s="122"/>
      <c r="AW61" s="122"/>
      <c r="AX61" s="122"/>
      <c r="AY61" s="122"/>
      <c r="AZ61" s="122"/>
      <c r="BA61" s="122"/>
      <c r="BB61" s="122"/>
      <c r="BC61" s="122"/>
      <c r="BD61" s="122"/>
      <c r="BE61" s="49">
        <f t="shared" si="10" ca="1"/>
        <v>0</v>
      </c>
      <c r="BF61" s="50">
        <f t="shared" si="11" ca="1"/>
        <v>0</v>
      </c>
    </row>
    <row r="62" ht="15.75">
      <c r="A62" s="89" t="s">
        <v>361</v>
      </c>
      <c r="B62" s="90" t="s">
        <v>362</v>
      </c>
      <c r="C62" s="26">
        <f>C9+C10+C13-C14+C21-C22+C41+C42-C45+C46-C47+C48-C52+C53+C56+C57+C58</f>
        <v>0</v>
      </c>
      <c r="D62" s="26">
        <f ref="D62:BD62" t="shared" si="18" ca="1">D9+D10+D13-D14+D21-D22+D41+D42-D45+D46-D47+D48-D52+D53+D56+D57+D58</f>
        <v>0</v>
      </c>
      <c r="E62" s="26">
        <f t="shared" si="18"/>
        <v>0</v>
      </c>
      <c r="F62" s="26">
        <f t="shared" si="18"/>
        <v>0</v>
      </c>
      <c r="G62" s="26">
        <f t="shared" si="18"/>
        <v>0</v>
      </c>
      <c r="H62" s="26">
        <f t="shared" si="18"/>
        <v>0</v>
      </c>
      <c r="I62" s="26">
        <f t="shared" si="18"/>
        <v>0</v>
      </c>
      <c r="J62" s="26">
        <f t="shared" si="18"/>
        <v>0</v>
      </c>
      <c r="K62" s="26">
        <f t="shared" si="18"/>
        <v>0</v>
      </c>
      <c r="L62" s="26">
        <f t="shared" si="18"/>
        <v>0</v>
      </c>
      <c r="M62" s="26">
        <f t="shared" si="18"/>
        <v>0</v>
      </c>
      <c r="N62" s="26">
        <f t="shared" si="18"/>
        <v>0</v>
      </c>
      <c r="O62" s="26">
        <f t="shared" si="18"/>
        <v>0</v>
      </c>
      <c r="P62" s="26">
        <f t="shared" si="18"/>
        <v>0</v>
      </c>
      <c r="Q62" s="26">
        <f t="shared" si="18"/>
        <v>0</v>
      </c>
      <c r="R62" s="26">
        <f t="shared" si="18"/>
        <v>0</v>
      </c>
      <c r="S62" s="26">
        <f t="shared" si="18"/>
        <v>0</v>
      </c>
      <c r="T62" s="26">
        <f t="shared" si="18"/>
        <v>0</v>
      </c>
      <c r="U62" s="26">
        <f t="shared" si="18"/>
        <v>0</v>
      </c>
      <c r="V62" s="26">
        <f t="shared" si="18"/>
        <v>0</v>
      </c>
      <c r="W62" s="26">
        <f t="shared" si="18"/>
        <v>0</v>
      </c>
      <c r="X62" s="26">
        <f t="shared" si="18"/>
        <v>0</v>
      </c>
      <c r="Y62" s="26">
        <f t="shared" si="18"/>
        <v>0</v>
      </c>
      <c r="Z62" s="26">
        <f t="shared" si="18"/>
        <v>0</v>
      </c>
      <c r="AA62" s="26">
        <f t="shared" si="18"/>
        <v>0</v>
      </c>
      <c r="AB62" s="26">
        <f t="shared" si="18"/>
        <v>0</v>
      </c>
      <c r="AC62" s="26">
        <f t="shared" si="18"/>
        <v>0</v>
      </c>
      <c r="AD62" s="26">
        <f t="shared" si="18"/>
        <v>0</v>
      </c>
      <c r="AE62" s="26">
        <f t="shared" si="18"/>
        <v>0</v>
      </c>
      <c r="AF62" s="26">
        <f t="shared" si="18"/>
        <v>0</v>
      </c>
      <c r="AG62" s="26">
        <f t="shared" si="18"/>
        <v>0</v>
      </c>
      <c r="AH62" s="26">
        <f t="shared" si="18"/>
        <v>0</v>
      </c>
      <c r="AI62" s="26">
        <f t="shared" si="18"/>
        <v>0</v>
      </c>
      <c r="AJ62" s="26">
        <f t="shared" si="18"/>
        <v>0</v>
      </c>
      <c r="AK62" s="26">
        <f t="shared" si="18"/>
        <v>0</v>
      </c>
      <c r="AL62" s="26">
        <f t="shared" si="18"/>
        <v>0</v>
      </c>
      <c r="AM62" s="26">
        <f t="shared" si="18"/>
        <v>0</v>
      </c>
      <c r="AN62" s="26">
        <f t="shared" si="18"/>
        <v>0</v>
      </c>
      <c r="AO62" s="26">
        <f t="shared" si="18"/>
        <v>0</v>
      </c>
      <c r="AP62" s="26">
        <f t="shared" si="18"/>
        <v>0</v>
      </c>
      <c r="AQ62" s="26">
        <f t="shared" si="18"/>
        <v>0</v>
      </c>
      <c r="AR62" s="26">
        <f t="shared" si="18"/>
        <v>0</v>
      </c>
      <c r="AS62" s="26">
        <f t="shared" si="18"/>
        <v>0</v>
      </c>
      <c r="AT62" s="26">
        <f t="shared" si="18"/>
        <v>0</v>
      </c>
      <c r="AU62" s="26">
        <f t="shared" si="18"/>
        <v>0</v>
      </c>
      <c r="AV62" s="26">
        <f t="shared" si="18"/>
        <v>0</v>
      </c>
      <c r="AW62" s="26">
        <f t="shared" si="18"/>
        <v>0</v>
      </c>
      <c r="AX62" s="26">
        <f t="shared" si="18"/>
        <v>0</v>
      </c>
      <c r="AY62" s="26">
        <f t="shared" si="18"/>
        <v>0</v>
      </c>
      <c r="AZ62" s="26">
        <f t="shared" si="18"/>
        <v>0</v>
      </c>
      <c r="BA62" s="26">
        <f t="shared" si="18"/>
        <v>0</v>
      </c>
      <c r="BB62" s="26">
        <f ref="BB62:BC62" t="shared" si="19">BB9+BB10+BB13-BB14+BB21-BB22+BB41+BB42-BB45+BB46-BB47+BB48-BB52+BB53+BB56+BB57+BB58</f>
        <v>0</v>
      </c>
      <c r="BC62" s="26">
        <f t="shared" si="19"/>
        <v>0</v>
      </c>
      <c r="BD62" s="26">
        <f t="shared" si="18"/>
        <v>0</v>
      </c>
      <c r="BE62" s="51">
        <f t="shared" si="10" ca="1"/>
        <v>0</v>
      </c>
      <c r="BF62" s="52">
        <f t="shared" si="11" ca="1"/>
        <v>0</v>
      </c>
    </row>
    <row r="63">
      <c r="A63" s="91"/>
      <c r="B63" s="91" t="s">
        <v>363</v>
      </c>
      <c r="C63" s="265"/>
      <c r="D63" s="265"/>
      <c r="E63" s="265"/>
      <c r="F63" s="265"/>
      <c r="G63" s="265"/>
      <c r="H63" s="265"/>
      <c r="I63" s="265"/>
      <c r="J63" s="265"/>
      <c r="K63" s="265"/>
      <c r="L63" s="265"/>
      <c r="M63" s="265"/>
      <c r="N63" s="265"/>
      <c r="O63" s="265"/>
      <c r="P63" s="265"/>
      <c r="Q63" s="265"/>
      <c r="R63" s="265"/>
      <c r="S63" s="265"/>
      <c r="T63" s="265"/>
      <c r="U63" s="265"/>
      <c r="V63" s="265"/>
      <c r="W63" s="265"/>
      <c r="X63" s="265"/>
      <c r="Y63" s="265"/>
      <c r="Z63" s="265"/>
      <c r="AA63" s="265"/>
      <c r="AB63" s="265"/>
      <c r="AC63" s="265"/>
      <c r="AD63" s="265"/>
      <c r="AE63" s="265"/>
      <c r="AF63" s="265"/>
      <c r="AG63" s="265"/>
      <c r="AH63" s="265"/>
      <c r="AI63" s="265"/>
      <c r="AJ63" s="265"/>
      <c r="AK63" s="265"/>
      <c r="AL63" s="265"/>
      <c r="AM63" s="265"/>
      <c r="AN63" s="265"/>
      <c r="AO63" s="265"/>
      <c r="AP63" s="265"/>
      <c r="AQ63" s="265"/>
      <c r="AR63" s="265"/>
      <c r="AS63" s="265"/>
      <c r="AT63" s="265"/>
      <c r="AU63" s="265"/>
      <c r="AV63" s="265"/>
      <c r="AW63" s="265"/>
      <c r="AX63" s="265"/>
      <c r="AY63" s="265"/>
      <c r="AZ63" s="265"/>
      <c r="BA63" s="265"/>
      <c r="BB63" s="265"/>
      <c r="BC63" s="265"/>
      <c r="BD63" s="266"/>
      <c r="BE63" s="53" t="s">
        <v>266</v>
      </c>
      <c r="BF63" s="54" t="s">
        <v>267</v>
      </c>
    </row>
    <row r="64">
      <c r="A64" s="77" t="s">
        <v>364</v>
      </c>
      <c r="B64" s="78" t="s">
        <v>365</v>
      </c>
      <c r="C64" s="20">
        <f>C65+C66+C67</f>
        <v>0</v>
      </c>
      <c r="D64" s="20">
        <f>D65+D66+D67</f>
        <v>0</v>
      </c>
      <c r="E64" s="20">
        <f>E65+E66+E67</f>
        <v>0</v>
      </c>
      <c r="F64" s="20">
        <f ref="F64:BD64" t="shared" si="20">F65+F66+F67</f>
        <v>0</v>
      </c>
      <c r="G64" s="20">
        <f t="shared" si="20"/>
        <v>0</v>
      </c>
      <c r="H64" s="20">
        <f t="shared" si="20"/>
        <v>0</v>
      </c>
      <c r="I64" s="20">
        <f t="shared" si="20"/>
        <v>0</v>
      </c>
      <c r="J64" s="20">
        <f t="shared" si="20"/>
        <v>0</v>
      </c>
      <c r="K64" s="20">
        <f t="shared" si="20"/>
        <v>0</v>
      </c>
      <c r="L64" s="20">
        <f t="shared" si="20"/>
        <v>0</v>
      </c>
      <c r="M64" s="20">
        <f t="shared" si="20"/>
        <v>0</v>
      </c>
      <c r="N64" s="20">
        <f t="shared" si="20"/>
        <v>0</v>
      </c>
      <c r="O64" s="20">
        <f t="shared" si="20"/>
        <v>0</v>
      </c>
      <c r="P64" s="20">
        <f t="shared" si="20"/>
        <v>0</v>
      </c>
      <c r="Q64" s="20">
        <f t="shared" si="20"/>
        <v>0</v>
      </c>
      <c r="R64" s="20">
        <f t="shared" si="20"/>
        <v>0</v>
      </c>
      <c r="S64" s="20">
        <f t="shared" si="20"/>
        <v>0</v>
      </c>
      <c r="T64" s="20">
        <f t="shared" si="20"/>
        <v>0</v>
      </c>
      <c r="U64" s="20">
        <f t="shared" si="20"/>
        <v>0</v>
      </c>
      <c r="V64" s="20">
        <f t="shared" si="20"/>
        <v>0</v>
      </c>
      <c r="W64" s="20">
        <f t="shared" si="20"/>
        <v>0</v>
      </c>
      <c r="X64" s="20">
        <f t="shared" si="20"/>
        <v>0</v>
      </c>
      <c r="Y64" s="20">
        <f t="shared" si="20"/>
        <v>0</v>
      </c>
      <c r="Z64" s="20">
        <f t="shared" si="20"/>
        <v>0</v>
      </c>
      <c r="AA64" s="20">
        <f t="shared" si="20"/>
        <v>0</v>
      </c>
      <c r="AB64" s="20">
        <f t="shared" si="20"/>
        <v>0</v>
      </c>
      <c r="AC64" s="20">
        <f t="shared" si="20"/>
        <v>0</v>
      </c>
      <c r="AD64" s="20">
        <f t="shared" si="20"/>
        <v>0</v>
      </c>
      <c r="AE64" s="20">
        <f t="shared" si="20"/>
        <v>0</v>
      </c>
      <c r="AF64" s="20">
        <f t="shared" si="20"/>
        <v>0</v>
      </c>
      <c r="AG64" s="20">
        <f t="shared" si="20"/>
        <v>0</v>
      </c>
      <c r="AH64" s="20">
        <f t="shared" si="20"/>
        <v>0</v>
      </c>
      <c r="AI64" s="20">
        <f t="shared" si="20"/>
        <v>0</v>
      </c>
      <c r="AJ64" s="20">
        <f t="shared" si="20"/>
        <v>0</v>
      </c>
      <c r="AK64" s="20">
        <f t="shared" si="20"/>
        <v>0</v>
      </c>
      <c r="AL64" s="20">
        <f t="shared" si="20"/>
        <v>0</v>
      </c>
      <c r="AM64" s="20">
        <f t="shared" si="20"/>
        <v>0</v>
      </c>
      <c r="AN64" s="20">
        <f t="shared" si="20"/>
        <v>0</v>
      </c>
      <c r="AO64" s="20">
        <f t="shared" si="20"/>
        <v>0</v>
      </c>
      <c r="AP64" s="20">
        <f t="shared" si="20"/>
        <v>0</v>
      </c>
      <c r="AQ64" s="20">
        <f t="shared" si="20"/>
        <v>0</v>
      </c>
      <c r="AR64" s="20">
        <f t="shared" si="20"/>
        <v>0</v>
      </c>
      <c r="AS64" s="20">
        <f t="shared" si="20"/>
        <v>0</v>
      </c>
      <c r="AT64" s="20">
        <f t="shared" si="20"/>
        <v>0</v>
      </c>
      <c r="AU64" s="20">
        <f t="shared" si="20"/>
        <v>0</v>
      </c>
      <c r="AV64" s="20">
        <f t="shared" si="20"/>
        <v>0</v>
      </c>
      <c r="AW64" s="20">
        <f t="shared" si="20"/>
        <v>0</v>
      </c>
      <c r="AX64" s="20">
        <f t="shared" si="20"/>
        <v>0</v>
      </c>
      <c r="AY64" s="20">
        <f t="shared" si="20"/>
        <v>0</v>
      </c>
      <c r="AZ64" s="20">
        <f t="shared" si="20"/>
        <v>0</v>
      </c>
      <c r="BA64" s="20">
        <f t="shared" si="20"/>
        <v>0</v>
      </c>
      <c r="BB64" s="20">
        <f ref="BB64:BC64" t="shared" si="21">BB65+BB66+BB67</f>
        <v>0</v>
      </c>
      <c r="BC64" s="20">
        <f t="shared" si="21"/>
        <v>0</v>
      </c>
      <c r="BD64" s="20">
        <f t="shared" si="20"/>
        <v>0</v>
      </c>
      <c r="BE64" s="40">
        <f ref="BE64:BE96" t="shared" si="22" ca="1">D64-C64</f>
        <v>0</v>
      </c>
      <c r="BF64" s="41">
        <f ref="BF64:BF96" t="shared" si="23" ca="1">IFERROR(D64/C64-1,0)</f>
        <v>0</v>
      </c>
    </row>
    <row r="65">
      <c r="A65" s="83" t="s">
        <v>366</v>
      </c>
      <c r="B65" s="80" t="s">
        <v>40</v>
      </c>
      <c r="C65" s="119">
        <v>34570.95705</v>
      </c>
      <c r="D65" s="21">
        <f>SUM(E65:OFFSET(BE65:BE65,0,-1))</f>
        <v>0</v>
      </c>
      <c r="E65" s="119">
        <v>34416.34085</v>
      </c>
      <c r="F65" s="119">
        <v>134.0257</v>
      </c>
      <c r="G65" s="119">
        <v>20.5905</v>
      </c>
      <c r="H65" s="119"/>
      <c r="I65" s="119">
        <v>0</v>
      </c>
      <c r="J65" s="119"/>
      <c r="K65" s="119">
        <v>0</v>
      </c>
      <c r="L65" s="119"/>
      <c r="M65" s="119"/>
      <c r="N65" s="119"/>
      <c r="O65" s="119">
        <v>0</v>
      </c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42">
        <f t="shared" si="22" ca="1"/>
        <v>0</v>
      </c>
      <c r="BF65" s="43">
        <f t="shared" si="23" ca="1"/>
        <v>0</v>
      </c>
    </row>
    <row r="66">
      <c r="A66" s="83" t="s">
        <v>367</v>
      </c>
      <c r="B66" s="80" t="s">
        <v>30</v>
      </c>
      <c r="C66" s="119">
        <v>682.91382</v>
      </c>
      <c r="D66" s="21">
        <f>SUM(E66:OFFSET(BE66:BE66,0,-1))</f>
        <v>0</v>
      </c>
      <c r="E66" s="119">
        <v>124.61595</v>
      </c>
      <c r="F66" s="119">
        <v>500.15132</v>
      </c>
      <c r="G66" s="119">
        <v>58.15389</v>
      </c>
      <c r="H66" s="119"/>
      <c r="I66" s="119">
        <v>0</v>
      </c>
      <c r="J66" s="119"/>
      <c r="K66" s="119">
        <v>0</v>
      </c>
      <c r="L66" s="119"/>
      <c r="M66" s="119"/>
      <c r="N66" s="119"/>
      <c r="O66" s="119">
        <v>0</v>
      </c>
      <c r="P66" s="119"/>
      <c r="Q66" s="119"/>
      <c r="R66" s="119"/>
      <c r="S66" s="119"/>
      <c r="T66" s="119"/>
      <c r="U66" s="119"/>
      <c r="V66" s="119"/>
      <c r="W66" s="119"/>
      <c r="X66" s="119"/>
      <c r="Y66" s="119"/>
      <c r="Z66" s="119"/>
      <c r="AA66" s="119"/>
      <c r="AB66" s="119"/>
      <c r="AC66" s="119"/>
      <c r="AD66" s="119"/>
      <c r="AE66" s="119"/>
      <c r="AF66" s="119"/>
      <c r="AG66" s="119"/>
      <c r="AH66" s="119"/>
      <c r="AI66" s="119"/>
      <c r="AJ66" s="119"/>
      <c r="AK66" s="119"/>
      <c r="AL66" s="119"/>
      <c r="AM66" s="119"/>
      <c r="AN66" s="119"/>
      <c r="AO66" s="119"/>
      <c r="AP66" s="119"/>
      <c r="AQ66" s="119"/>
      <c r="AR66" s="119"/>
      <c r="AS66" s="119"/>
      <c r="AT66" s="119"/>
      <c r="AU66" s="119"/>
      <c r="AV66" s="119"/>
      <c r="AW66" s="119"/>
      <c r="AX66" s="119"/>
      <c r="AY66" s="119"/>
      <c r="AZ66" s="119"/>
      <c r="BA66" s="119"/>
      <c r="BB66" s="119"/>
      <c r="BC66" s="119"/>
      <c r="BD66" s="119"/>
      <c r="BE66" s="42">
        <f t="shared" si="22" ca="1"/>
        <v>0</v>
      </c>
      <c r="BF66" s="43">
        <f t="shared" si="23" ca="1"/>
        <v>0</v>
      </c>
    </row>
    <row r="67">
      <c r="A67" s="83" t="s">
        <v>368</v>
      </c>
      <c r="B67" s="80" t="s">
        <v>369</v>
      </c>
      <c r="C67" s="119">
        <v>2.52681</v>
      </c>
      <c r="D67" s="21">
        <f>SUM(E67:OFFSET(BE67:BE67,0,-1))</f>
        <v>0</v>
      </c>
      <c r="E67" s="119">
        <v>2.52681</v>
      </c>
      <c r="F67" s="119">
        <v>0</v>
      </c>
      <c r="G67" s="119">
        <v>0</v>
      </c>
      <c r="H67" s="119"/>
      <c r="I67" s="119">
        <v>0</v>
      </c>
      <c r="J67" s="119"/>
      <c r="K67" s="119">
        <v>0</v>
      </c>
      <c r="L67" s="119"/>
      <c r="M67" s="119"/>
      <c r="N67" s="119"/>
      <c r="O67" s="119">
        <v>0</v>
      </c>
      <c r="P67" s="119"/>
      <c r="Q67" s="119"/>
      <c r="R67" s="119"/>
      <c r="S67" s="119"/>
      <c r="T67" s="119"/>
      <c r="U67" s="119"/>
      <c r="V67" s="119"/>
      <c r="W67" s="119"/>
      <c r="X67" s="119"/>
      <c r="Y67" s="119"/>
      <c r="Z67" s="119"/>
      <c r="AA67" s="119"/>
      <c r="AB67" s="119"/>
      <c r="AC67" s="119"/>
      <c r="AD67" s="119"/>
      <c r="AE67" s="119"/>
      <c r="AF67" s="119"/>
      <c r="AG67" s="119"/>
      <c r="AH67" s="119"/>
      <c r="AI67" s="119"/>
      <c r="AJ67" s="119"/>
      <c r="AK67" s="119"/>
      <c r="AL67" s="119"/>
      <c r="AM67" s="119"/>
      <c r="AN67" s="119"/>
      <c r="AO67" s="119"/>
      <c r="AP67" s="119"/>
      <c r="AQ67" s="119"/>
      <c r="AR67" s="119"/>
      <c r="AS67" s="119"/>
      <c r="AT67" s="119"/>
      <c r="AU67" s="119"/>
      <c r="AV67" s="119"/>
      <c r="AW67" s="119"/>
      <c r="AX67" s="119"/>
      <c r="AY67" s="119"/>
      <c r="AZ67" s="119"/>
      <c r="BA67" s="119"/>
      <c r="BB67" s="119"/>
      <c r="BC67" s="119"/>
      <c r="BD67" s="119"/>
      <c r="BE67" s="42">
        <f t="shared" si="22" ca="1"/>
        <v>0</v>
      </c>
      <c r="BF67" s="43">
        <f t="shared" si="23" ca="1"/>
        <v>0</v>
      </c>
    </row>
    <row r="68">
      <c r="A68" s="77" t="s">
        <v>370</v>
      </c>
      <c r="B68" s="78" t="s">
        <v>371</v>
      </c>
      <c r="C68" s="20">
        <f>C69+C70</f>
        <v>0</v>
      </c>
      <c r="D68" s="20">
        <f ref="D68:BD68" t="shared" si="24" ca="1">D69+D70</f>
        <v>0</v>
      </c>
      <c r="E68" s="20">
        <f t="shared" si="24"/>
        <v>0</v>
      </c>
      <c r="F68" s="20">
        <f t="shared" si="24"/>
        <v>0</v>
      </c>
      <c r="G68" s="20">
        <f t="shared" si="24"/>
        <v>0</v>
      </c>
      <c r="H68" s="20">
        <f t="shared" si="24"/>
        <v>0</v>
      </c>
      <c r="I68" s="20">
        <f t="shared" si="24"/>
        <v>0</v>
      </c>
      <c r="J68" s="20">
        <f t="shared" si="24"/>
        <v>0</v>
      </c>
      <c r="K68" s="20">
        <f t="shared" si="24"/>
        <v>0</v>
      </c>
      <c r="L68" s="20">
        <f t="shared" si="24"/>
        <v>0</v>
      </c>
      <c r="M68" s="20">
        <f t="shared" si="24"/>
        <v>0</v>
      </c>
      <c r="N68" s="20">
        <f t="shared" si="24"/>
        <v>0</v>
      </c>
      <c r="O68" s="20">
        <f t="shared" si="24"/>
        <v>0</v>
      </c>
      <c r="P68" s="20">
        <f t="shared" si="24"/>
        <v>0</v>
      </c>
      <c r="Q68" s="20">
        <f t="shared" si="24"/>
        <v>0</v>
      </c>
      <c r="R68" s="20">
        <f t="shared" si="24"/>
        <v>0</v>
      </c>
      <c r="S68" s="20">
        <f t="shared" si="24"/>
        <v>0</v>
      </c>
      <c r="T68" s="20">
        <f t="shared" si="24"/>
        <v>0</v>
      </c>
      <c r="U68" s="20">
        <f t="shared" si="24"/>
        <v>0</v>
      </c>
      <c r="V68" s="20">
        <f t="shared" si="24"/>
        <v>0</v>
      </c>
      <c r="W68" s="20">
        <f t="shared" si="24"/>
        <v>0</v>
      </c>
      <c r="X68" s="20">
        <f t="shared" si="24"/>
        <v>0</v>
      </c>
      <c r="Y68" s="20">
        <f t="shared" si="24"/>
        <v>0</v>
      </c>
      <c r="Z68" s="20">
        <f t="shared" si="24"/>
        <v>0</v>
      </c>
      <c r="AA68" s="20">
        <f t="shared" si="24"/>
        <v>0</v>
      </c>
      <c r="AB68" s="20">
        <f t="shared" si="24"/>
        <v>0</v>
      </c>
      <c r="AC68" s="20">
        <f t="shared" si="24"/>
        <v>0</v>
      </c>
      <c r="AD68" s="20">
        <f t="shared" si="24"/>
        <v>0</v>
      </c>
      <c r="AE68" s="20">
        <f t="shared" si="24"/>
        <v>0</v>
      </c>
      <c r="AF68" s="20">
        <f t="shared" si="24"/>
        <v>0</v>
      </c>
      <c r="AG68" s="20">
        <f t="shared" si="24"/>
        <v>0</v>
      </c>
      <c r="AH68" s="20">
        <f t="shared" si="24"/>
        <v>0</v>
      </c>
      <c r="AI68" s="20">
        <f t="shared" si="24"/>
        <v>0</v>
      </c>
      <c r="AJ68" s="20">
        <f t="shared" si="24"/>
        <v>0</v>
      </c>
      <c r="AK68" s="20">
        <f t="shared" si="24"/>
        <v>0</v>
      </c>
      <c r="AL68" s="20">
        <f t="shared" si="24"/>
        <v>0</v>
      </c>
      <c r="AM68" s="20">
        <f t="shared" si="24"/>
        <v>0</v>
      </c>
      <c r="AN68" s="20">
        <f t="shared" si="24"/>
        <v>0</v>
      </c>
      <c r="AO68" s="20">
        <f t="shared" si="24"/>
        <v>0</v>
      </c>
      <c r="AP68" s="20">
        <f t="shared" si="24"/>
        <v>0</v>
      </c>
      <c r="AQ68" s="20">
        <f t="shared" si="24"/>
        <v>0</v>
      </c>
      <c r="AR68" s="20">
        <f t="shared" si="24"/>
        <v>0</v>
      </c>
      <c r="AS68" s="20">
        <f t="shared" si="24"/>
        <v>0</v>
      </c>
      <c r="AT68" s="20">
        <f t="shared" si="24"/>
        <v>0</v>
      </c>
      <c r="AU68" s="20">
        <f t="shared" si="24"/>
        <v>0</v>
      </c>
      <c r="AV68" s="20">
        <f t="shared" si="24"/>
        <v>0</v>
      </c>
      <c r="AW68" s="20">
        <f t="shared" si="24"/>
        <v>0</v>
      </c>
      <c r="AX68" s="20">
        <f t="shared" si="24"/>
        <v>0</v>
      </c>
      <c r="AY68" s="20">
        <f t="shared" si="24"/>
        <v>0</v>
      </c>
      <c r="AZ68" s="20">
        <f t="shared" si="24"/>
        <v>0</v>
      </c>
      <c r="BA68" s="20">
        <f t="shared" si="24"/>
        <v>0</v>
      </c>
      <c r="BB68" s="20">
        <f ref="BB68:BC68" t="shared" si="25">BB69+BB70</f>
        <v>0</v>
      </c>
      <c r="BC68" s="20">
        <f t="shared" si="25"/>
        <v>0</v>
      </c>
      <c r="BD68" s="20">
        <f t="shared" si="24"/>
        <v>0</v>
      </c>
      <c r="BE68" s="40">
        <f t="shared" si="22" ca="1"/>
        <v>0</v>
      </c>
      <c r="BF68" s="41">
        <f t="shared" si="23" ca="1"/>
        <v>0</v>
      </c>
    </row>
    <row r="69">
      <c r="A69" s="83" t="s">
        <v>372</v>
      </c>
      <c r="B69" s="80" t="s">
        <v>40</v>
      </c>
      <c r="C69" s="119"/>
      <c r="D69" s="21">
        <f>SUM(E69:OFFSET(BE69:BE69,0,-1))</f>
        <v>0</v>
      </c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  <c r="W69" s="119"/>
      <c r="X69" s="119"/>
      <c r="Y69" s="119"/>
      <c r="Z69" s="119"/>
      <c r="AA69" s="119"/>
      <c r="AB69" s="119"/>
      <c r="AC69" s="119"/>
      <c r="AD69" s="119"/>
      <c r="AE69" s="119"/>
      <c r="AF69" s="119"/>
      <c r="AG69" s="119"/>
      <c r="AH69" s="119"/>
      <c r="AI69" s="119"/>
      <c r="AJ69" s="119"/>
      <c r="AK69" s="119"/>
      <c r="AL69" s="119"/>
      <c r="AM69" s="119"/>
      <c r="AN69" s="119"/>
      <c r="AO69" s="119"/>
      <c r="AP69" s="119"/>
      <c r="AQ69" s="119"/>
      <c r="AR69" s="119"/>
      <c r="AS69" s="119"/>
      <c r="AT69" s="119"/>
      <c r="AU69" s="119"/>
      <c r="AV69" s="119"/>
      <c r="AW69" s="119"/>
      <c r="AX69" s="119"/>
      <c r="AY69" s="119"/>
      <c r="AZ69" s="119"/>
      <c r="BA69" s="119"/>
      <c r="BB69" s="119"/>
      <c r="BC69" s="119"/>
      <c r="BD69" s="119"/>
      <c r="BE69" s="42">
        <f t="shared" si="22" ca="1"/>
        <v>0</v>
      </c>
      <c r="BF69" s="43">
        <f t="shared" si="23" ca="1"/>
        <v>0</v>
      </c>
    </row>
    <row r="70">
      <c r="A70" s="83" t="s">
        <v>373</v>
      </c>
      <c r="B70" s="80" t="s">
        <v>30</v>
      </c>
      <c r="C70" s="119">
        <v>0</v>
      </c>
      <c r="D70" s="21">
        <f>SUM(E70:OFFSET(BE70:BE70,0,-1))</f>
        <v>0</v>
      </c>
      <c r="E70" s="119">
        <v>0</v>
      </c>
      <c r="F70" s="119">
        <v>0</v>
      </c>
      <c r="G70" s="119">
        <v>0</v>
      </c>
      <c r="H70" s="119"/>
      <c r="I70" s="119">
        <v>0</v>
      </c>
      <c r="J70" s="119"/>
      <c r="K70" s="119">
        <v>0</v>
      </c>
      <c r="L70" s="119"/>
      <c r="M70" s="119"/>
      <c r="N70" s="119"/>
      <c r="O70" s="119">
        <v>0</v>
      </c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  <c r="AA70" s="119"/>
      <c r="AB70" s="119"/>
      <c r="AC70" s="119"/>
      <c r="AD70" s="119"/>
      <c r="AE70" s="119"/>
      <c r="AF70" s="119"/>
      <c r="AG70" s="119"/>
      <c r="AH70" s="119"/>
      <c r="AI70" s="119"/>
      <c r="AJ70" s="119"/>
      <c r="AK70" s="119"/>
      <c r="AL70" s="119"/>
      <c r="AM70" s="119"/>
      <c r="AN70" s="119"/>
      <c r="AO70" s="119"/>
      <c r="AP70" s="119"/>
      <c r="AQ70" s="119"/>
      <c r="AR70" s="119"/>
      <c r="AS70" s="119"/>
      <c r="AT70" s="119"/>
      <c r="AU70" s="119"/>
      <c r="AV70" s="119"/>
      <c r="AW70" s="119"/>
      <c r="AX70" s="119"/>
      <c r="AY70" s="119"/>
      <c r="AZ70" s="119"/>
      <c r="BA70" s="119"/>
      <c r="BB70" s="119"/>
      <c r="BC70" s="119"/>
      <c r="BD70" s="119"/>
      <c r="BE70" s="42">
        <f t="shared" si="22" ca="1"/>
        <v>0</v>
      </c>
      <c r="BF70" s="43">
        <f t="shared" si="23" ca="1"/>
        <v>0</v>
      </c>
    </row>
    <row r="71" s="5" customFormat="1">
      <c r="A71" s="77" t="s">
        <v>374</v>
      </c>
      <c r="B71" s="78" t="s">
        <v>375</v>
      </c>
      <c r="C71" s="189"/>
      <c r="D71" s="20">
        <f>SUM(E71:OFFSET(BE71:BE71,0,-1))</f>
        <v>0</v>
      </c>
      <c r="E71" s="189"/>
      <c r="F71" s="189"/>
      <c r="G71" s="189"/>
      <c r="H71" s="189"/>
      <c r="I71" s="189"/>
      <c r="J71" s="189"/>
      <c r="K71" s="189"/>
      <c r="L71" s="189"/>
      <c r="M71" s="189"/>
      <c r="N71" s="189"/>
      <c r="O71" s="189"/>
      <c r="P71" s="189"/>
      <c r="Q71" s="189"/>
      <c r="R71" s="189"/>
      <c r="S71" s="189"/>
      <c r="T71" s="189"/>
      <c r="U71" s="189"/>
      <c r="V71" s="189"/>
      <c r="W71" s="189"/>
      <c r="X71" s="189"/>
      <c r="Y71" s="189"/>
      <c r="Z71" s="189"/>
      <c r="AA71" s="189"/>
      <c r="AB71" s="189"/>
      <c r="AC71" s="189"/>
      <c r="AD71" s="189"/>
      <c r="AE71" s="189"/>
      <c r="AF71" s="189"/>
      <c r="AG71" s="189"/>
      <c r="AH71" s="189"/>
      <c r="AI71" s="189"/>
      <c r="AJ71" s="189"/>
      <c r="AK71" s="189"/>
      <c r="AL71" s="189"/>
      <c r="AM71" s="189"/>
      <c r="AN71" s="189"/>
      <c r="AO71" s="189"/>
      <c r="AP71" s="189"/>
      <c r="AQ71" s="189"/>
      <c r="AR71" s="189"/>
      <c r="AS71" s="189"/>
      <c r="AT71" s="189"/>
      <c r="AU71" s="189"/>
      <c r="AV71" s="189"/>
      <c r="AW71" s="189"/>
      <c r="AX71" s="189"/>
      <c r="AY71" s="189"/>
      <c r="AZ71" s="189"/>
      <c r="BA71" s="189"/>
      <c r="BB71" s="189"/>
      <c r="BC71" s="189"/>
      <c r="BD71" s="189"/>
      <c r="BE71" s="40">
        <f t="shared" si="22" ca="1"/>
        <v>0</v>
      </c>
      <c r="BF71" s="41">
        <f t="shared" si="23" ca="1"/>
        <v>0</v>
      </c>
    </row>
    <row r="72">
      <c r="A72" s="77" t="s">
        <v>376</v>
      </c>
      <c r="B72" s="78" t="s">
        <v>377</v>
      </c>
      <c r="C72" s="20">
        <f>C73+C74</f>
        <v>0</v>
      </c>
      <c r="D72" s="20">
        <f>SUM(E72:OFFSET(BE72:BE72,0,-1))</f>
        <v>0</v>
      </c>
      <c r="E72" s="20">
        <f>E73+E74</f>
        <v>0</v>
      </c>
      <c r="F72" s="20">
        <f ref="F72:BC72" t="shared" si="26">F73+F74</f>
        <v>0</v>
      </c>
      <c r="G72" s="20">
        <f t="shared" si="26"/>
        <v>0</v>
      </c>
      <c r="H72" s="20">
        <f t="shared" si="26"/>
        <v>0</v>
      </c>
      <c r="I72" s="20">
        <f t="shared" si="26"/>
        <v>0</v>
      </c>
      <c r="J72" s="20">
        <f t="shared" si="26"/>
        <v>0</v>
      </c>
      <c r="K72" s="20">
        <f t="shared" si="26"/>
        <v>0</v>
      </c>
      <c r="L72" s="20">
        <f t="shared" si="26"/>
        <v>0</v>
      </c>
      <c r="M72" s="20">
        <f t="shared" si="26"/>
        <v>0</v>
      </c>
      <c r="N72" s="20">
        <f t="shared" si="26"/>
        <v>0</v>
      </c>
      <c r="O72" s="20">
        <f t="shared" si="26"/>
        <v>0</v>
      </c>
      <c r="P72" s="20">
        <f t="shared" si="26"/>
        <v>0</v>
      </c>
      <c r="Q72" s="20">
        <f t="shared" si="26"/>
        <v>0</v>
      </c>
      <c r="R72" s="20">
        <f t="shared" si="26"/>
        <v>0</v>
      </c>
      <c r="S72" s="20">
        <f t="shared" si="26"/>
        <v>0</v>
      </c>
      <c r="T72" s="20">
        <f t="shared" si="26"/>
        <v>0</v>
      </c>
      <c r="U72" s="20">
        <f t="shared" si="26"/>
        <v>0</v>
      </c>
      <c r="V72" s="20">
        <f t="shared" si="26"/>
        <v>0</v>
      </c>
      <c r="W72" s="20">
        <f t="shared" si="26"/>
        <v>0</v>
      </c>
      <c r="X72" s="20">
        <f t="shared" si="26"/>
        <v>0</v>
      </c>
      <c r="Y72" s="20">
        <f t="shared" si="26"/>
        <v>0</v>
      </c>
      <c r="Z72" s="20">
        <f t="shared" si="26"/>
        <v>0</v>
      </c>
      <c r="AA72" s="20">
        <f t="shared" si="26"/>
        <v>0</v>
      </c>
      <c r="AB72" s="20">
        <f t="shared" si="26"/>
        <v>0</v>
      </c>
      <c r="AC72" s="20">
        <f t="shared" si="26"/>
        <v>0</v>
      </c>
      <c r="AD72" s="20">
        <f t="shared" si="26"/>
        <v>0</v>
      </c>
      <c r="AE72" s="20">
        <f t="shared" si="26"/>
        <v>0</v>
      </c>
      <c r="AF72" s="20">
        <f t="shared" si="26"/>
        <v>0</v>
      </c>
      <c r="AG72" s="20">
        <f t="shared" si="26"/>
        <v>0</v>
      </c>
      <c r="AH72" s="20">
        <f t="shared" si="26"/>
        <v>0</v>
      </c>
      <c r="AI72" s="20">
        <f t="shared" si="26"/>
        <v>0</v>
      </c>
      <c r="AJ72" s="20">
        <f t="shared" si="26"/>
        <v>0</v>
      </c>
      <c r="AK72" s="20">
        <f t="shared" si="26"/>
        <v>0</v>
      </c>
      <c r="AL72" s="20">
        <f t="shared" si="26"/>
        <v>0</v>
      </c>
      <c r="AM72" s="20">
        <f t="shared" si="26"/>
        <v>0</v>
      </c>
      <c r="AN72" s="20">
        <f t="shared" si="26"/>
        <v>0</v>
      </c>
      <c r="AO72" s="20">
        <f t="shared" si="26"/>
        <v>0</v>
      </c>
      <c r="AP72" s="20">
        <f t="shared" si="26"/>
        <v>0</v>
      </c>
      <c r="AQ72" s="20">
        <f t="shared" si="26"/>
        <v>0</v>
      </c>
      <c r="AR72" s="20">
        <f t="shared" si="26"/>
        <v>0</v>
      </c>
      <c r="AS72" s="20">
        <f t="shared" si="26"/>
        <v>0</v>
      </c>
      <c r="AT72" s="20">
        <f t="shared" si="26"/>
        <v>0</v>
      </c>
      <c r="AU72" s="20">
        <f t="shared" si="26"/>
        <v>0</v>
      </c>
      <c r="AV72" s="20">
        <f t="shared" si="26"/>
        <v>0</v>
      </c>
      <c r="AW72" s="20">
        <f t="shared" si="26"/>
        <v>0</v>
      </c>
      <c r="AX72" s="20">
        <f t="shared" si="26"/>
        <v>0</v>
      </c>
      <c r="AY72" s="20">
        <f t="shared" si="26"/>
        <v>0</v>
      </c>
      <c r="AZ72" s="20">
        <f t="shared" si="26"/>
        <v>0</v>
      </c>
      <c r="BA72" s="20">
        <f t="shared" si="26"/>
        <v>0</v>
      </c>
      <c r="BB72" s="20">
        <f t="shared" si="26"/>
        <v>0</v>
      </c>
      <c r="BC72" s="20">
        <f t="shared" si="26"/>
        <v>0</v>
      </c>
      <c r="BD72" s="20">
        <f>BD73+BD74</f>
        <v>0</v>
      </c>
      <c r="BE72" s="40">
        <f t="shared" si="22" ca="1"/>
        <v>0</v>
      </c>
      <c r="BF72" s="41">
        <f t="shared" si="23" ca="1"/>
        <v>0</v>
      </c>
    </row>
    <row r="73">
      <c r="A73" s="83" t="s">
        <v>378</v>
      </c>
      <c r="B73" s="80" t="s">
        <v>281</v>
      </c>
      <c r="C73" s="119">
        <v>1.84345</v>
      </c>
      <c r="D73" s="21">
        <f>SUM(E73:OFFSET(BE73:BE73,0,-1))</f>
        <v>0</v>
      </c>
      <c r="E73" s="119">
        <v>0</v>
      </c>
      <c r="F73" s="119">
        <v>1.64312</v>
      </c>
      <c r="G73" s="119">
        <v>0.20033</v>
      </c>
      <c r="H73" s="119"/>
      <c r="I73" s="119">
        <v>0</v>
      </c>
      <c r="J73" s="119"/>
      <c r="K73" s="119">
        <v>0</v>
      </c>
      <c r="L73" s="119"/>
      <c r="M73" s="119"/>
      <c r="N73" s="119"/>
      <c r="O73" s="119">
        <v>0</v>
      </c>
      <c r="P73" s="119"/>
      <c r="Q73" s="119"/>
      <c r="R73" s="119"/>
      <c r="S73" s="119"/>
      <c r="T73" s="119"/>
      <c r="U73" s="119"/>
      <c r="V73" s="119"/>
      <c r="W73" s="119"/>
      <c r="X73" s="119"/>
      <c r="Y73" s="119"/>
      <c r="Z73" s="119"/>
      <c r="AA73" s="119"/>
      <c r="AB73" s="119"/>
      <c r="AC73" s="119"/>
      <c r="AD73" s="119"/>
      <c r="AE73" s="119"/>
      <c r="AF73" s="119"/>
      <c r="AG73" s="119"/>
      <c r="AH73" s="119"/>
      <c r="AI73" s="119"/>
      <c r="AJ73" s="119"/>
      <c r="AK73" s="119"/>
      <c r="AL73" s="119"/>
      <c r="AM73" s="119"/>
      <c r="AN73" s="119"/>
      <c r="AO73" s="119"/>
      <c r="AP73" s="119"/>
      <c r="AQ73" s="119"/>
      <c r="AR73" s="119"/>
      <c r="AS73" s="119"/>
      <c r="AT73" s="119"/>
      <c r="AU73" s="119"/>
      <c r="AV73" s="119"/>
      <c r="AW73" s="119"/>
      <c r="AX73" s="119"/>
      <c r="AY73" s="119"/>
      <c r="AZ73" s="119"/>
      <c r="BA73" s="119"/>
      <c r="BB73" s="119"/>
      <c r="BC73" s="119"/>
      <c r="BD73" s="119"/>
      <c r="BE73" s="42">
        <f t="shared" si="22" ca="1"/>
        <v>0</v>
      </c>
      <c r="BF73" s="43">
        <f t="shared" si="23" ca="1"/>
        <v>0</v>
      </c>
    </row>
    <row r="74">
      <c r="A74" s="83" t="s">
        <v>379</v>
      </c>
      <c r="B74" s="80" t="s">
        <v>286</v>
      </c>
      <c r="C74" s="119">
        <v>17103.41535</v>
      </c>
      <c r="D74" s="21">
        <f>SUM(E74:OFFSET(BE74:BE74,0,-1))</f>
        <v>0</v>
      </c>
      <c r="E74" s="119">
        <v>0</v>
      </c>
      <c r="F74" s="119">
        <v>2995.57621</v>
      </c>
      <c r="G74" s="119">
        <v>14107.83914</v>
      </c>
      <c r="H74" s="119"/>
      <c r="I74" s="119">
        <v>0</v>
      </c>
      <c r="J74" s="119"/>
      <c r="K74" s="119">
        <v>0</v>
      </c>
      <c r="L74" s="119"/>
      <c r="M74" s="119"/>
      <c r="N74" s="119"/>
      <c r="O74" s="119">
        <v>0</v>
      </c>
      <c r="P74" s="119"/>
      <c r="Q74" s="119"/>
      <c r="R74" s="119"/>
      <c r="S74" s="119"/>
      <c r="T74" s="119"/>
      <c r="U74" s="119"/>
      <c r="V74" s="119"/>
      <c r="W74" s="119"/>
      <c r="X74" s="119"/>
      <c r="Y74" s="119"/>
      <c r="Z74" s="119"/>
      <c r="AA74" s="119"/>
      <c r="AB74" s="119"/>
      <c r="AC74" s="119"/>
      <c r="AD74" s="119"/>
      <c r="AE74" s="119"/>
      <c r="AF74" s="119"/>
      <c r="AG74" s="119"/>
      <c r="AH74" s="119"/>
      <c r="AI74" s="119"/>
      <c r="AJ74" s="119"/>
      <c r="AK74" s="119"/>
      <c r="AL74" s="119"/>
      <c r="AM74" s="119"/>
      <c r="AN74" s="119"/>
      <c r="AO74" s="119"/>
      <c r="AP74" s="119"/>
      <c r="AQ74" s="119"/>
      <c r="AR74" s="119"/>
      <c r="AS74" s="119"/>
      <c r="AT74" s="119"/>
      <c r="AU74" s="119"/>
      <c r="AV74" s="119"/>
      <c r="AW74" s="119"/>
      <c r="AX74" s="119"/>
      <c r="AY74" s="119"/>
      <c r="AZ74" s="119"/>
      <c r="BA74" s="119"/>
      <c r="BB74" s="119"/>
      <c r="BC74" s="119"/>
      <c r="BD74" s="119"/>
      <c r="BE74" s="42">
        <f t="shared" si="22" ca="1"/>
        <v>0</v>
      </c>
      <c r="BF74" s="43">
        <f t="shared" si="23" ca="1"/>
        <v>0</v>
      </c>
    </row>
    <row r="75" ht="28.5">
      <c r="A75" s="77" t="s">
        <v>380</v>
      </c>
      <c r="B75" s="78" t="s">
        <v>381</v>
      </c>
      <c r="C75" s="20">
        <f>C76+C78</f>
        <v>0</v>
      </c>
      <c r="D75" s="20">
        <f>SUM(E75:OFFSET(BE75:BE75,0,-1))</f>
        <v>0</v>
      </c>
      <c r="E75" s="20">
        <f ref="E75:BD75" t="shared" si="27">E76+E78</f>
        <v>0</v>
      </c>
      <c r="F75" s="20">
        <f t="shared" si="27"/>
        <v>0</v>
      </c>
      <c r="G75" s="20">
        <f t="shared" si="27"/>
        <v>0</v>
      </c>
      <c r="H75" s="20">
        <f t="shared" si="27"/>
        <v>0</v>
      </c>
      <c r="I75" s="20">
        <f t="shared" si="27"/>
        <v>0</v>
      </c>
      <c r="J75" s="20">
        <f t="shared" si="27"/>
        <v>0</v>
      </c>
      <c r="K75" s="20">
        <f t="shared" si="27"/>
        <v>0</v>
      </c>
      <c r="L75" s="20">
        <f t="shared" si="27"/>
        <v>0</v>
      </c>
      <c r="M75" s="20">
        <f t="shared" si="27"/>
        <v>0</v>
      </c>
      <c r="N75" s="20">
        <f t="shared" si="27"/>
        <v>0</v>
      </c>
      <c r="O75" s="20">
        <f t="shared" si="27"/>
        <v>0</v>
      </c>
      <c r="P75" s="20">
        <f t="shared" si="27"/>
        <v>0</v>
      </c>
      <c r="Q75" s="20">
        <f t="shared" si="27"/>
        <v>0</v>
      </c>
      <c r="R75" s="20">
        <f t="shared" si="27"/>
        <v>0</v>
      </c>
      <c r="S75" s="20">
        <f t="shared" si="27"/>
        <v>0</v>
      </c>
      <c r="T75" s="20">
        <f t="shared" si="27"/>
        <v>0</v>
      </c>
      <c r="U75" s="20">
        <f t="shared" si="27"/>
        <v>0</v>
      </c>
      <c r="V75" s="20">
        <f t="shared" si="27"/>
        <v>0</v>
      </c>
      <c r="W75" s="20">
        <f t="shared" si="27"/>
        <v>0</v>
      </c>
      <c r="X75" s="20">
        <f t="shared" si="27"/>
        <v>0</v>
      </c>
      <c r="Y75" s="20">
        <f t="shared" si="27"/>
        <v>0</v>
      </c>
      <c r="Z75" s="20">
        <f t="shared" si="27"/>
        <v>0</v>
      </c>
      <c r="AA75" s="20">
        <f t="shared" si="27"/>
        <v>0</v>
      </c>
      <c r="AB75" s="20">
        <f t="shared" si="27"/>
        <v>0</v>
      </c>
      <c r="AC75" s="20">
        <f t="shared" si="27"/>
        <v>0</v>
      </c>
      <c r="AD75" s="20">
        <f t="shared" si="27"/>
        <v>0</v>
      </c>
      <c r="AE75" s="20">
        <f t="shared" si="27"/>
        <v>0</v>
      </c>
      <c r="AF75" s="20">
        <f t="shared" si="27"/>
        <v>0</v>
      </c>
      <c r="AG75" s="20">
        <f t="shared" si="27"/>
        <v>0</v>
      </c>
      <c r="AH75" s="20">
        <f t="shared" si="27"/>
        <v>0</v>
      </c>
      <c r="AI75" s="20">
        <f t="shared" si="27"/>
        <v>0</v>
      </c>
      <c r="AJ75" s="20">
        <f t="shared" si="27"/>
        <v>0</v>
      </c>
      <c r="AK75" s="20">
        <f t="shared" si="27"/>
        <v>0</v>
      </c>
      <c r="AL75" s="20">
        <f t="shared" si="27"/>
        <v>0</v>
      </c>
      <c r="AM75" s="20">
        <f t="shared" si="27"/>
        <v>0</v>
      </c>
      <c r="AN75" s="20">
        <f t="shared" si="27"/>
        <v>0</v>
      </c>
      <c r="AO75" s="20">
        <f t="shared" si="27"/>
        <v>0</v>
      </c>
      <c r="AP75" s="20">
        <f t="shared" si="27"/>
        <v>0</v>
      </c>
      <c r="AQ75" s="20">
        <f t="shared" si="27"/>
        <v>0</v>
      </c>
      <c r="AR75" s="20">
        <f t="shared" si="27"/>
        <v>0</v>
      </c>
      <c r="AS75" s="20">
        <f t="shared" si="27"/>
        <v>0</v>
      </c>
      <c r="AT75" s="20">
        <f t="shared" si="27"/>
        <v>0</v>
      </c>
      <c r="AU75" s="20">
        <f t="shared" si="27"/>
        <v>0</v>
      </c>
      <c r="AV75" s="20">
        <f t="shared" si="27"/>
        <v>0</v>
      </c>
      <c r="AW75" s="20">
        <f t="shared" si="27"/>
        <v>0</v>
      </c>
      <c r="AX75" s="20">
        <f t="shared" si="27"/>
        <v>0</v>
      </c>
      <c r="AY75" s="20">
        <f t="shared" si="27"/>
        <v>0</v>
      </c>
      <c r="AZ75" s="20">
        <f t="shared" si="27"/>
        <v>0</v>
      </c>
      <c r="BA75" s="20">
        <f t="shared" si="27"/>
        <v>0</v>
      </c>
      <c r="BB75" s="20">
        <f ref="BB75:BC75" t="shared" si="28">BB76+BB78</f>
        <v>0</v>
      </c>
      <c r="BC75" s="20">
        <f t="shared" si="28"/>
        <v>0</v>
      </c>
      <c r="BD75" s="20">
        <f t="shared" si="27"/>
        <v>0</v>
      </c>
      <c r="BE75" s="40">
        <f t="shared" si="22" ca="1"/>
        <v>0</v>
      </c>
      <c r="BF75" s="41">
        <f t="shared" si="23" ca="1"/>
        <v>0</v>
      </c>
    </row>
    <row r="76">
      <c r="A76" s="83" t="s">
        <v>382</v>
      </c>
      <c r="B76" s="80" t="s">
        <v>383</v>
      </c>
      <c r="C76" s="119">
        <v>16723.8</v>
      </c>
      <c r="D76" s="21">
        <f>SUM(E76:OFFSET(BE76:BE76,0,-1))</f>
        <v>0</v>
      </c>
      <c r="E76" s="119">
        <v>0</v>
      </c>
      <c r="F76" s="119">
        <v>0</v>
      </c>
      <c r="G76" s="119">
        <v>16723.8</v>
      </c>
      <c r="H76" s="119"/>
      <c r="I76" s="119">
        <v>0</v>
      </c>
      <c r="J76" s="119"/>
      <c r="K76" s="119">
        <v>0</v>
      </c>
      <c r="L76" s="119"/>
      <c r="M76" s="119"/>
      <c r="N76" s="119"/>
      <c r="O76" s="119">
        <v>0</v>
      </c>
      <c r="P76" s="119"/>
      <c r="Q76" s="119"/>
      <c r="R76" s="119"/>
      <c r="S76" s="119"/>
      <c r="T76" s="119"/>
      <c r="U76" s="119"/>
      <c r="V76" s="119"/>
      <c r="W76" s="119"/>
      <c r="X76" s="119"/>
      <c r="Y76" s="119"/>
      <c r="Z76" s="119"/>
      <c r="AA76" s="119"/>
      <c r="AB76" s="119"/>
      <c r="AC76" s="119"/>
      <c r="AD76" s="119"/>
      <c r="AE76" s="119"/>
      <c r="AF76" s="119"/>
      <c r="AG76" s="119"/>
      <c r="AH76" s="119"/>
      <c r="AI76" s="119"/>
      <c r="AJ76" s="119"/>
      <c r="AK76" s="119"/>
      <c r="AL76" s="119"/>
      <c r="AM76" s="119"/>
      <c r="AN76" s="119"/>
      <c r="AO76" s="119"/>
      <c r="AP76" s="119"/>
      <c r="AQ76" s="119"/>
      <c r="AR76" s="119"/>
      <c r="AS76" s="119"/>
      <c r="AT76" s="119"/>
      <c r="AU76" s="119"/>
      <c r="AV76" s="119"/>
      <c r="AW76" s="119"/>
      <c r="AX76" s="119"/>
      <c r="AY76" s="119"/>
      <c r="AZ76" s="119"/>
      <c r="BA76" s="119"/>
      <c r="BB76" s="119"/>
      <c r="BC76" s="119"/>
      <c r="BD76" s="119"/>
      <c r="BE76" s="42">
        <f t="shared" si="22" ca="1"/>
        <v>0</v>
      </c>
      <c r="BF76" s="43">
        <f t="shared" si="23" ca="1"/>
        <v>0</v>
      </c>
    </row>
    <row r="77" s="6" customFormat="1">
      <c r="A77" s="92" t="s">
        <v>384</v>
      </c>
      <c r="B77" s="93" t="s">
        <v>385</v>
      </c>
      <c r="C77" s="123">
        <v>16723.8</v>
      </c>
      <c r="D77" s="27">
        <f>SUM(E77:OFFSET(BE77:BE77,0,-1))</f>
        <v>0</v>
      </c>
      <c r="E77" s="123">
        <v>0</v>
      </c>
      <c r="F77" s="123">
        <v>0</v>
      </c>
      <c r="G77" s="123">
        <v>16723.8</v>
      </c>
      <c r="H77" s="123"/>
      <c r="I77" s="123">
        <v>0</v>
      </c>
      <c r="J77" s="123"/>
      <c r="K77" s="123">
        <v>0</v>
      </c>
      <c r="L77" s="123"/>
      <c r="M77" s="123"/>
      <c r="N77" s="123"/>
      <c r="O77" s="123">
        <v>0</v>
      </c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L77" s="123"/>
      <c r="AM77" s="123"/>
      <c r="AN77" s="123"/>
      <c r="AO77" s="123"/>
      <c r="AP77" s="123"/>
      <c r="AQ77" s="123"/>
      <c r="AR77" s="123"/>
      <c r="AS77" s="123"/>
      <c r="AT77" s="123"/>
      <c r="AU77" s="123"/>
      <c r="AV77" s="123"/>
      <c r="AW77" s="123"/>
      <c r="AX77" s="123"/>
      <c r="AY77" s="123"/>
      <c r="AZ77" s="123"/>
      <c r="BA77" s="123"/>
      <c r="BB77" s="123"/>
      <c r="BC77" s="123"/>
      <c r="BD77" s="123"/>
      <c r="BE77" s="55">
        <f t="shared" si="22" ca="1"/>
        <v>0</v>
      </c>
      <c r="BF77" s="56">
        <f t="shared" si="23" ca="1"/>
        <v>0</v>
      </c>
    </row>
    <row r="78" ht="30">
      <c r="A78" s="83" t="s">
        <v>386</v>
      </c>
      <c r="B78" s="80" t="s">
        <v>387</v>
      </c>
      <c r="C78" s="119"/>
      <c r="D78" s="21">
        <f>SUM(E78:OFFSET(BE78:BE78,0,-1))</f>
        <v>0</v>
      </c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  <c r="W78" s="119"/>
      <c r="X78" s="119"/>
      <c r="Y78" s="119"/>
      <c r="Z78" s="119"/>
      <c r="AA78" s="119"/>
      <c r="AB78" s="119"/>
      <c r="AC78" s="119"/>
      <c r="AD78" s="119"/>
      <c r="AE78" s="119"/>
      <c r="AF78" s="119"/>
      <c r="AG78" s="119"/>
      <c r="AH78" s="119"/>
      <c r="AI78" s="119"/>
      <c r="AJ78" s="119"/>
      <c r="AK78" s="119"/>
      <c r="AL78" s="119"/>
      <c r="AM78" s="119"/>
      <c r="AN78" s="119"/>
      <c r="AO78" s="119"/>
      <c r="AP78" s="119"/>
      <c r="AQ78" s="119"/>
      <c r="AR78" s="119"/>
      <c r="AS78" s="119"/>
      <c r="AT78" s="119"/>
      <c r="AU78" s="119"/>
      <c r="AV78" s="119"/>
      <c r="AW78" s="119"/>
      <c r="AX78" s="119"/>
      <c r="AY78" s="119"/>
      <c r="AZ78" s="119"/>
      <c r="BA78" s="119"/>
      <c r="BB78" s="119"/>
      <c r="BC78" s="119"/>
      <c r="BD78" s="119"/>
      <c r="BE78" s="42">
        <f t="shared" si="22" ca="1"/>
        <v>0</v>
      </c>
      <c r="BF78" s="43">
        <f t="shared" si="23" ca="1"/>
        <v>0</v>
      </c>
    </row>
    <row r="79" s="6" customFormat="1">
      <c r="A79" s="92" t="s">
        <v>388</v>
      </c>
      <c r="B79" s="93" t="s">
        <v>385</v>
      </c>
      <c r="C79" s="123"/>
      <c r="D79" s="27">
        <f>SUM(E79:OFFSET(BE79:BE79,0,-1))</f>
        <v>0</v>
      </c>
      <c r="E79" s="123"/>
      <c r="F79" s="123"/>
      <c r="G79" s="123"/>
      <c r="H79" s="123"/>
      <c r="I79" s="123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L79" s="123"/>
      <c r="AM79" s="123"/>
      <c r="AN79" s="123"/>
      <c r="AO79" s="123"/>
      <c r="AP79" s="123"/>
      <c r="AQ79" s="123"/>
      <c r="AR79" s="123"/>
      <c r="AS79" s="123"/>
      <c r="AT79" s="123"/>
      <c r="AU79" s="123"/>
      <c r="AV79" s="123"/>
      <c r="AW79" s="123"/>
      <c r="AX79" s="123"/>
      <c r="AY79" s="123"/>
      <c r="AZ79" s="123"/>
      <c r="BA79" s="123"/>
      <c r="BB79" s="123"/>
      <c r="BC79" s="123"/>
      <c r="BD79" s="123"/>
      <c r="BE79" s="55">
        <f t="shared" si="22" ca="1"/>
        <v>0</v>
      </c>
      <c r="BF79" s="56">
        <f t="shared" si="23" ca="1"/>
        <v>0</v>
      </c>
    </row>
    <row r="80" ht="28.5" s="6" customFormat="1">
      <c r="A80" s="94" t="s">
        <v>389</v>
      </c>
      <c r="B80" s="95" t="s">
        <v>390</v>
      </c>
      <c r="C80" s="123"/>
      <c r="D80" s="27">
        <f>SUM(E80:OFFSET(BE80:BE80,0,-1))</f>
        <v>0</v>
      </c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L80" s="123"/>
      <c r="AM80" s="123"/>
      <c r="AN80" s="123"/>
      <c r="AO80" s="123"/>
      <c r="AP80" s="123"/>
      <c r="AQ80" s="123"/>
      <c r="AR80" s="123"/>
      <c r="AS80" s="123"/>
      <c r="AT80" s="123"/>
      <c r="AU80" s="123"/>
      <c r="AV80" s="123"/>
      <c r="AW80" s="123"/>
      <c r="AX80" s="123"/>
      <c r="AY80" s="123"/>
      <c r="AZ80" s="123"/>
      <c r="BA80" s="123"/>
      <c r="BB80" s="123"/>
      <c r="BC80" s="123"/>
      <c r="BD80" s="123"/>
      <c r="BE80" s="55">
        <f t="shared" si="22" ca="1"/>
        <v>0</v>
      </c>
      <c r="BF80" s="56">
        <f t="shared" si="23" ca="1"/>
        <v>0</v>
      </c>
    </row>
    <row r="81" ht="30.75" customHeight="1" s="6" customFormat="1">
      <c r="A81" s="77" t="s">
        <v>391</v>
      </c>
      <c r="B81" s="78" t="s">
        <v>392</v>
      </c>
      <c r="C81" s="20">
        <f>C82+C83+C84+C85</f>
        <v>0</v>
      </c>
      <c r="D81" s="20">
        <f>SUM(E81:OFFSET(BE81:BE81,0,-1))</f>
        <v>0</v>
      </c>
      <c r="E81" s="20">
        <f>E82+E83+E84+E85</f>
        <v>0</v>
      </c>
      <c r="F81" s="20">
        <f ref="F81:BD81" t="shared" si="29">F82+F83+F84+F85</f>
        <v>0</v>
      </c>
      <c r="G81" s="20">
        <f t="shared" si="29"/>
        <v>0</v>
      </c>
      <c r="H81" s="20">
        <f t="shared" si="29"/>
        <v>0</v>
      </c>
      <c r="I81" s="20">
        <f t="shared" si="29"/>
        <v>0</v>
      </c>
      <c r="J81" s="20">
        <f t="shared" si="29"/>
        <v>0</v>
      </c>
      <c r="K81" s="20">
        <f t="shared" si="29"/>
        <v>0</v>
      </c>
      <c r="L81" s="20">
        <f t="shared" si="29"/>
        <v>0</v>
      </c>
      <c r="M81" s="20">
        <f t="shared" si="29"/>
        <v>0</v>
      </c>
      <c r="N81" s="20">
        <f t="shared" si="29"/>
        <v>0</v>
      </c>
      <c r="O81" s="20">
        <f t="shared" si="29"/>
        <v>0</v>
      </c>
      <c r="P81" s="20">
        <f t="shared" si="29"/>
        <v>0</v>
      </c>
      <c r="Q81" s="20">
        <f t="shared" si="29"/>
        <v>0</v>
      </c>
      <c r="R81" s="20">
        <f t="shared" si="29"/>
        <v>0</v>
      </c>
      <c r="S81" s="20">
        <f t="shared" si="29"/>
        <v>0</v>
      </c>
      <c r="T81" s="20">
        <f t="shared" si="29"/>
        <v>0</v>
      </c>
      <c r="U81" s="20">
        <f t="shared" si="29"/>
        <v>0</v>
      </c>
      <c r="V81" s="20">
        <f t="shared" si="29"/>
        <v>0</v>
      </c>
      <c r="W81" s="20">
        <f t="shared" si="29"/>
        <v>0</v>
      </c>
      <c r="X81" s="20">
        <f t="shared" si="29"/>
        <v>0</v>
      </c>
      <c r="Y81" s="20">
        <f t="shared" si="29"/>
        <v>0</v>
      </c>
      <c r="Z81" s="20">
        <f t="shared" si="29"/>
        <v>0</v>
      </c>
      <c r="AA81" s="20">
        <f t="shared" si="29"/>
        <v>0</v>
      </c>
      <c r="AB81" s="20">
        <f t="shared" si="29"/>
        <v>0</v>
      </c>
      <c r="AC81" s="20">
        <f t="shared" si="29"/>
        <v>0</v>
      </c>
      <c r="AD81" s="20">
        <f t="shared" si="29"/>
        <v>0</v>
      </c>
      <c r="AE81" s="20">
        <f t="shared" si="29"/>
        <v>0</v>
      </c>
      <c r="AF81" s="20">
        <f t="shared" si="29"/>
        <v>0</v>
      </c>
      <c r="AG81" s="20">
        <f t="shared" si="29"/>
        <v>0</v>
      </c>
      <c r="AH81" s="20">
        <f t="shared" si="29"/>
        <v>0</v>
      </c>
      <c r="AI81" s="20">
        <f t="shared" si="29"/>
        <v>0</v>
      </c>
      <c r="AJ81" s="20">
        <f t="shared" si="29"/>
        <v>0</v>
      </c>
      <c r="AK81" s="20">
        <f t="shared" si="29"/>
        <v>0</v>
      </c>
      <c r="AL81" s="20">
        <f t="shared" si="29"/>
        <v>0</v>
      </c>
      <c r="AM81" s="20">
        <f t="shared" si="29"/>
        <v>0</v>
      </c>
      <c r="AN81" s="20">
        <f t="shared" si="29"/>
        <v>0</v>
      </c>
      <c r="AO81" s="20">
        <f t="shared" si="29"/>
        <v>0</v>
      </c>
      <c r="AP81" s="20">
        <f t="shared" si="29"/>
        <v>0</v>
      </c>
      <c r="AQ81" s="20">
        <f t="shared" si="29"/>
        <v>0</v>
      </c>
      <c r="AR81" s="20">
        <f t="shared" si="29"/>
        <v>0</v>
      </c>
      <c r="AS81" s="20">
        <f t="shared" si="29"/>
        <v>0</v>
      </c>
      <c r="AT81" s="20">
        <f t="shared" si="29"/>
        <v>0</v>
      </c>
      <c r="AU81" s="20">
        <f t="shared" si="29"/>
        <v>0</v>
      </c>
      <c r="AV81" s="20">
        <f t="shared" si="29"/>
        <v>0</v>
      </c>
      <c r="AW81" s="20">
        <f t="shared" si="29"/>
        <v>0</v>
      </c>
      <c r="AX81" s="20">
        <f t="shared" si="29"/>
        <v>0</v>
      </c>
      <c r="AY81" s="20">
        <f t="shared" si="29"/>
        <v>0</v>
      </c>
      <c r="AZ81" s="20">
        <f t="shared" si="29"/>
        <v>0</v>
      </c>
      <c r="BA81" s="20">
        <f t="shared" si="29"/>
        <v>0</v>
      </c>
      <c r="BB81" s="20">
        <f ref="BB81:BC81" t="shared" si="30">BB82+BB83+BB84+BB85</f>
        <v>0</v>
      </c>
      <c r="BC81" s="20">
        <f t="shared" si="30"/>
        <v>0</v>
      </c>
      <c r="BD81" s="20">
        <f t="shared" si="29"/>
        <v>0</v>
      </c>
      <c r="BE81" s="55">
        <f t="shared" si="22" ca="1"/>
        <v>0</v>
      </c>
      <c r="BF81" s="56">
        <f t="shared" si="23" ca="1"/>
        <v>0</v>
      </c>
    </row>
    <row r="82" s="6" customFormat="1">
      <c r="A82" s="92" t="s">
        <v>393</v>
      </c>
      <c r="B82" s="96" t="s">
        <v>394</v>
      </c>
      <c r="C82" s="123"/>
      <c r="D82" s="27">
        <f>SUM(E82:OFFSET(BE82:BE82,0,-1))</f>
        <v>0</v>
      </c>
      <c r="E82" s="123"/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  <c r="T82" s="123"/>
      <c r="U82" s="123"/>
      <c r="V82" s="123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23"/>
      <c r="AL82" s="123"/>
      <c r="AM82" s="123"/>
      <c r="AN82" s="123"/>
      <c r="AO82" s="123"/>
      <c r="AP82" s="123"/>
      <c r="AQ82" s="123"/>
      <c r="AR82" s="123"/>
      <c r="AS82" s="123"/>
      <c r="AT82" s="123"/>
      <c r="AU82" s="123"/>
      <c r="AV82" s="123"/>
      <c r="AW82" s="123"/>
      <c r="AX82" s="123"/>
      <c r="AY82" s="123"/>
      <c r="AZ82" s="123"/>
      <c r="BA82" s="123"/>
      <c r="BB82" s="123"/>
      <c r="BC82" s="123"/>
      <c r="BD82" s="123"/>
      <c r="BE82" s="55">
        <f t="shared" si="22" ca="1"/>
        <v>0</v>
      </c>
      <c r="BF82" s="56">
        <f t="shared" si="23" ca="1"/>
        <v>0</v>
      </c>
    </row>
    <row r="83" s="6" customFormat="1">
      <c r="A83" s="92" t="s">
        <v>395</v>
      </c>
      <c r="B83" s="96" t="s">
        <v>396</v>
      </c>
      <c r="C83" s="123"/>
      <c r="D83" s="27">
        <f>SUM(E83:OFFSET(BE83:BE83,0,-1))</f>
        <v>0</v>
      </c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  <c r="T83" s="123"/>
      <c r="U83" s="123"/>
      <c r="V83" s="123"/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23"/>
      <c r="AL83" s="123"/>
      <c r="AM83" s="123"/>
      <c r="AN83" s="123"/>
      <c r="AO83" s="123"/>
      <c r="AP83" s="123"/>
      <c r="AQ83" s="123"/>
      <c r="AR83" s="123"/>
      <c r="AS83" s="123"/>
      <c r="AT83" s="123"/>
      <c r="AU83" s="123"/>
      <c r="AV83" s="123"/>
      <c r="AW83" s="123"/>
      <c r="AX83" s="123"/>
      <c r="AY83" s="123"/>
      <c r="AZ83" s="123"/>
      <c r="BA83" s="123"/>
      <c r="BB83" s="123"/>
      <c r="BC83" s="123"/>
      <c r="BD83" s="123"/>
      <c r="BE83" s="55">
        <f t="shared" si="22" ca="1"/>
        <v>0</v>
      </c>
      <c r="BF83" s="56">
        <f t="shared" si="23" ca="1"/>
        <v>0</v>
      </c>
    </row>
    <row r="84" s="6" customFormat="1">
      <c r="A84" s="92" t="s">
        <v>397</v>
      </c>
      <c r="B84" s="96" t="s">
        <v>398</v>
      </c>
      <c r="C84" s="123"/>
      <c r="D84" s="27">
        <f>SUM(E84:OFFSET(BE84:BE84,0,-1))</f>
        <v>0</v>
      </c>
      <c r="E84" s="123"/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23"/>
      <c r="T84" s="123"/>
      <c r="U84" s="123"/>
      <c r="V84" s="123"/>
      <c r="W84" s="123"/>
      <c r="X84" s="123"/>
      <c r="Y84" s="123"/>
      <c r="Z84" s="123"/>
      <c r="AA84" s="123"/>
      <c r="AB84" s="123"/>
      <c r="AC84" s="123"/>
      <c r="AD84" s="123"/>
      <c r="AE84" s="123"/>
      <c r="AF84" s="123"/>
      <c r="AG84" s="123"/>
      <c r="AH84" s="123"/>
      <c r="AI84" s="123"/>
      <c r="AJ84" s="123"/>
      <c r="AK84" s="123"/>
      <c r="AL84" s="123"/>
      <c r="AM84" s="123"/>
      <c r="AN84" s="123"/>
      <c r="AO84" s="123"/>
      <c r="AP84" s="123"/>
      <c r="AQ84" s="123"/>
      <c r="AR84" s="123"/>
      <c r="AS84" s="123"/>
      <c r="AT84" s="123"/>
      <c r="AU84" s="123"/>
      <c r="AV84" s="123"/>
      <c r="AW84" s="123"/>
      <c r="AX84" s="123"/>
      <c r="AY84" s="123"/>
      <c r="AZ84" s="123"/>
      <c r="BA84" s="123"/>
      <c r="BB84" s="123"/>
      <c r="BC84" s="123"/>
      <c r="BD84" s="123"/>
      <c r="BE84" s="55">
        <f t="shared" si="22" ca="1"/>
        <v>0</v>
      </c>
      <c r="BF84" s="56">
        <f t="shared" si="23" ca="1"/>
        <v>0</v>
      </c>
    </row>
    <row r="85" s="6" customFormat="1">
      <c r="A85" s="92" t="s">
        <v>399</v>
      </c>
      <c r="B85" s="96" t="s">
        <v>400</v>
      </c>
      <c r="C85" s="123"/>
      <c r="D85" s="27">
        <f>SUM(E85:OFFSET(BE85:BE85,0,-1))</f>
        <v>0</v>
      </c>
      <c r="E85" s="123"/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  <c r="T85" s="123"/>
      <c r="U85" s="123"/>
      <c r="V85" s="123"/>
      <c r="W85" s="123"/>
      <c r="X85" s="123"/>
      <c r="Y85" s="123"/>
      <c r="Z85" s="123"/>
      <c r="AA85" s="123"/>
      <c r="AB85" s="123"/>
      <c r="AC85" s="123"/>
      <c r="AD85" s="123"/>
      <c r="AE85" s="123"/>
      <c r="AF85" s="123"/>
      <c r="AG85" s="123"/>
      <c r="AH85" s="123"/>
      <c r="AI85" s="123"/>
      <c r="AJ85" s="123"/>
      <c r="AK85" s="123"/>
      <c r="AL85" s="123"/>
      <c r="AM85" s="123"/>
      <c r="AN85" s="123"/>
      <c r="AO85" s="123"/>
      <c r="AP85" s="123"/>
      <c r="AQ85" s="123"/>
      <c r="AR85" s="123"/>
      <c r="AS85" s="123"/>
      <c r="AT85" s="123"/>
      <c r="AU85" s="123"/>
      <c r="AV85" s="123"/>
      <c r="AW85" s="123"/>
      <c r="AX85" s="123"/>
      <c r="AY85" s="123"/>
      <c r="AZ85" s="123"/>
      <c r="BA85" s="123"/>
      <c r="BB85" s="123"/>
      <c r="BC85" s="123"/>
      <c r="BD85" s="123"/>
      <c r="BE85" s="55">
        <f t="shared" si="22" ca="1"/>
        <v>0</v>
      </c>
      <c r="BF85" s="56">
        <f t="shared" si="23" ca="1"/>
        <v>0</v>
      </c>
    </row>
    <row r="86" s="6" customFormat="1">
      <c r="A86" s="97" t="s">
        <v>401</v>
      </c>
      <c r="B86" s="98" t="s">
        <v>402</v>
      </c>
      <c r="C86" s="124">
        <v>0</v>
      </c>
      <c r="D86" s="28">
        <f>SUM(E86:OFFSET(BE86:BE86,0,-1))</f>
        <v>0</v>
      </c>
      <c r="E86" s="124">
        <v>0</v>
      </c>
      <c r="F86" s="124">
        <v>0</v>
      </c>
      <c r="G86" s="124">
        <v>0</v>
      </c>
      <c r="H86" s="124"/>
      <c r="I86" s="124">
        <v>0</v>
      </c>
      <c r="J86" s="124"/>
      <c r="K86" s="124">
        <v>0</v>
      </c>
      <c r="L86" s="124"/>
      <c r="M86" s="124"/>
      <c r="N86" s="124"/>
      <c r="O86" s="124">
        <v>0</v>
      </c>
      <c r="P86" s="124"/>
      <c r="Q86" s="124"/>
      <c r="R86" s="124"/>
      <c r="S86" s="124"/>
      <c r="T86" s="124"/>
      <c r="U86" s="124"/>
      <c r="V86" s="124"/>
      <c r="W86" s="124"/>
      <c r="X86" s="124"/>
      <c r="Y86" s="124"/>
      <c r="Z86" s="124"/>
      <c r="AA86" s="124"/>
      <c r="AB86" s="124"/>
      <c r="AC86" s="124"/>
      <c r="AD86" s="124"/>
      <c r="AE86" s="124"/>
      <c r="AF86" s="124"/>
      <c r="AG86" s="124"/>
      <c r="AH86" s="124"/>
      <c r="AI86" s="124"/>
      <c r="AJ86" s="124"/>
      <c r="AK86" s="124"/>
      <c r="AL86" s="124"/>
      <c r="AM86" s="124"/>
      <c r="AN86" s="124"/>
      <c r="AO86" s="124"/>
      <c r="AP86" s="124"/>
      <c r="AQ86" s="124"/>
      <c r="AR86" s="124"/>
      <c r="AS86" s="124"/>
      <c r="AT86" s="124"/>
      <c r="AU86" s="124"/>
      <c r="AV86" s="124"/>
      <c r="AW86" s="124"/>
      <c r="AX86" s="124"/>
      <c r="AY86" s="124"/>
      <c r="AZ86" s="124"/>
      <c r="BA86" s="124"/>
      <c r="BB86" s="124"/>
      <c r="BC86" s="124"/>
      <c r="BD86" s="124"/>
      <c r="BE86" s="57">
        <f t="shared" si="22" ca="1"/>
        <v>0</v>
      </c>
      <c r="BF86" s="58">
        <f t="shared" si="23" ca="1"/>
        <v>0</v>
      </c>
    </row>
    <row r="87" s="6" customFormat="1">
      <c r="A87" s="97" t="s">
        <v>403</v>
      </c>
      <c r="B87" s="98" t="s">
        <v>404</v>
      </c>
      <c r="C87" s="124"/>
      <c r="D87" s="28">
        <f>SUM(E87:OFFSET(BE87:BE87,0,-1))</f>
        <v>0</v>
      </c>
      <c r="E87" s="124"/>
      <c r="F87" s="124"/>
      <c r="G87" s="124"/>
      <c r="H87" s="124"/>
      <c r="I87" s="124"/>
      <c r="J87" s="124"/>
      <c r="K87" s="124"/>
      <c r="L87" s="124"/>
      <c r="M87" s="124"/>
      <c r="N87" s="124"/>
      <c r="O87" s="124"/>
      <c r="P87" s="124"/>
      <c r="Q87" s="124"/>
      <c r="R87" s="124"/>
      <c r="S87" s="124"/>
      <c r="T87" s="124"/>
      <c r="U87" s="124"/>
      <c r="V87" s="124"/>
      <c r="W87" s="124"/>
      <c r="X87" s="124"/>
      <c r="Y87" s="124"/>
      <c r="Z87" s="124"/>
      <c r="AA87" s="124"/>
      <c r="AB87" s="124"/>
      <c r="AC87" s="124"/>
      <c r="AD87" s="124"/>
      <c r="AE87" s="124"/>
      <c r="AF87" s="124"/>
      <c r="AG87" s="124"/>
      <c r="AH87" s="124"/>
      <c r="AI87" s="124"/>
      <c r="AJ87" s="124"/>
      <c r="AK87" s="124"/>
      <c r="AL87" s="124"/>
      <c r="AM87" s="124"/>
      <c r="AN87" s="124"/>
      <c r="AO87" s="124"/>
      <c r="AP87" s="124"/>
      <c r="AQ87" s="124"/>
      <c r="AR87" s="124"/>
      <c r="AS87" s="124"/>
      <c r="AT87" s="124"/>
      <c r="AU87" s="124"/>
      <c r="AV87" s="124"/>
      <c r="AW87" s="124"/>
      <c r="AX87" s="124"/>
      <c r="AY87" s="124"/>
      <c r="AZ87" s="124"/>
      <c r="BA87" s="124"/>
      <c r="BB87" s="124"/>
      <c r="BC87" s="124"/>
      <c r="BD87" s="124"/>
      <c r="BE87" s="57">
        <f t="shared" si="22" ca="1"/>
        <v>0</v>
      </c>
      <c r="BF87" s="58">
        <f t="shared" si="23" ca="1"/>
        <v>0</v>
      </c>
    </row>
    <row r="88" s="6" customFormat="1">
      <c r="A88" s="92" t="s">
        <v>405</v>
      </c>
      <c r="B88" s="93" t="s">
        <v>385</v>
      </c>
      <c r="C88" s="123"/>
      <c r="D88" s="27">
        <f>SUM(E88:OFFSET(BE88:BE88,0,-1))</f>
        <v>0</v>
      </c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55">
        <f t="shared" si="22" ca="1"/>
        <v>0</v>
      </c>
      <c r="BF88" s="56">
        <f t="shared" si="23" ca="1"/>
        <v>0</v>
      </c>
    </row>
    <row r="89">
      <c r="A89" s="77" t="s">
        <v>406</v>
      </c>
      <c r="B89" s="78" t="s">
        <v>407</v>
      </c>
      <c r="C89" s="189">
        <v>420.74715</v>
      </c>
      <c r="D89" s="20">
        <f>SUM(E89:OFFSET(BE89:BE89,0,-1))</f>
        <v>0</v>
      </c>
      <c r="E89" s="189">
        <v>365.91555</v>
      </c>
      <c r="F89" s="189">
        <v>3.23</v>
      </c>
      <c r="G89" s="189">
        <v>51.6016</v>
      </c>
      <c r="H89" s="189"/>
      <c r="I89" s="189">
        <v>0</v>
      </c>
      <c r="J89" s="189"/>
      <c r="K89" s="189">
        <v>0</v>
      </c>
      <c r="L89" s="189"/>
      <c r="M89" s="189"/>
      <c r="N89" s="189"/>
      <c r="O89" s="189">
        <v>0</v>
      </c>
      <c r="P89" s="189"/>
      <c r="Q89" s="189"/>
      <c r="R89" s="189"/>
      <c r="S89" s="189"/>
      <c r="T89" s="189"/>
      <c r="U89" s="189"/>
      <c r="V89" s="189"/>
      <c r="W89" s="189"/>
      <c r="X89" s="189"/>
      <c r="Y89" s="189"/>
      <c r="Z89" s="189"/>
      <c r="AA89" s="189"/>
      <c r="AB89" s="189"/>
      <c r="AC89" s="189"/>
      <c r="AD89" s="189"/>
      <c r="AE89" s="189"/>
      <c r="AF89" s="189"/>
      <c r="AG89" s="189"/>
      <c r="AH89" s="189"/>
      <c r="AI89" s="189"/>
      <c r="AJ89" s="189"/>
      <c r="AK89" s="189"/>
      <c r="AL89" s="189"/>
      <c r="AM89" s="189"/>
      <c r="AN89" s="189"/>
      <c r="AO89" s="189"/>
      <c r="AP89" s="189"/>
      <c r="AQ89" s="189"/>
      <c r="AR89" s="189"/>
      <c r="AS89" s="189"/>
      <c r="AT89" s="189"/>
      <c r="AU89" s="189"/>
      <c r="AV89" s="189"/>
      <c r="AW89" s="189"/>
      <c r="AX89" s="189"/>
      <c r="AY89" s="189"/>
      <c r="AZ89" s="189"/>
      <c r="BA89" s="189"/>
      <c r="BB89" s="189"/>
      <c r="BC89" s="189"/>
      <c r="BD89" s="189"/>
      <c r="BE89" s="40">
        <f t="shared" si="22" ca="1"/>
        <v>0</v>
      </c>
      <c r="BF89" s="41">
        <f t="shared" si="23" ca="1"/>
        <v>0</v>
      </c>
    </row>
    <row r="90">
      <c r="A90" s="83" t="s">
        <v>408</v>
      </c>
      <c r="B90" s="80" t="s">
        <v>409</v>
      </c>
      <c r="C90" s="119">
        <v>0</v>
      </c>
      <c r="D90" s="21">
        <f>SUM(E90:OFFSET(BE90:BE90,0,-1))</f>
        <v>0</v>
      </c>
      <c r="E90" s="119">
        <v>0</v>
      </c>
      <c r="F90" s="119">
        <v>0</v>
      </c>
      <c r="G90" s="119">
        <v>0</v>
      </c>
      <c r="H90" s="119"/>
      <c r="I90" s="119">
        <v>0</v>
      </c>
      <c r="J90" s="119"/>
      <c r="K90" s="119">
        <v>0</v>
      </c>
      <c r="L90" s="119"/>
      <c r="M90" s="119"/>
      <c r="N90" s="119"/>
      <c r="O90" s="119">
        <v>0</v>
      </c>
      <c r="P90" s="119"/>
      <c r="Q90" s="119"/>
      <c r="R90" s="119"/>
      <c r="S90" s="119"/>
      <c r="T90" s="119"/>
      <c r="U90" s="119"/>
      <c r="V90" s="119"/>
      <c r="W90" s="119"/>
      <c r="X90" s="119"/>
      <c r="Y90" s="119"/>
      <c r="Z90" s="119"/>
      <c r="AA90" s="119"/>
      <c r="AB90" s="119"/>
      <c r="AC90" s="119"/>
      <c r="AD90" s="119"/>
      <c r="AE90" s="119"/>
      <c r="AF90" s="119"/>
      <c r="AG90" s="119"/>
      <c r="AH90" s="119"/>
      <c r="AI90" s="119"/>
      <c r="AJ90" s="119"/>
      <c r="AK90" s="119"/>
      <c r="AL90" s="119"/>
      <c r="AM90" s="119"/>
      <c r="AN90" s="119"/>
      <c r="AO90" s="119"/>
      <c r="AP90" s="119"/>
      <c r="AQ90" s="119"/>
      <c r="AR90" s="119"/>
      <c r="AS90" s="119"/>
      <c r="AT90" s="119"/>
      <c r="AU90" s="119"/>
      <c r="AV90" s="119"/>
      <c r="AW90" s="119"/>
      <c r="AX90" s="119"/>
      <c r="AY90" s="119"/>
      <c r="AZ90" s="119"/>
      <c r="BA90" s="119"/>
      <c r="BB90" s="119"/>
      <c r="BC90" s="119"/>
      <c r="BD90" s="119"/>
      <c r="BE90" s="42">
        <f t="shared" si="22" ca="1"/>
        <v>0</v>
      </c>
      <c r="BF90" s="43">
        <f t="shared" si="23" ca="1"/>
        <v>0</v>
      </c>
    </row>
    <row r="91" ht="29.45" customHeight="1">
      <c r="A91" s="83" t="s">
        <v>410</v>
      </c>
      <c r="B91" s="80" t="s">
        <v>411</v>
      </c>
      <c r="C91" s="119"/>
      <c r="D91" s="21">
        <f>SUM(E91:OFFSET(BE91:BE91,0,-1))</f>
        <v>0</v>
      </c>
      <c r="E91" s="119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  <c r="X91" s="119"/>
      <c r="Y91" s="119"/>
      <c r="Z91" s="119"/>
      <c r="AA91" s="119"/>
      <c r="AB91" s="119"/>
      <c r="AC91" s="119"/>
      <c r="AD91" s="119"/>
      <c r="AE91" s="119"/>
      <c r="AF91" s="119"/>
      <c r="AG91" s="119"/>
      <c r="AH91" s="119"/>
      <c r="AI91" s="119"/>
      <c r="AJ91" s="119"/>
      <c r="AK91" s="119"/>
      <c r="AL91" s="119"/>
      <c r="AM91" s="119"/>
      <c r="AN91" s="119"/>
      <c r="AO91" s="119"/>
      <c r="AP91" s="119"/>
      <c r="AQ91" s="119"/>
      <c r="AR91" s="119"/>
      <c r="AS91" s="119"/>
      <c r="AT91" s="119"/>
      <c r="AU91" s="119"/>
      <c r="AV91" s="119"/>
      <c r="AW91" s="119"/>
      <c r="AX91" s="119"/>
      <c r="AY91" s="119"/>
      <c r="AZ91" s="119"/>
      <c r="BA91" s="119"/>
      <c r="BB91" s="119"/>
      <c r="BC91" s="119"/>
      <c r="BD91" s="119"/>
      <c r="BE91" s="42">
        <f t="shared" si="22" ca="1"/>
        <v>0</v>
      </c>
      <c r="BF91" s="43">
        <f t="shared" si="23" ca="1"/>
        <v>0</v>
      </c>
    </row>
    <row r="92">
      <c r="A92" s="104" t="s">
        <v>412</v>
      </c>
      <c r="B92" s="99" t="s">
        <v>413</v>
      </c>
      <c r="C92" s="29">
        <f>C64+C68+C71+C72+C75+C80+C81+C86+C87+C89</f>
        <v>0</v>
      </c>
      <c r="D92" s="29">
        <f ref="D92:BD92" t="shared" si="31" ca="1">D64+D68+D71+D72+D75+D80+D81+D86+D87+D89</f>
        <v>0</v>
      </c>
      <c r="E92" s="29">
        <f>E64+E68+E71+E72+E75+E80+E81+E86+E87+E89</f>
        <v>0</v>
      </c>
      <c r="F92" s="29">
        <f>F64+F68+F71+F72+F75+F80+F81+F86+F87+F89</f>
        <v>0</v>
      </c>
      <c r="G92" s="29">
        <f>G64+G68+G71+G72+G75+G80+G81+G86+G87+G89</f>
        <v>0</v>
      </c>
      <c r="H92" s="29">
        <f t="shared" si="31"/>
        <v>0</v>
      </c>
      <c r="I92" s="29">
        <f t="shared" si="31"/>
        <v>0</v>
      </c>
      <c r="J92" s="29">
        <f t="shared" si="31"/>
        <v>0</v>
      </c>
      <c r="K92" s="29">
        <f t="shared" si="31"/>
        <v>0</v>
      </c>
      <c r="L92" s="29">
        <f t="shared" si="31"/>
        <v>0</v>
      </c>
      <c r="M92" s="29">
        <f t="shared" si="31"/>
        <v>0</v>
      </c>
      <c r="N92" s="29">
        <f t="shared" si="31"/>
        <v>0</v>
      </c>
      <c r="O92" s="29">
        <f t="shared" si="31"/>
        <v>0</v>
      </c>
      <c r="P92" s="29">
        <f t="shared" si="31"/>
        <v>0</v>
      </c>
      <c r="Q92" s="29">
        <f t="shared" si="31"/>
        <v>0</v>
      </c>
      <c r="R92" s="29">
        <f t="shared" si="31"/>
        <v>0</v>
      </c>
      <c r="S92" s="29">
        <f t="shared" si="31"/>
        <v>0</v>
      </c>
      <c r="T92" s="29">
        <f t="shared" si="31"/>
        <v>0</v>
      </c>
      <c r="U92" s="29">
        <f t="shared" si="31"/>
        <v>0</v>
      </c>
      <c r="V92" s="29">
        <f t="shared" si="31"/>
        <v>0</v>
      </c>
      <c r="W92" s="29">
        <f t="shared" si="31"/>
        <v>0</v>
      </c>
      <c r="X92" s="29">
        <f t="shared" si="31"/>
        <v>0</v>
      </c>
      <c r="Y92" s="29">
        <f t="shared" si="31"/>
        <v>0</v>
      </c>
      <c r="Z92" s="29">
        <f t="shared" si="31"/>
        <v>0</v>
      </c>
      <c r="AA92" s="29">
        <f t="shared" si="31"/>
        <v>0</v>
      </c>
      <c r="AB92" s="29">
        <f t="shared" si="31"/>
        <v>0</v>
      </c>
      <c r="AC92" s="29">
        <f t="shared" si="31"/>
        <v>0</v>
      </c>
      <c r="AD92" s="29">
        <f t="shared" si="31"/>
        <v>0</v>
      </c>
      <c r="AE92" s="29">
        <f t="shared" si="31"/>
        <v>0</v>
      </c>
      <c r="AF92" s="29">
        <f t="shared" si="31"/>
        <v>0</v>
      </c>
      <c r="AG92" s="29">
        <f t="shared" si="31"/>
        <v>0</v>
      </c>
      <c r="AH92" s="29">
        <f t="shared" si="31"/>
        <v>0</v>
      </c>
      <c r="AI92" s="29">
        <f t="shared" si="31"/>
        <v>0</v>
      </c>
      <c r="AJ92" s="29">
        <f t="shared" si="31"/>
        <v>0</v>
      </c>
      <c r="AK92" s="29">
        <f t="shared" si="31"/>
        <v>0</v>
      </c>
      <c r="AL92" s="29">
        <f t="shared" si="31"/>
        <v>0</v>
      </c>
      <c r="AM92" s="29">
        <f t="shared" si="31"/>
        <v>0</v>
      </c>
      <c r="AN92" s="29">
        <f t="shared" si="31"/>
        <v>0</v>
      </c>
      <c r="AO92" s="29">
        <f t="shared" si="31"/>
        <v>0</v>
      </c>
      <c r="AP92" s="29">
        <f t="shared" si="31"/>
        <v>0</v>
      </c>
      <c r="AQ92" s="29">
        <f t="shared" si="31"/>
        <v>0</v>
      </c>
      <c r="AR92" s="29">
        <f t="shared" si="31"/>
        <v>0</v>
      </c>
      <c r="AS92" s="29">
        <f t="shared" si="31"/>
        <v>0</v>
      </c>
      <c r="AT92" s="29">
        <f t="shared" si="31"/>
        <v>0</v>
      </c>
      <c r="AU92" s="29">
        <f t="shared" si="31"/>
        <v>0</v>
      </c>
      <c r="AV92" s="29">
        <f t="shared" si="31"/>
        <v>0</v>
      </c>
      <c r="AW92" s="29">
        <f t="shared" si="31"/>
        <v>0</v>
      </c>
      <c r="AX92" s="29">
        <f t="shared" si="31"/>
        <v>0</v>
      </c>
      <c r="AY92" s="29">
        <f t="shared" si="31"/>
        <v>0</v>
      </c>
      <c r="AZ92" s="29">
        <f t="shared" si="31"/>
        <v>0</v>
      </c>
      <c r="BA92" s="29">
        <f t="shared" si="31"/>
        <v>0</v>
      </c>
      <c r="BB92" s="29">
        <f ref="BB92:BC92" t="shared" si="32">BB64+BB68+BB71+BB72+BB75+BB80+BB81+BB86+BB87+BB89</f>
        <v>0</v>
      </c>
      <c r="BC92" s="29">
        <f t="shared" si="32"/>
        <v>0</v>
      </c>
      <c r="BD92" s="29">
        <f t="shared" si="31"/>
        <v>0</v>
      </c>
      <c r="BE92" s="59">
        <f t="shared" si="22" ca="1"/>
        <v>0</v>
      </c>
      <c r="BF92" s="60">
        <f t="shared" si="23" ca="1"/>
        <v>0</v>
      </c>
    </row>
    <row r="93">
      <c r="A93" s="104" t="s">
        <v>414</v>
      </c>
      <c r="B93" s="100" t="s">
        <v>415</v>
      </c>
      <c r="C93" s="125">
        <v>50325.57775</v>
      </c>
      <c r="D93" s="30">
        <f>SUM(E93:OFFSET(BE93:BE93,0,-1))</f>
        <v>0</v>
      </c>
      <c r="E93" s="125">
        <v>50489.87182</v>
      </c>
      <c r="F93" s="125">
        <v>0</v>
      </c>
      <c r="G93" s="125">
        <v>0</v>
      </c>
      <c r="H93" s="125"/>
      <c r="I93" s="125">
        <v>0</v>
      </c>
      <c r="J93" s="125"/>
      <c r="K93" s="125">
        <v>0</v>
      </c>
      <c r="L93" s="125"/>
      <c r="M93" s="125"/>
      <c r="N93" s="125"/>
      <c r="O93" s="125">
        <v>0</v>
      </c>
      <c r="P93" s="125"/>
      <c r="Q93" s="125"/>
      <c r="R93" s="125"/>
      <c r="S93" s="125"/>
      <c r="T93" s="125"/>
      <c r="U93" s="125"/>
      <c r="V93" s="125"/>
      <c r="W93" s="125"/>
      <c r="X93" s="125"/>
      <c r="Y93" s="125"/>
      <c r="Z93" s="125"/>
      <c r="AA93" s="125"/>
      <c r="AB93" s="125"/>
      <c r="AC93" s="125"/>
      <c r="AD93" s="125"/>
      <c r="AE93" s="125"/>
      <c r="AF93" s="125"/>
      <c r="AG93" s="125"/>
      <c r="AH93" s="125"/>
      <c r="AI93" s="125"/>
      <c r="AJ93" s="125"/>
      <c r="AK93" s="125"/>
      <c r="AL93" s="125"/>
      <c r="AM93" s="125"/>
      <c r="AN93" s="125"/>
      <c r="AO93" s="125"/>
      <c r="AP93" s="125"/>
      <c r="AQ93" s="125"/>
      <c r="AR93" s="125"/>
      <c r="AS93" s="125"/>
      <c r="AT93" s="125"/>
      <c r="AU93" s="125"/>
      <c r="AV93" s="125"/>
      <c r="AW93" s="125"/>
      <c r="AX93" s="125"/>
      <c r="AY93" s="125"/>
      <c r="AZ93" s="125"/>
      <c r="BA93" s="125"/>
      <c r="BB93" s="125"/>
      <c r="BC93" s="125"/>
      <c r="BD93" s="125"/>
      <c r="BE93" s="61">
        <f t="shared" si="22" ca="1"/>
        <v>0</v>
      </c>
      <c r="BF93" s="62">
        <f t="shared" si="23" ca="1"/>
        <v>0</v>
      </c>
    </row>
    <row r="94" s="6" customFormat="1">
      <c r="A94" s="104" t="s">
        <v>416</v>
      </c>
      <c r="B94" s="93" t="s">
        <v>417</v>
      </c>
      <c r="C94" s="123">
        <v>73611.17144</v>
      </c>
      <c r="D94" s="27">
        <f>SUM(E94:OFFSET(BE94:BE94,0,-1))</f>
        <v>0</v>
      </c>
      <c r="E94" s="123">
        <v>73611.17144</v>
      </c>
      <c r="F94" s="123">
        <v>0</v>
      </c>
      <c r="G94" s="123">
        <v>0</v>
      </c>
      <c r="H94" s="123"/>
      <c r="I94" s="123">
        <v>0</v>
      </c>
      <c r="J94" s="123"/>
      <c r="K94" s="123">
        <v>0</v>
      </c>
      <c r="L94" s="123"/>
      <c r="M94" s="123"/>
      <c r="N94" s="123"/>
      <c r="O94" s="123">
        <v>0</v>
      </c>
      <c r="P94" s="123"/>
      <c r="Q94" s="123"/>
      <c r="R94" s="123"/>
      <c r="S94" s="123"/>
      <c r="T94" s="123"/>
      <c r="U94" s="123"/>
      <c r="V94" s="123"/>
      <c r="W94" s="123"/>
      <c r="X94" s="123"/>
      <c r="Y94" s="123"/>
      <c r="Z94" s="123"/>
      <c r="AA94" s="123"/>
      <c r="AB94" s="123"/>
      <c r="AC94" s="123"/>
      <c r="AD94" s="123"/>
      <c r="AE94" s="123"/>
      <c r="AF94" s="123"/>
      <c r="AG94" s="123"/>
      <c r="AH94" s="123"/>
      <c r="AI94" s="123"/>
      <c r="AJ94" s="123"/>
      <c r="AK94" s="123"/>
      <c r="AL94" s="123"/>
      <c r="AM94" s="123"/>
      <c r="AN94" s="123"/>
      <c r="AO94" s="123"/>
      <c r="AP94" s="123"/>
      <c r="AQ94" s="123"/>
      <c r="AR94" s="123"/>
      <c r="AS94" s="123"/>
      <c r="AT94" s="123"/>
      <c r="AU94" s="123"/>
      <c r="AV94" s="123"/>
      <c r="AW94" s="123"/>
      <c r="AX94" s="123"/>
      <c r="AY94" s="123"/>
      <c r="AZ94" s="123"/>
      <c r="BA94" s="123"/>
      <c r="BB94" s="123"/>
      <c r="BC94" s="123"/>
      <c r="BD94" s="123"/>
      <c r="BE94" s="55">
        <f t="shared" si="22" ca="1"/>
        <v>0</v>
      </c>
      <c r="BF94" s="56">
        <f t="shared" si="23" ca="1"/>
        <v>0</v>
      </c>
    </row>
    <row r="95">
      <c r="A95" s="104" t="s">
        <v>418</v>
      </c>
      <c r="B95" s="80" t="s">
        <v>419</v>
      </c>
      <c r="C95" s="119">
        <v>1366.40611</v>
      </c>
      <c r="D95" s="21">
        <f>SUM(E95:OFFSET(BE95:BE95,0,-1))</f>
        <v>0</v>
      </c>
      <c r="E95" s="119">
        <v>1529.33625</v>
      </c>
      <c r="F95" s="119">
        <v>0</v>
      </c>
      <c r="G95" s="119">
        <v>0</v>
      </c>
      <c r="H95" s="119"/>
      <c r="I95" s="119">
        <v>0</v>
      </c>
      <c r="J95" s="119"/>
      <c r="K95" s="119">
        <v>0</v>
      </c>
      <c r="L95" s="119"/>
      <c r="M95" s="119"/>
      <c r="N95" s="119"/>
      <c r="O95" s="119">
        <v>0</v>
      </c>
      <c r="P95" s="119"/>
      <c r="Q95" s="119"/>
      <c r="R95" s="119"/>
      <c r="S95" s="119"/>
      <c r="T95" s="119"/>
      <c r="U95" s="119"/>
      <c r="V95" s="119"/>
      <c r="W95" s="119"/>
      <c r="X95" s="119"/>
      <c r="Y95" s="119"/>
      <c r="Z95" s="119"/>
      <c r="AA95" s="119"/>
      <c r="AB95" s="119"/>
      <c r="AC95" s="119"/>
      <c r="AD95" s="119"/>
      <c r="AE95" s="119"/>
      <c r="AF95" s="119"/>
      <c r="AG95" s="119"/>
      <c r="AH95" s="119"/>
      <c r="AI95" s="119"/>
      <c r="AJ95" s="119"/>
      <c r="AK95" s="119"/>
      <c r="AL95" s="119"/>
      <c r="AM95" s="119"/>
      <c r="AN95" s="119"/>
      <c r="AO95" s="119"/>
      <c r="AP95" s="119"/>
      <c r="AQ95" s="119"/>
      <c r="AR95" s="119"/>
      <c r="AS95" s="119"/>
      <c r="AT95" s="119"/>
      <c r="AU95" s="119"/>
      <c r="AV95" s="119"/>
      <c r="AW95" s="119"/>
      <c r="AX95" s="119"/>
      <c r="AY95" s="119"/>
      <c r="AZ95" s="119"/>
      <c r="BA95" s="119"/>
      <c r="BB95" s="119"/>
      <c r="BC95" s="119"/>
      <c r="BD95" s="119"/>
      <c r="BE95" s="42">
        <f t="shared" si="22" ca="1"/>
        <v>0</v>
      </c>
      <c r="BF95" s="43">
        <f t="shared" si="23" ca="1"/>
        <v>0</v>
      </c>
    </row>
    <row r="96" ht="15.75">
      <c r="A96" s="104" t="s">
        <v>420</v>
      </c>
      <c r="B96" s="101" t="s">
        <v>421</v>
      </c>
      <c r="C96" s="29">
        <f>C93+C92</f>
        <v>0</v>
      </c>
      <c r="D96" s="29">
        <f>SUM(E96:OFFSET(BE96:BE96,0,-1))</f>
        <v>0</v>
      </c>
      <c r="E96" s="29">
        <f>E93+E92</f>
        <v>0</v>
      </c>
      <c r="F96" s="29">
        <f>F93+F92</f>
        <v>0</v>
      </c>
      <c r="G96" s="29">
        <f>G93+G92</f>
        <v>0</v>
      </c>
      <c r="H96" s="29">
        <f ref="H96:BD96" t="shared" si="33">H93+H92</f>
        <v>0</v>
      </c>
      <c r="I96" s="29">
        <f t="shared" si="33"/>
        <v>0</v>
      </c>
      <c r="J96" s="29">
        <f t="shared" si="33"/>
        <v>0</v>
      </c>
      <c r="K96" s="29">
        <f t="shared" si="33"/>
        <v>0</v>
      </c>
      <c r="L96" s="29">
        <f t="shared" si="33"/>
        <v>0</v>
      </c>
      <c r="M96" s="29">
        <f t="shared" si="33"/>
        <v>0</v>
      </c>
      <c r="N96" s="29">
        <f t="shared" si="33"/>
        <v>0</v>
      </c>
      <c r="O96" s="29">
        <f t="shared" si="33"/>
        <v>0</v>
      </c>
      <c r="P96" s="29">
        <f t="shared" si="33"/>
        <v>0</v>
      </c>
      <c r="Q96" s="29">
        <f t="shared" si="33"/>
        <v>0</v>
      </c>
      <c r="R96" s="29">
        <f t="shared" si="33"/>
        <v>0</v>
      </c>
      <c r="S96" s="29">
        <f t="shared" si="33"/>
        <v>0</v>
      </c>
      <c r="T96" s="29">
        <f t="shared" si="33"/>
        <v>0</v>
      </c>
      <c r="U96" s="29">
        <f t="shared" si="33"/>
        <v>0</v>
      </c>
      <c r="V96" s="29">
        <f t="shared" si="33"/>
        <v>0</v>
      </c>
      <c r="W96" s="29">
        <f t="shared" si="33"/>
        <v>0</v>
      </c>
      <c r="X96" s="29">
        <f t="shared" si="33"/>
        <v>0</v>
      </c>
      <c r="Y96" s="29">
        <f t="shared" si="33"/>
        <v>0</v>
      </c>
      <c r="Z96" s="29">
        <f t="shared" si="33"/>
        <v>0</v>
      </c>
      <c r="AA96" s="29">
        <f t="shared" si="33"/>
        <v>0</v>
      </c>
      <c r="AB96" s="29">
        <f t="shared" si="33"/>
        <v>0</v>
      </c>
      <c r="AC96" s="29">
        <f t="shared" si="33"/>
        <v>0</v>
      </c>
      <c r="AD96" s="29">
        <f t="shared" si="33"/>
        <v>0</v>
      </c>
      <c r="AE96" s="29">
        <f t="shared" si="33"/>
        <v>0</v>
      </c>
      <c r="AF96" s="29">
        <f t="shared" si="33"/>
        <v>0</v>
      </c>
      <c r="AG96" s="29">
        <f t="shared" si="33"/>
        <v>0</v>
      </c>
      <c r="AH96" s="29">
        <f t="shared" si="33"/>
        <v>0</v>
      </c>
      <c r="AI96" s="29">
        <f t="shared" si="33"/>
        <v>0</v>
      </c>
      <c r="AJ96" s="29">
        <f t="shared" si="33"/>
        <v>0</v>
      </c>
      <c r="AK96" s="29">
        <f t="shared" si="33"/>
        <v>0</v>
      </c>
      <c r="AL96" s="29">
        <f t="shared" si="33"/>
        <v>0</v>
      </c>
      <c r="AM96" s="29">
        <f t="shared" si="33"/>
        <v>0</v>
      </c>
      <c r="AN96" s="29">
        <f t="shared" si="33"/>
        <v>0</v>
      </c>
      <c r="AO96" s="29">
        <f t="shared" si="33"/>
        <v>0</v>
      </c>
      <c r="AP96" s="29">
        <f t="shared" si="33"/>
        <v>0</v>
      </c>
      <c r="AQ96" s="29">
        <f t="shared" si="33"/>
        <v>0</v>
      </c>
      <c r="AR96" s="29">
        <f t="shared" si="33"/>
        <v>0</v>
      </c>
      <c r="AS96" s="29">
        <f t="shared" si="33"/>
        <v>0</v>
      </c>
      <c r="AT96" s="29">
        <f t="shared" si="33"/>
        <v>0</v>
      </c>
      <c r="AU96" s="29">
        <f t="shared" si="33"/>
        <v>0</v>
      </c>
      <c r="AV96" s="29">
        <f t="shared" si="33"/>
        <v>0</v>
      </c>
      <c r="AW96" s="29">
        <f t="shared" si="33"/>
        <v>0</v>
      </c>
      <c r="AX96" s="29">
        <f t="shared" si="33"/>
        <v>0</v>
      </c>
      <c r="AY96" s="29">
        <f t="shared" si="33"/>
        <v>0</v>
      </c>
      <c r="AZ96" s="29">
        <f t="shared" si="33"/>
        <v>0</v>
      </c>
      <c r="BA96" s="29">
        <f t="shared" si="33"/>
        <v>0</v>
      </c>
      <c r="BB96" s="29">
        <f ref="BB96:BC96" t="shared" si="34">BB93+BB92</f>
        <v>0</v>
      </c>
      <c r="BC96" s="29">
        <f t="shared" si="34"/>
        <v>0</v>
      </c>
      <c r="BD96" s="29">
        <f t="shared" si="33"/>
        <v>0</v>
      </c>
      <c r="BE96" s="15">
        <f t="shared" si="22" ca="1"/>
        <v>0</v>
      </c>
      <c r="BF96" s="14">
        <f t="shared" si="23" ca="1"/>
        <v>0</v>
      </c>
    </row>
    <row r="97">
      <c r="A97" s="102"/>
      <c r="B97" s="102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  <c r="AZ97" s="31"/>
      <c r="BA97" s="31"/>
      <c r="BB97" s="31"/>
      <c r="BC97" s="31"/>
      <c r="BD97" s="31"/>
      <c r="BE97" s="63"/>
      <c r="BF97" s="64"/>
    </row>
    <row r="98" ht="28.5">
      <c r="A98" s="103" t="s">
        <v>422</v>
      </c>
      <c r="B98" s="103"/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32"/>
      <c r="AI98" s="32"/>
      <c r="AJ98" s="32"/>
      <c r="AK98" s="32"/>
      <c r="AL98" s="32"/>
      <c r="AM98" s="32"/>
      <c r="AN98" s="32"/>
      <c r="AO98" s="32"/>
      <c r="AP98" s="32"/>
      <c r="AQ98" s="32"/>
      <c r="AR98" s="32"/>
      <c r="AS98" s="32"/>
      <c r="AT98" s="32"/>
      <c r="AU98" s="32"/>
      <c r="AV98" s="32"/>
      <c r="AW98" s="32"/>
      <c r="AX98" s="32"/>
      <c r="AY98" s="32"/>
      <c r="AZ98" s="32"/>
      <c r="BA98" s="32"/>
      <c r="BB98" s="32"/>
      <c r="BC98" s="32"/>
      <c r="BD98" s="32"/>
      <c r="BE98" s="259" t="s">
        <v>211</v>
      </c>
      <c r="BF98" s="260"/>
    </row>
    <row r="99" ht="15.75">
      <c r="A99" s="104"/>
      <c r="B99" s="104" t="s">
        <v>423</v>
      </c>
      <c r="C99" s="33" t="str">
        <f>C$8</f>
        <v>CƏMİ</v>
      </c>
      <c r="D99" s="33" t="str">
        <f>D$8</f>
        <v>CƏMİ</v>
      </c>
      <c r="E99" s="13" t="s">
        <v>214</v>
      </c>
      <c r="F99" s="13" t="s">
        <v>215</v>
      </c>
      <c r="G99" s="13" t="s">
        <v>216</v>
      </c>
      <c r="H99" s="13" t="s">
        <v>217</v>
      </c>
      <c r="I99" s="13" t="s">
        <v>218</v>
      </c>
      <c r="J99" s="13" t="s">
        <v>219</v>
      </c>
      <c r="K99" s="13" t="s">
        <v>220</v>
      </c>
      <c r="L99" s="13" t="s">
        <v>221</v>
      </c>
      <c r="M99" s="13" t="s">
        <v>222</v>
      </c>
      <c r="N99" s="13" t="s">
        <v>223</v>
      </c>
      <c r="O99" s="13" t="s">
        <v>224</v>
      </c>
      <c r="P99" s="13" t="s">
        <v>225</v>
      </c>
      <c r="Q99" s="13" t="s">
        <v>226</v>
      </c>
      <c r="R99" s="13" t="s">
        <v>227</v>
      </c>
      <c r="S99" s="13" t="s">
        <v>228</v>
      </c>
      <c r="T99" s="13" t="s">
        <v>229</v>
      </c>
      <c r="U99" s="13" t="s">
        <v>230</v>
      </c>
      <c r="V99" s="13" t="s">
        <v>231</v>
      </c>
      <c r="W99" s="13" t="s">
        <v>232</v>
      </c>
      <c r="X99" s="13" t="s">
        <v>233</v>
      </c>
      <c r="Y99" s="13" t="s">
        <v>234</v>
      </c>
      <c r="Z99" s="13" t="s">
        <v>235</v>
      </c>
      <c r="AA99" s="13" t="s">
        <v>236</v>
      </c>
      <c r="AB99" s="13" t="s">
        <v>237</v>
      </c>
      <c r="AC99" s="13" t="s">
        <v>238</v>
      </c>
      <c r="AD99" s="13" t="s">
        <v>239</v>
      </c>
      <c r="AE99" s="13" t="s">
        <v>240</v>
      </c>
      <c r="AF99" s="13" t="s">
        <v>241</v>
      </c>
      <c r="AG99" s="13" t="s">
        <v>242</v>
      </c>
      <c r="AH99" s="13" t="s">
        <v>243</v>
      </c>
      <c r="AI99" s="13" t="s">
        <v>244</v>
      </c>
      <c r="AJ99" s="13" t="s">
        <v>245</v>
      </c>
      <c r="AK99" s="13" t="s">
        <v>246</v>
      </c>
      <c r="AL99" s="13" t="s">
        <v>247</v>
      </c>
      <c r="AM99" s="13" t="s">
        <v>248</v>
      </c>
      <c r="AN99" s="13" t="s">
        <v>249</v>
      </c>
      <c r="AO99" s="13" t="s">
        <v>250</v>
      </c>
      <c r="AP99" s="13" t="s">
        <v>251</v>
      </c>
      <c r="AQ99" s="13" t="s">
        <v>252</v>
      </c>
      <c r="AR99" s="13" t="s">
        <v>253</v>
      </c>
      <c r="AS99" s="13" t="s">
        <v>254</v>
      </c>
      <c r="AT99" s="13" t="s">
        <v>255</v>
      </c>
      <c r="AU99" s="13" t="s">
        <v>256</v>
      </c>
      <c r="AV99" s="13" t="s">
        <v>257</v>
      </c>
      <c r="AW99" s="13" t="s">
        <v>258</v>
      </c>
      <c r="AX99" s="13" t="s">
        <v>259</v>
      </c>
      <c r="AY99" s="13" t="s">
        <v>260</v>
      </c>
      <c r="AZ99" s="13" t="s">
        <v>261</v>
      </c>
      <c r="BA99" s="13" t="s">
        <v>262</v>
      </c>
      <c r="BB99" s="13" t="s">
        <v>263</v>
      </c>
      <c r="BC99" s="13" t="s">
        <v>264</v>
      </c>
      <c r="BD99" s="13" t="s">
        <v>265</v>
      </c>
      <c r="BE99" s="53" t="s">
        <v>266</v>
      </c>
      <c r="BF99" s="54" t="s">
        <v>267</v>
      </c>
    </row>
    <row r="100">
      <c r="A100" s="85">
        <v>1</v>
      </c>
      <c r="B100" s="100" t="s">
        <v>424</v>
      </c>
      <c r="C100" s="125">
        <v>0</v>
      </c>
      <c r="D100" s="30">
        <f ref="D100:D107" t="shared" si="36">SUM(E100:BD100)</f>
        <v>0</v>
      </c>
      <c r="E100" s="125">
        <v>0</v>
      </c>
      <c r="F100" s="125">
        <v>0</v>
      </c>
      <c r="G100" s="125">
        <v>0</v>
      </c>
      <c r="H100" s="125"/>
      <c r="I100" s="125">
        <v>0</v>
      </c>
      <c r="J100" s="125"/>
      <c r="K100" s="125">
        <v>0</v>
      </c>
      <c r="L100" s="125"/>
      <c r="M100" s="125"/>
      <c r="N100" s="125"/>
      <c r="O100" s="125">
        <v>0</v>
      </c>
      <c r="P100" s="125"/>
      <c r="Q100" s="125"/>
      <c r="R100" s="125"/>
      <c r="S100" s="125"/>
      <c r="T100" s="125"/>
      <c r="U100" s="125"/>
      <c r="V100" s="125"/>
      <c r="W100" s="125"/>
      <c r="X100" s="125"/>
      <c r="Y100" s="125"/>
      <c r="Z100" s="125"/>
      <c r="AA100" s="125"/>
      <c r="AB100" s="125"/>
      <c r="AC100" s="125"/>
      <c r="AD100" s="125"/>
      <c r="AE100" s="125"/>
      <c r="AF100" s="125"/>
      <c r="AG100" s="125"/>
      <c r="AH100" s="125"/>
      <c r="AI100" s="125"/>
      <c r="AJ100" s="125"/>
      <c r="AK100" s="125"/>
      <c r="AL100" s="125"/>
      <c r="AM100" s="125"/>
      <c r="AN100" s="125"/>
      <c r="AO100" s="125"/>
      <c r="AP100" s="125"/>
      <c r="AQ100" s="125"/>
      <c r="AR100" s="125"/>
      <c r="AS100" s="125"/>
      <c r="AT100" s="125"/>
      <c r="AU100" s="125"/>
      <c r="AV100" s="125"/>
      <c r="AW100" s="125"/>
      <c r="AX100" s="125"/>
      <c r="AY100" s="125"/>
      <c r="AZ100" s="125"/>
      <c r="BA100" s="125"/>
      <c r="BB100" s="125"/>
      <c r="BC100" s="125"/>
      <c r="BD100" s="125"/>
      <c r="BE100" s="61">
        <f>D100-C100</f>
        <v>0</v>
      </c>
      <c r="BF100" s="62">
        <f>IFERROR(D100/C100-1,0)</f>
        <v>0</v>
      </c>
    </row>
    <row r="101">
      <c r="A101" s="85">
        <v>2</v>
      </c>
      <c r="B101" s="100" t="s">
        <v>425</v>
      </c>
      <c r="C101" s="125">
        <v>0</v>
      </c>
      <c r="D101" s="30">
        <f t="shared" si="36"/>
        <v>0</v>
      </c>
      <c r="E101" s="125">
        <v>0</v>
      </c>
      <c r="F101" s="125">
        <v>0</v>
      </c>
      <c r="G101" s="125">
        <v>0</v>
      </c>
      <c r="H101" s="125"/>
      <c r="I101" s="125">
        <v>0</v>
      </c>
      <c r="J101" s="125"/>
      <c r="K101" s="125">
        <v>0</v>
      </c>
      <c r="L101" s="125"/>
      <c r="M101" s="125"/>
      <c r="N101" s="125"/>
      <c r="O101" s="125">
        <v>0</v>
      </c>
      <c r="P101" s="125"/>
      <c r="Q101" s="125"/>
      <c r="R101" s="125"/>
      <c r="S101" s="125"/>
      <c r="T101" s="125"/>
      <c r="U101" s="125"/>
      <c r="V101" s="125"/>
      <c r="W101" s="125"/>
      <c r="X101" s="125"/>
      <c r="Y101" s="125"/>
      <c r="Z101" s="125"/>
      <c r="AA101" s="125"/>
      <c r="AB101" s="125"/>
      <c r="AC101" s="125"/>
      <c r="AD101" s="125"/>
      <c r="AE101" s="125"/>
      <c r="AF101" s="125"/>
      <c r="AG101" s="125"/>
      <c r="AH101" s="125"/>
      <c r="AI101" s="125"/>
      <c r="AJ101" s="125"/>
      <c r="AK101" s="125"/>
      <c r="AL101" s="125"/>
      <c r="AM101" s="125"/>
      <c r="AN101" s="125"/>
      <c r="AO101" s="125"/>
      <c r="AP101" s="125"/>
      <c r="AQ101" s="125"/>
      <c r="AR101" s="125"/>
      <c r="AS101" s="125"/>
      <c r="AT101" s="125"/>
      <c r="AU101" s="125"/>
      <c r="AV101" s="125"/>
      <c r="AW101" s="125"/>
      <c r="AX101" s="125"/>
      <c r="AY101" s="125"/>
      <c r="AZ101" s="125"/>
      <c r="BA101" s="125"/>
      <c r="BB101" s="125"/>
      <c r="BC101" s="125"/>
      <c r="BD101" s="125"/>
      <c r="BE101" s="61">
        <f ref="BE101:BE107" t="shared" si="39">D101-C101</f>
        <v>0</v>
      </c>
      <c r="BF101" s="62">
        <f ref="BF101:BF107" t="shared" si="40">IFERROR(D101/C101-1,0)</f>
        <v>0</v>
      </c>
    </row>
    <row r="102">
      <c r="A102" s="85">
        <v>3</v>
      </c>
      <c r="B102" s="100" t="s">
        <v>426</v>
      </c>
      <c r="C102" s="125">
        <v>0</v>
      </c>
      <c r="D102" s="30">
        <f t="shared" si="36"/>
        <v>0</v>
      </c>
      <c r="E102" s="125">
        <v>0</v>
      </c>
      <c r="F102" s="125">
        <v>0</v>
      </c>
      <c r="G102" s="125">
        <v>0</v>
      </c>
      <c r="H102" s="125"/>
      <c r="I102" s="125">
        <v>0</v>
      </c>
      <c r="J102" s="125"/>
      <c r="K102" s="125">
        <v>0</v>
      </c>
      <c r="L102" s="125"/>
      <c r="M102" s="125"/>
      <c r="N102" s="125"/>
      <c r="O102" s="125">
        <v>0</v>
      </c>
      <c r="P102" s="125"/>
      <c r="Q102" s="125"/>
      <c r="R102" s="125"/>
      <c r="S102" s="125"/>
      <c r="T102" s="125"/>
      <c r="U102" s="125"/>
      <c r="V102" s="125"/>
      <c r="W102" s="125"/>
      <c r="X102" s="125"/>
      <c r="Y102" s="125"/>
      <c r="Z102" s="125"/>
      <c r="AA102" s="125"/>
      <c r="AB102" s="125"/>
      <c r="AC102" s="125"/>
      <c r="AD102" s="125"/>
      <c r="AE102" s="125"/>
      <c r="AF102" s="125"/>
      <c r="AG102" s="125"/>
      <c r="AH102" s="125"/>
      <c r="AI102" s="125"/>
      <c r="AJ102" s="125"/>
      <c r="AK102" s="125"/>
      <c r="AL102" s="125"/>
      <c r="AM102" s="125"/>
      <c r="AN102" s="125"/>
      <c r="AO102" s="125"/>
      <c r="AP102" s="125"/>
      <c r="AQ102" s="125"/>
      <c r="AR102" s="125"/>
      <c r="AS102" s="125"/>
      <c r="AT102" s="125"/>
      <c r="AU102" s="125"/>
      <c r="AV102" s="125"/>
      <c r="AW102" s="125"/>
      <c r="AX102" s="125"/>
      <c r="AY102" s="125"/>
      <c r="AZ102" s="125"/>
      <c r="BA102" s="125"/>
      <c r="BB102" s="125"/>
      <c r="BC102" s="125"/>
      <c r="BD102" s="125"/>
      <c r="BE102" s="61">
        <f t="shared" si="39"/>
        <v>0</v>
      </c>
      <c r="BF102" s="62">
        <f t="shared" si="40"/>
        <v>0</v>
      </c>
    </row>
    <row r="103">
      <c r="A103" s="85">
        <v>4</v>
      </c>
      <c r="B103" s="100" t="s">
        <v>427</v>
      </c>
      <c r="C103" s="125"/>
      <c r="D103" s="30">
        <f t="shared" si="36"/>
        <v>0</v>
      </c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125"/>
      <c r="T103" s="125"/>
      <c r="U103" s="125"/>
      <c r="V103" s="125"/>
      <c r="W103" s="125"/>
      <c r="X103" s="125"/>
      <c r="Y103" s="125"/>
      <c r="Z103" s="125"/>
      <c r="AA103" s="125"/>
      <c r="AB103" s="125"/>
      <c r="AC103" s="125"/>
      <c r="AD103" s="125"/>
      <c r="AE103" s="125"/>
      <c r="AF103" s="125"/>
      <c r="AG103" s="125"/>
      <c r="AH103" s="125"/>
      <c r="AI103" s="125"/>
      <c r="AJ103" s="125"/>
      <c r="AK103" s="125"/>
      <c r="AL103" s="125"/>
      <c r="AM103" s="125"/>
      <c r="AN103" s="125"/>
      <c r="AO103" s="125"/>
      <c r="AP103" s="125"/>
      <c r="AQ103" s="125"/>
      <c r="AR103" s="125"/>
      <c r="AS103" s="125"/>
      <c r="AT103" s="125"/>
      <c r="AU103" s="125"/>
      <c r="AV103" s="125"/>
      <c r="AW103" s="125"/>
      <c r="AX103" s="125"/>
      <c r="AY103" s="125"/>
      <c r="AZ103" s="125"/>
      <c r="BA103" s="125"/>
      <c r="BB103" s="125"/>
      <c r="BC103" s="125"/>
      <c r="BD103" s="125"/>
      <c r="BE103" s="61">
        <f t="shared" si="39"/>
        <v>0</v>
      </c>
      <c r="BF103" s="62">
        <f t="shared" si="40"/>
        <v>0</v>
      </c>
    </row>
    <row r="104">
      <c r="A104" s="85">
        <v>5</v>
      </c>
      <c r="B104" s="100" t="s">
        <v>428</v>
      </c>
      <c r="C104" s="125"/>
      <c r="D104" s="30">
        <f t="shared" si="36"/>
        <v>0</v>
      </c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125"/>
      <c r="T104" s="125"/>
      <c r="U104" s="125"/>
      <c r="V104" s="125"/>
      <c r="W104" s="125"/>
      <c r="X104" s="125"/>
      <c r="Y104" s="125"/>
      <c r="Z104" s="125"/>
      <c r="AA104" s="125"/>
      <c r="AB104" s="125"/>
      <c r="AC104" s="125"/>
      <c r="AD104" s="125"/>
      <c r="AE104" s="125"/>
      <c r="AF104" s="125"/>
      <c r="AG104" s="125"/>
      <c r="AH104" s="125"/>
      <c r="AI104" s="125"/>
      <c r="AJ104" s="125"/>
      <c r="AK104" s="125"/>
      <c r="AL104" s="125"/>
      <c r="AM104" s="125"/>
      <c r="AN104" s="125"/>
      <c r="AO104" s="125"/>
      <c r="AP104" s="125"/>
      <c r="AQ104" s="125"/>
      <c r="AR104" s="125"/>
      <c r="AS104" s="125"/>
      <c r="AT104" s="125"/>
      <c r="AU104" s="125"/>
      <c r="AV104" s="125"/>
      <c r="AW104" s="125"/>
      <c r="AX104" s="125"/>
      <c r="AY104" s="125"/>
      <c r="AZ104" s="125"/>
      <c r="BA104" s="125"/>
      <c r="BB104" s="125"/>
      <c r="BC104" s="125"/>
      <c r="BD104" s="125"/>
      <c r="BE104" s="61">
        <f t="shared" si="39"/>
        <v>0</v>
      </c>
      <c r="BF104" s="62">
        <f t="shared" si="40"/>
        <v>0</v>
      </c>
    </row>
    <row r="105">
      <c r="A105" s="85">
        <v>6</v>
      </c>
      <c r="B105" s="100" t="s">
        <v>429</v>
      </c>
      <c r="C105" s="125"/>
      <c r="D105" s="30">
        <f t="shared" si="36"/>
        <v>0</v>
      </c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125"/>
      <c r="T105" s="125"/>
      <c r="U105" s="125"/>
      <c r="V105" s="125"/>
      <c r="W105" s="125"/>
      <c r="X105" s="125"/>
      <c r="Y105" s="125"/>
      <c r="Z105" s="125"/>
      <c r="AA105" s="125"/>
      <c r="AB105" s="125"/>
      <c r="AC105" s="125"/>
      <c r="AD105" s="125"/>
      <c r="AE105" s="125"/>
      <c r="AF105" s="125"/>
      <c r="AG105" s="125"/>
      <c r="AH105" s="125"/>
      <c r="AI105" s="125"/>
      <c r="AJ105" s="125"/>
      <c r="AK105" s="125"/>
      <c r="AL105" s="125"/>
      <c r="AM105" s="125"/>
      <c r="AN105" s="125"/>
      <c r="AO105" s="125"/>
      <c r="AP105" s="125"/>
      <c r="AQ105" s="125"/>
      <c r="AR105" s="125"/>
      <c r="AS105" s="125"/>
      <c r="AT105" s="125"/>
      <c r="AU105" s="125"/>
      <c r="AV105" s="125"/>
      <c r="AW105" s="125"/>
      <c r="AX105" s="125"/>
      <c r="AY105" s="125"/>
      <c r="AZ105" s="125"/>
      <c r="BA105" s="125"/>
      <c r="BB105" s="125"/>
      <c r="BC105" s="125"/>
      <c r="BD105" s="125"/>
      <c r="BE105" s="61">
        <f t="shared" si="39"/>
        <v>0</v>
      </c>
      <c r="BF105" s="62">
        <f t="shared" si="40"/>
        <v>0</v>
      </c>
    </row>
    <row r="106">
      <c r="A106" s="85">
        <v>7</v>
      </c>
      <c r="B106" s="100" t="s">
        <v>430</v>
      </c>
      <c r="C106" s="125">
        <v>0</v>
      </c>
      <c r="D106" s="30">
        <f t="shared" si="36"/>
        <v>0</v>
      </c>
      <c r="E106" s="125">
        <v>0</v>
      </c>
      <c r="F106" s="125">
        <v>0</v>
      </c>
      <c r="G106" s="125">
        <v>0</v>
      </c>
      <c r="H106" s="125"/>
      <c r="I106" s="125">
        <v>0</v>
      </c>
      <c r="J106" s="125"/>
      <c r="K106" s="125">
        <v>0</v>
      </c>
      <c r="L106" s="125"/>
      <c r="M106" s="125"/>
      <c r="N106" s="125"/>
      <c r="O106" s="125">
        <v>0</v>
      </c>
      <c r="P106" s="125"/>
      <c r="Q106" s="125"/>
      <c r="R106" s="125"/>
      <c r="S106" s="125"/>
      <c r="T106" s="125"/>
      <c r="U106" s="125"/>
      <c r="V106" s="125"/>
      <c r="W106" s="125"/>
      <c r="X106" s="125"/>
      <c r="Y106" s="125"/>
      <c r="Z106" s="125"/>
      <c r="AA106" s="125"/>
      <c r="AB106" s="125"/>
      <c r="AC106" s="125"/>
      <c r="AD106" s="125"/>
      <c r="AE106" s="125"/>
      <c r="AF106" s="125"/>
      <c r="AG106" s="125"/>
      <c r="AH106" s="125"/>
      <c r="AI106" s="125"/>
      <c r="AJ106" s="125"/>
      <c r="AK106" s="125"/>
      <c r="AL106" s="125"/>
      <c r="AM106" s="125"/>
      <c r="AN106" s="125"/>
      <c r="AO106" s="125"/>
      <c r="AP106" s="125"/>
      <c r="AQ106" s="125"/>
      <c r="AR106" s="125"/>
      <c r="AS106" s="125"/>
      <c r="AT106" s="125"/>
      <c r="AU106" s="125"/>
      <c r="AV106" s="125"/>
      <c r="AW106" s="125"/>
      <c r="AX106" s="125"/>
      <c r="AY106" s="125"/>
      <c r="AZ106" s="125"/>
      <c r="BA106" s="125"/>
      <c r="BB106" s="125"/>
      <c r="BC106" s="125"/>
      <c r="BD106" s="125"/>
      <c r="BE106" s="61">
        <f t="shared" si="39"/>
        <v>0</v>
      </c>
      <c r="BF106" s="62">
        <f t="shared" si="40"/>
        <v>0</v>
      </c>
    </row>
    <row r="107">
      <c r="A107" s="104">
        <v>8</v>
      </c>
      <c r="B107" s="105" t="s">
        <v>431</v>
      </c>
      <c r="C107" s="33">
        <f>C100+C101+C102+C103+C104+C105+C106</f>
        <v>0</v>
      </c>
      <c r="D107" s="33">
        <f t="shared" si="36"/>
        <v>0</v>
      </c>
      <c r="E107" s="33">
        <f>E100+E101+E102+E103+E104+E105+E106</f>
        <v>0</v>
      </c>
      <c r="F107" s="33">
        <f ref="F107:BD107" t="shared" si="41">F100+F101+F102+F103+F104+F105+F106</f>
        <v>0</v>
      </c>
      <c r="G107" s="33">
        <f t="shared" si="41"/>
        <v>0</v>
      </c>
      <c r="H107" s="33">
        <f t="shared" si="41"/>
        <v>0</v>
      </c>
      <c r="I107" s="33">
        <f t="shared" si="41"/>
        <v>0</v>
      </c>
      <c r="J107" s="33">
        <f t="shared" si="41"/>
        <v>0</v>
      </c>
      <c r="K107" s="33">
        <f t="shared" si="41"/>
        <v>0</v>
      </c>
      <c r="L107" s="33">
        <f t="shared" si="41"/>
        <v>0</v>
      </c>
      <c r="M107" s="33">
        <f t="shared" si="41"/>
        <v>0</v>
      </c>
      <c r="N107" s="33">
        <f t="shared" si="41"/>
        <v>0</v>
      </c>
      <c r="O107" s="33">
        <f t="shared" si="41"/>
        <v>0</v>
      </c>
      <c r="P107" s="33">
        <f t="shared" si="41"/>
        <v>0</v>
      </c>
      <c r="Q107" s="33">
        <f t="shared" si="41"/>
        <v>0</v>
      </c>
      <c r="R107" s="33">
        <f t="shared" si="41"/>
        <v>0</v>
      </c>
      <c r="S107" s="33">
        <f t="shared" si="41"/>
        <v>0</v>
      </c>
      <c r="T107" s="33">
        <f t="shared" si="41"/>
        <v>0</v>
      </c>
      <c r="U107" s="33">
        <f t="shared" si="41"/>
        <v>0</v>
      </c>
      <c r="V107" s="33">
        <f t="shared" si="41"/>
        <v>0</v>
      </c>
      <c r="W107" s="33">
        <f t="shared" si="41"/>
        <v>0</v>
      </c>
      <c r="X107" s="33">
        <f t="shared" si="41"/>
        <v>0</v>
      </c>
      <c r="Y107" s="33">
        <f t="shared" si="41"/>
        <v>0</v>
      </c>
      <c r="Z107" s="33">
        <f t="shared" si="41"/>
        <v>0</v>
      </c>
      <c r="AA107" s="33">
        <f t="shared" si="41"/>
        <v>0</v>
      </c>
      <c r="AB107" s="33">
        <f t="shared" si="41"/>
        <v>0</v>
      </c>
      <c r="AC107" s="33">
        <f t="shared" si="41"/>
        <v>0</v>
      </c>
      <c r="AD107" s="33">
        <f t="shared" si="41"/>
        <v>0</v>
      </c>
      <c r="AE107" s="33">
        <f t="shared" si="41"/>
        <v>0</v>
      </c>
      <c r="AF107" s="33">
        <f t="shared" si="41"/>
        <v>0</v>
      </c>
      <c r="AG107" s="33">
        <f t="shared" si="41"/>
        <v>0</v>
      </c>
      <c r="AH107" s="33">
        <f t="shared" si="41"/>
        <v>0</v>
      </c>
      <c r="AI107" s="33">
        <f t="shared" si="41"/>
        <v>0</v>
      </c>
      <c r="AJ107" s="33">
        <f t="shared" si="41"/>
        <v>0</v>
      </c>
      <c r="AK107" s="33">
        <f t="shared" si="41"/>
        <v>0</v>
      </c>
      <c r="AL107" s="33">
        <f t="shared" si="41"/>
        <v>0</v>
      </c>
      <c r="AM107" s="33">
        <f t="shared" si="41"/>
        <v>0</v>
      </c>
      <c r="AN107" s="33">
        <f t="shared" si="41"/>
        <v>0</v>
      </c>
      <c r="AO107" s="33">
        <f t="shared" si="41"/>
        <v>0</v>
      </c>
      <c r="AP107" s="33">
        <f t="shared" si="41"/>
        <v>0</v>
      </c>
      <c r="AQ107" s="33">
        <f t="shared" si="41"/>
        <v>0</v>
      </c>
      <c r="AR107" s="33">
        <f t="shared" si="41"/>
        <v>0</v>
      </c>
      <c r="AS107" s="33">
        <f t="shared" si="41"/>
        <v>0</v>
      </c>
      <c r="AT107" s="33">
        <f t="shared" si="41"/>
        <v>0</v>
      </c>
      <c r="AU107" s="33">
        <f t="shared" si="41"/>
        <v>0</v>
      </c>
      <c r="AV107" s="33">
        <f t="shared" si="41"/>
        <v>0</v>
      </c>
      <c r="AW107" s="33">
        <f t="shared" si="41"/>
        <v>0</v>
      </c>
      <c r="AX107" s="33">
        <f t="shared" si="41"/>
        <v>0</v>
      </c>
      <c r="AY107" s="33">
        <f t="shared" si="41"/>
        <v>0</v>
      </c>
      <c r="AZ107" s="33">
        <f t="shared" si="41"/>
        <v>0</v>
      </c>
      <c r="BA107" s="33">
        <f t="shared" si="41"/>
        <v>0</v>
      </c>
      <c r="BB107" s="33">
        <f ref="BB107:BC107" t="shared" si="42">BB100+BB101+BB102+BB103+BB104+BB105+BB106</f>
        <v>0</v>
      </c>
      <c r="BC107" s="33">
        <f t="shared" si="42"/>
        <v>0</v>
      </c>
      <c r="BD107" s="33">
        <f t="shared" si="41"/>
        <v>0</v>
      </c>
      <c r="BE107" s="53">
        <f t="shared" si="39"/>
        <v>0</v>
      </c>
      <c r="BF107" s="54">
        <f t="shared" si="40"/>
        <v>0</v>
      </c>
    </row>
    <row r="108">
      <c r="A108" s="104"/>
      <c r="B108" s="105" t="s">
        <v>432</v>
      </c>
      <c r="C108" s="267"/>
      <c r="D108" s="267"/>
      <c r="E108" s="267"/>
      <c r="F108" s="267"/>
      <c r="G108" s="267"/>
      <c r="H108" s="267"/>
      <c r="I108" s="267"/>
      <c r="J108" s="267"/>
      <c r="K108" s="267"/>
      <c r="L108" s="267"/>
      <c r="M108" s="267"/>
      <c r="N108" s="267"/>
      <c r="O108" s="267"/>
      <c r="P108" s="267"/>
      <c r="Q108" s="267"/>
      <c r="R108" s="267"/>
      <c r="S108" s="267"/>
      <c r="T108" s="267"/>
      <c r="U108" s="267"/>
      <c r="V108" s="267"/>
      <c r="W108" s="267"/>
      <c r="X108" s="267"/>
      <c r="Y108" s="267"/>
      <c r="Z108" s="267"/>
      <c r="AA108" s="267"/>
      <c r="AB108" s="267"/>
      <c r="AC108" s="267"/>
      <c r="AD108" s="267"/>
      <c r="AE108" s="267"/>
      <c r="AF108" s="267"/>
      <c r="AG108" s="267"/>
      <c r="AH108" s="267"/>
      <c r="AI108" s="267"/>
      <c r="AJ108" s="267"/>
      <c r="AK108" s="267"/>
      <c r="AL108" s="267"/>
      <c r="AM108" s="267"/>
      <c r="AN108" s="267"/>
      <c r="AO108" s="267"/>
      <c r="AP108" s="267"/>
      <c r="AQ108" s="267"/>
      <c r="AR108" s="267"/>
      <c r="AS108" s="267"/>
      <c r="AT108" s="267"/>
      <c r="AU108" s="267"/>
      <c r="AV108" s="267"/>
      <c r="AW108" s="267"/>
      <c r="AX108" s="267"/>
      <c r="AY108" s="267"/>
      <c r="AZ108" s="267"/>
      <c r="BA108" s="267"/>
      <c r="BB108" s="267"/>
      <c r="BC108" s="267"/>
      <c r="BD108" s="268"/>
      <c r="BE108" s="53" t="s">
        <v>266</v>
      </c>
      <c r="BF108" s="54" t="s">
        <v>267</v>
      </c>
    </row>
    <row r="109">
      <c r="A109" s="104">
        <v>9</v>
      </c>
      <c r="B109" s="100" t="s">
        <v>433</v>
      </c>
      <c r="C109" s="125"/>
      <c r="D109" s="30">
        <f>SUM(E109:BD109)</f>
        <v>0</v>
      </c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125"/>
      <c r="T109" s="125"/>
      <c r="U109" s="125"/>
      <c r="V109" s="125"/>
      <c r="W109" s="125"/>
      <c r="X109" s="125"/>
      <c r="Y109" s="125"/>
      <c r="Z109" s="125"/>
      <c r="AA109" s="125"/>
      <c r="AB109" s="125"/>
      <c r="AC109" s="125"/>
      <c r="AD109" s="125"/>
      <c r="AE109" s="125"/>
      <c r="AF109" s="125"/>
      <c r="AG109" s="125"/>
      <c r="AH109" s="125"/>
      <c r="AI109" s="125"/>
      <c r="AJ109" s="125"/>
      <c r="AK109" s="125"/>
      <c r="AL109" s="125"/>
      <c r="AM109" s="125"/>
      <c r="AN109" s="125"/>
      <c r="AO109" s="125"/>
      <c r="AP109" s="125"/>
      <c r="AQ109" s="125"/>
      <c r="AR109" s="125"/>
      <c r="AS109" s="125"/>
      <c r="AT109" s="125"/>
      <c r="AU109" s="125"/>
      <c r="AV109" s="125"/>
      <c r="AW109" s="125"/>
      <c r="AX109" s="125"/>
      <c r="AY109" s="125"/>
      <c r="AZ109" s="125"/>
      <c r="BA109" s="125"/>
      <c r="BB109" s="125"/>
      <c r="BC109" s="125"/>
      <c r="BD109" s="125"/>
      <c r="BE109" s="61">
        <f>D109-C109</f>
        <v>0</v>
      </c>
      <c r="BF109" s="62">
        <f>IFERROR(D109/C109-1,0)</f>
        <v>0</v>
      </c>
    </row>
    <row r="110">
      <c r="A110" s="104">
        <v>10</v>
      </c>
      <c r="B110" s="100" t="s">
        <v>427</v>
      </c>
      <c r="C110" s="125"/>
      <c r="D110" s="30">
        <f>SUM(E110:BD110)</f>
        <v>0</v>
      </c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125"/>
      <c r="T110" s="125"/>
      <c r="U110" s="125"/>
      <c r="V110" s="125"/>
      <c r="W110" s="125"/>
      <c r="X110" s="125"/>
      <c r="Y110" s="125"/>
      <c r="Z110" s="125"/>
      <c r="AA110" s="125"/>
      <c r="AB110" s="125"/>
      <c r="AC110" s="125"/>
      <c r="AD110" s="125"/>
      <c r="AE110" s="125"/>
      <c r="AF110" s="125"/>
      <c r="AG110" s="125"/>
      <c r="AH110" s="125"/>
      <c r="AI110" s="125"/>
      <c r="AJ110" s="125"/>
      <c r="AK110" s="125"/>
      <c r="AL110" s="125"/>
      <c r="AM110" s="125"/>
      <c r="AN110" s="125"/>
      <c r="AO110" s="125"/>
      <c r="AP110" s="125"/>
      <c r="AQ110" s="125"/>
      <c r="AR110" s="125"/>
      <c r="AS110" s="125"/>
      <c r="AT110" s="125"/>
      <c r="AU110" s="125"/>
      <c r="AV110" s="125"/>
      <c r="AW110" s="125"/>
      <c r="AX110" s="125"/>
      <c r="AY110" s="125"/>
      <c r="AZ110" s="125"/>
      <c r="BA110" s="125"/>
      <c r="BB110" s="125"/>
      <c r="BC110" s="125"/>
      <c r="BD110" s="125"/>
      <c r="BE110" s="61">
        <f ref="BE110:BE112" t="shared" si="45">D110-C110</f>
        <v>0</v>
      </c>
      <c r="BF110" s="62">
        <f ref="BF110:BF112" t="shared" si="46">IFERROR(D110/C110-1,0)</f>
        <v>0</v>
      </c>
    </row>
    <row r="111">
      <c r="A111" s="104">
        <v>11</v>
      </c>
      <c r="B111" s="100" t="s">
        <v>428</v>
      </c>
      <c r="C111" s="125"/>
      <c r="D111" s="30">
        <f>SUM(E111:BD111)</f>
        <v>0</v>
      </c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125"/>
      <c r="T111" s="125"/>
      <c r="U111" s="125"/>
      <c r="V111" s="125"/>
      <c r="W111" s="125"/>
      <c r="X111" s="125"/>
      <c r="Y111" s="125"/>
      <c r="Z111" s="125"/>
      <c r="AA111" s="125"/>
      <c r="AB111" s="125"/>
      <c r="AC111" s="125"/>
      <c r="AD111" s="125"/>
      <c r="AE111" s="125"/>
      <c r="AF111" s="125"/>
      <c r="AG111" s="125"/>
      <c r="AH111" s="125"/>
      <c r="AI111" s="125"/>
      <c r="AJ111" s="125"/>
      <c r="AK111" s="125"/>
      <c r="AL111" s="125"/>
      <c r="AM111" s="125"/>
      <c r="AN111" s="125"/>
      <c r="AO111" s="125"/>
      <c r="AP111" s="125"/>
      <c r="AQ111" s="125"/>
      <c r="AR111" s="125"/>
      <c r="AS111" s="125"/>
      <c r="AT111" s="125"/>
      <c r="AU111" s="125"/>
      <c r="AV111" s="125"/>
      <c r="AW111" s="125"/>
      <c r="AX111" s="125"/>
      <c r="AY111" s="125"/>
      <c r="AZ111" s="125"/>
      <c r="BA111" s="125"/>
      <c r="BB111" s="125"/>
      <c r="BC111" s="125"/>
      <c r="BD111" s="125"/>
      <c r="BE111" s="61">
        <f t="shared" si="45"/>
        <v>0</v>
      </c>
      <c r="BF111" s="62">
        <f t="shared" si="46"/>
        <v>0</v>
      </c>
    </row>
    <row r="112">
      <c r="A112" s="104">
        <v>12</v>
      </c>
      <c r="B112" s="100" t="s">
        <v>429</v>
      </c>
      <c r="C112" s="125"/>
      <c r="D112" s="30">
        <f>SUM(E112:BD112)</f>
        <v>0</v>
      </c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125"/>
      <c r="T112" s="125"/>
      <c r="U112" s="125"/>
      <c r="V112" s="125"/>
      <c r="W112" s="125"/>
      <c r="X112" s="125"/>
      <c r="Y112" s="125"/>
      <c r="Z112" s="125"/>
      <c r="AA112" s="125"/>
      <c r="AB112" s="125"/>
      <c r="AC112" s="125"/>
      <c r="AD112" s="125"/>
      <c r="AE112" s="125"/>
      <c r="AF112" s="125"/>
      <c r="AG112" s="125"/>
      <c r="AH112" s="125"/>
      <c r="AI112" s="125"/>
      <c r="AJ112" s="125"/>
      <c r="AK112" s="125"/>
      <c r="AL112" s="125"/>
      <c r="AM112" s="125"/>
      <c r="AN112" s="125"/>
      <c r="AO112" s="125"/>
      <c r="AP112" s="125"/>
      <c r="AQ112" s="125"/>
      <c r="AR112" s="125"/>
      <c r="AS112" s="125"/>
      <c r="AT112" s="125"/>
      <c r="AU112" s="125"/>
      <c r="AV112" s="125"/>
      <c r="AW112" s="125"/>
      <c r="AX112" s="125"/>
      <c r="AY112" s="125"/>
      <c r="AZ112" s="125"/>
      <c r="BA112" s="125"/>
      <c r="BB112" s="125"/>
      <c r="BC112" s="125"/>
      <c r="BD112" s="125"/>
      <c r="BE112" s="61">
        <f t="shared" si="45"/>
        <v>0</v>
      </c>
      <c r="BF112" s="62">
        <f t="shared" si="46"/>
        <v>0</v>
      </c>
    </row>
    <row r="113">
      <c r="A113" s="104">
        <v>13</v>
      </c>
      <c r="B113" s="105" t="s">
        <v>434</v>
      </c>
      <c r="C113" s="33">
        <f>C109+C110+C111+C112+C130</f>
        <v>0</v>
      </c>
      <c r="D113" s="33">
        <f>SUM(E113:BD113)</f>
        <v>0</v>
      </c>
      <c r="E113" s="33">
        <f>E109+E110+E111+E112+E130</f>
        <v>0</v>
      </c>
      <c r="F113" s="33">
        <f ref="F113:BD113" t="shared" si="47">F109+F110+F111+F112+F130</f>
        <v>0</v>
      </c>
      <c r="G113" s="33">
        <f t="shared" si="47"/>
        <v>0</v>
      </c>
      <c r="H113" s="33">
        <f t="shared" si="47"/>
        <v>0</v>
      </c>
      <c r="I113" s="33">
        <f t="shared" si="47"/>
        <v>0</v>
      </c>
      <c r="J113" s="33">
        <f t="shared" si="47"/>
        <v>0</v>
      </c>
      <c r="K113" s="33">
        <f t="shared" si="47"/>
        <v>0</v>
      </c>
      <c r="L113" s="33">
        <f t="shared" si="47"/>
        <v>0</v>
      </c>
      <c r="M113" s="33">
        <f t="shared" si="47"/>
        <v>0</v>
      </c>
      <c r="N113" s="33">
        <f t="shared" si="47"/>
        <v>0</v>
      </c>
      <c r="O113" s="33">
        <f t="shared" si="47"/>
        <v>0</v>
      </c>
      <c r="P113" s="33">
        <f t="shared" si="47"/>
        <v>0</v>
      </c>
      <c r="Q113" s="33">
        <f t="shared" si="47"/>
        <v>0</v>
      </c>
      <c r="R113" s="33">
        <f t="shared" si="47"/>
        <v>0</v>
      </c>
      <c r="S113" s="33">
        <f t="shared" si="47"/>
        <v>0</v>
      </c>
      <c r="T113" s="33">
        <f t="shared" si="47"/>
        <v>0</v>
      </c>
      <c r="U113" s="33">
        <f t="shared" si="47"/>
        <v>0</v>
      </c>
      <c r="V113" s="33">
        <f t="shared" si="47"/>
        <v>0</v>
      </c>
      <c r="W113" s="33">
        <f t="shared" si="47"/>
        <v>0</v>
      </c>
      <c r="X113" s="33">
        <f t="shared" si="47"/>
        <v>0</v>
      </c>
      <c r="Y113" s="33">
        <f t="shared" si="47"/>
        <v>0</v>
      </c>
      <c r="Z113" s="33">
        <f t="shared" si="47"/>
        <v>0</v>
      </c>
      <c r="AA113" s="33">
        <f t="shared" si="47"/>
        <v>0</v>
      </c>
      <c r="AB113" s="33">
        <f t="shared" si="47"/>
        <v>0</v>
      </c>
      <c r="AC113" s="33">
        <f t="shared" si="47"/>
        <v>0</v>
      </c>
      <c r="AD113" s="33">
        <f t="shared" si="47"/>
        <v>0</v>
      </c>
      <c r="AE113" s="33">
        <f t="shared" si="47"/>
        <v>0</v>
      </c>
      <c r="AF113" s="33">
        <f t="shared" si="47"/>
        <v>0</v>
      </c>
      <c r="AG113" s="33">
        <f t="shared" si="47"/>
        <v>0</v>
      </c>
      <c r="AH113" s="33">
        <f t="shared" si="47"/>
        <v>0</v>
      </c>
      <c r="AI113" s="33">
        <f t="shared" si="47"/>
        <v>0</v>
      </c>
      <c r="AJ113" s="33">
        <f t="shared" si="47"/>
        <v>0</v>
      </c>
      <c r="AK113" s="33">
        <f t="shared" si="47"/>
        <v>0</v>
      </c>
      <c r="AL113" s="33">
        <f t="shared" si="47"/>
        <v>0</v>
      </c>
      <c r="AM113" s="33">
        <f t="shared" si="47"/>
        <v>0</v>
      </c>
      <c r="AN113" s="33">
        <f t="shared" si="47"/>
        <v>0</v>
      </c>
      <c r="AO113" s="33">
        <f t="shared" si="47"/>
        <v>0</v>
      </c>
      <c r="AP113" s="33">
        <f t="shared" si="47"/>
        <v>0</v>
      </c>
      <c r="AQ113" s="33">
        <f t="shared" si="47"/>
        <v>0</v>
      </c>
      <c r="AR113" s="33">
        <f t="shared" si="47"/>
        <v>0</v>
      </c>
      <c r="AS113" s="33">
        <f t="shared" si="47"/>
        <v>0</v>
      </c>
      <c r="AT113" s="33">
        <f t="shared" si="47"/>
        <v>0</v>
      </c>
      <c r="AU113" s="33">
        <f t="shared" si="47"/>
        <v>0</v>
      </c>
      <c r="AV113" s="33">
        <f t="shared" si="47"/>
        <v>0</v>
      </c>
      <c r="AW113" s="33">
        <f t="shared" si="47"/>
        <v>0</v>
      </c>
      <c r="AX113" s="33">
        <f t="shared" si="47"/>
        <v>0</v>
      </c>
      <c r="AY113" s="33">
        <f t="shared" si="47"/>
        <v>0</v>
      </c>
      <c r="AZ113" s="33">
        <f t="shared" si="47"/>
        <v>0</v>
      </c>
      <c r="BA113" s="33">
        <f t="shared" si="47"/>
        <v>0</v>
      </c>
      <c r="BB113" s="33">
        <f ref="BB113:BC113" t="shared" si="48">BB109+BB110+BB111+BB112+BB130</f>
        <v>0</v>
      </c>
      <c r="BC113" s="33">
        <f t="shared" si="48"/>
        <v>0</v>
      </c>
      <c r="BD113" s="33">
        <f t="shared" si="47"/>
        <v>0</v>
      </c>
      <c r="BE113" s="53">
        <f>D113-C113</f>
        <v>0</v>
      </c>
      <c r="BF113" s="54">
        <f>IFERROR(D113/C113-1,0)</f>
        <v>0</v>
      </c>
    </row>
    <row r="114">
      <c r="A114" s="106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</row>
    <row r="115" ht="28.5">
      <c r="A115" s="103" t="s">
        <v>435</v>
      </c>
      <c r="B115" s="103"/>
      <c r="C115" s="32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  <c r="AD115" s="32"/>
      <c r="AE115" s="32"/>
      <c r="AF115" s="32"/>
      <c r="AG115" s="32"/>
      <c r="AH115" s="32"/>
      <c r="AI115" s="32"/>
      <c r="AJ115" s="32"/>
      <c r="AK115" s="32"/>
      <c r="AL115" s="32"/>
      <c r="AM115" s="32"/>
      <c r="AN115" s="32"/>
      <c r="AO115" s="32"/>
      <c r="AP115" s="32"/>
      <c r="AQ115" s="32"/>
      <c r="AR115" s="32"/>
      <c r="AS115" s="32"/>
      <c r="AT115" s="32"/>
      <c r="AU115" s="32"/>
      <c r="AV115" s="32"/>
      <c r="AW115" s="32"/>
      <c r="AX115" s="32"/>
      <c r="AY115" s="32"/>
      <c r="AZ115" s="32"/>
      <c r="BA115" s="32"/>
      <c r="BB115" s="32"/>
      <c r="BC115" s="32"/>
      <c r="BD115" s="32"/>
      <c r="BE115" s="259" t="s">
        <v>211</v>
      </c>
      <c r="BF115" s="260"/>
    </row>
    <row r="116" ht="15.75">
      <c r="A116" s="105"/>
      <c r="B116" s="105" t="s">
        <v>436</v>
      </c>
      <c r="C116" s="33" t="str">
        <f>C$8</f>
        <v>CƏMİ</v>
      </c>
      <c r="D116" s="33" t="str">
        <f>D$8</f>
        <v>CƏMİ</v>
      </c>
      <c r="E116" s="13" t="s">
        <v>214</v>
      </c>
      <c r="F116" s="13" t="s">
        <v>215</v>
      </c>
      <c r="G116" s="13" t="s">
        <v>216</v>
      </c>
      <c r="H116" s="13" t="s">
        <v>217</v>
      </c>
      <c r="I116" s="13" t="s">
        <v>218</v>
      </c>
      <c r="J116" s="13" t="s">
        <v>219</v>
      </c>
      <c r="K116" s="13" t="s">
        <v>220</v>
      </c>
      <c r="L116" s="13" t="s">
        <v>221</v>
      </c>
      <c r="M116" s="13" t="s">
        <v>222</v>
      </c>
      <c r="N116" s="13" t="s">
        <v>223</v>
      </c>
      <c r="O116" s="13" t="s">
        <v>224</v>
      </c>
      <c r="P116" s="13" t="s">
        <v>225</v>
      </c>
      <c r="Q116" s="13" t="s">
        <v>226</v>
      </c>
      <c r="R116" s="13" t="s">
        <v>227</v>
      </c>
      <c r="S116" s="13" t="s">
        <v>228</v>
      </c>
      <c r="T116" s="13" t="s">
        <v>229</v>
      </c>
      <c r="U116" s="13" t="s">
        <v>230</v>
      </c>
      <c r="V116" s="13" t="s">
        <v>231</v>
      </c>
      <c r="W116" s="13" t="s">
        <v>232</v>
      </c>
      <c r="X116" s="13" t="s">
        <v>233</v>
      </c>
      <c r="Y116" s="13" t="s">
        <v>234</v>
      </c>
      <c r="Z116" s="13" t="s">
        <v>235</v>
      </c>
      <c r="AA116" s="13" t="s">
        <v>236</v>
      </c>
      <c r="AB116" s="13" t="s">
        <v>237</v>
      </c>
      <c r="AC116" s="13" t="s">
        <v>238</v>
      </c>
      <c r="AD116" s="13" t="s">
        <v>239</v>
      </c>
      <c r="AE116" s="13" t="s">
        <v>240</v>
      </c>
      <c r="AF116" s="13" t="s">
        <v>241</v>
      </c>
      <c r="AG116" s="13" t="s">
        <v>242</v>
      </c>
      <c r="AH116" s="13" t="s">
        <v>243</v>
      </c>
      <c r="AI116" s="13" t="s">
        <v>244</v>
      </c>
      <c r="AJ116" s="13" t="s">
        <v>245</v>
      </c>
      <c r="AK116" s="13" t="s">
        <v>246</v>
      </c>
      <c r="AL116" s="13" t="s">
        <v>247</v>
      </c>
      <c r="AM116" s="13" t="s">
        <v>248</v>
      </c>
      <c r="AN116" s="13" t="s">
        <v>249</v>
      </c>
      <c r="AO116" s="13" t="s">
        <v>250</v>
      </c>
      <c r="AP116" s="13" t="s">
        <v>251</v>
      </c>
      <c r="AQ116" s="13" t="s">
        <v>252</v>
      </c>
      <c r="AR116" s="13" t="s">
        <v>253</v>
      </c>
      <c r="AS116" s="13" t="s">
        <v>254</v>
      </c>
      <c r="AT116" s="13" t="s">
        <v>255</v>
      </c>
      <c r="AU116" s="13" t="s">
        <v>256</v>
      </c>
      <c r="AV116" s="13" t="s">
        <v>257</v>
      </c>
      <c r="AW116" s="13" t="s">
        <v>258</v>
      </c>
      <c r="AX116" s="13" t="s">
        <v>259</v>
      </c>
      <c r="AY116" s="13" t="s">
        <v>260</v>
      </c>
      <c r="AZ116" s="13" t="s">
        <v>261</v>
      </c>
      <c r="BA116" s="13" t="s">
        <v>262</v>
      </c>
      <c r="BB116" s="13" t="s">
        <v>263</v>
      </c>
      <c r="BC116" s="13" t="s">
        <v>264</v>
      </c>
      <c r="BD116" s="13" t="s">
        <v>265</v>
      </c>
      <c r="BE116" s="53" t="s">
        <v>266</v>
      </c>
      <c r="BF116" s="54" t="s">
        <v>267</v>
      </c>
    </row>
    <row r="117" ht="60" s="3" customFormat="1">
      <c r="A117" s="105"/>
      <c r="B117" s="107" t="s">
        <v>437</v>
      </c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65"/>
      <c r="BF117" s="66"/>
    </row>
    <row r="118">
      <c r="A118" s="85">
        <v>1</v>
      </c>
      <c r="B118" s="100" t="s">
        <v>438</v>
      </c>
      <c r="C118" s="30">
        <f>C119+C120+C121</f>
        <v>0</v>
      </c>
      <c r="D118" s="30">
        <f ref="D118:D130" t="shared" si="52">SUM(E118:BD118)</f>
        <v>0</v>
      </c>
      <c r="E118" s="125">
        <f>E119+E120+E121</f>
        <v>0</v>
      </c>
      <c r="F118" s="125">
        <f ref="F118:BD118" t="shared" si="53">F119+F120+F121</f>
        <v>0</v>
      </c>
      <c r="G118" s="125">
        <f t="shared" si="53"/>
        <v>0</v>
      </c>
      <c r="H118" s="125">
        <f t="shared" si="53"/>
        <v>0</v>
      </c>
      <c r="I118" s="125">
        <f t="shared" si="53"/>
        <v>0</v>
      </c>
      <c r="J118" s="125">
        <f t="shared" si="53"/>
        <v>0</v>
      </c>
      <c r="K118" s="125">
        <f t="shared" si="53"/>
        <v>0</v>
      </c>
      <c r="L118" s="125">
        <f t="shared" si="53"/>
        <v>0</v>
      </c>
      <c r="M118" s="125">
        <f t="shared" si="53"/>
        <v>0</v>
      </c>
      <c r="N118" s="125">
        <f t="shared" si="53"/>
        <v>0</v>
      </c>
      <c r="O118" s="125">
        <f t="shared" si="53"/>
        <v>0</v>
      </c>
      <c r="P118" s="125">
        <f t="shared" si="53"/>
        <v>0</v>
      </c>
      <c r="Q118" s="125">
        <f t="shared" si="53"/>
        <v>0</v>
      </c>
      <c r="R118" s="125">
        <f t="shared" si="53"/>
        <v>0</v>
      </c>
      <c r="S118" s="125">
        <f t="shared" si="53"/>
        <v>0</v>
      </c>
      <c r="T118" s="125">
        <f t="shared" si="53"/>
        <v>0</v>
      </c>
      <c r="U118" s="125">
        <f t="shared" si="53"/>
        <v>0</v>
      </c>
      <c r="V118" s="125">
        <f t="shared" si="53"/>
        <v>0</v>
      </c>
      <c r="W118" s="125">
        <f t="shared" si="53"/>
        <v>0</v>
      </c>
      <c r="X118" s="125">
        <f t="shared" si="53"/>
        <v>0</v>
      </c>
      <c r="Y118" s="125">
        <f t="shared" si="53"/>
        <v>0</v>
      </c>
      <c r="Z118" s="125">
        <f t="shared" si="53"/>
        <v>0</v>
      </c>
      <c r="AA118" s="125">
        <f t="shared" si="53"/>
        <v>0</v>
      </c>
      <c r="AB118" s="125">
        <f t="shared" si="53"/>
        <v>0</v>
      </c>
      <c r="AC118" s="125">
        <f t="shared" si="53"/>
        <v>0</v>
      </c>
      <c r="AD118" s="125">
        <f t="shared" si="53"/>
        <v>0</v>
      </c>
      <c r="AE118" s="125">
        <f t="shared" si="53"/>
        <v>0</v>
      </c>
      <c r="AF118" s="125">
        <f t="shared" si="53"/>
        <v>0</v>
      </c>
      <c r="AG118" s="125">
        <f t="shared" si="53"/>
        <v>0</v>
      </c>
      <c r="AH118" s="125">
        <f t="shared" si="53"/>
        <v>0</v>
      </c>
      <c r="AI118" s="125">
        <f t="shared" si="53"/>
        <v>0</v>
      </c>
      <c r="AJ118" s="125">
        <f t="shared" si="53"/>
        <v>0</v>
      </c>
      <c r="AK118" s="125">
        <f t="shared" si="53"/>
        <v>0</v>
      </c>
      <c r="AL118" s="125">
        <f t="shared" si="53"/>
        <v>0</v>
      </c>
      <c r="AM118" s="125">
        <f t="shared" si="53"/>
        <v>0</v>
      </c>
      <c r="AN118" s="125">
        <f t="shared" si="53"/>
        <v>0</v>
      </c>
      <c r="AO118" s="125">
        <f t="shared" si="53"/>
        <v>0</v>
      </c>
      <c r="AP118" s="125">
        <f t="shared" si="53"/>
        <v>0</v>
      </c>
      <c r="AQ118" s="125">
        <f t="shared" si="53"/>
        <v>0</v>
      </c>
      <c r="AR118" s="125">
        <f t="shared" si="53"/>
        <v>0</v>
      </c>
      <c r="AS118" s="125">
        <f t="shared" si="53"/>
        <v>0</v>
      </c>
      <c r="AT118" s="125">
        <f t="shared" si="53"/>
        <v>0</v>
      </c>
      <c r="AU118" s="125">
        <f t="shared" si="53"/>
        <v>0</v>
      </c>
      <c r="AV118" s="125">
        <f t="shared" si="53"/>
        <v>0</v>
      </c>
      <c r="AW118" s="125">
        <f t="shared" si="53"/>
        <v>0</v>
      </c>
      <c r="AX118" s="125">
        <f t="shared" si="53"/>
        <v>0</v>
      </c>
      <c r="AY118" s="125">
        <f t="shared" si="53"/>
        <v>0</v>
      </c>
      <c r="AZ118" s="125">
        <f t="shared" si="53"/>
        <v>0</v>
      </c>
      <c r="BA118" s="125">
        <f t="shared" si="53"/>
        <v>0</v>
      </c>
      <c r="BB118" s="125">
        <f ref="BB118:BC118" t="shared" si="54">BB119+BB120+BB121</f>
        <v>0</v>
      </c>
      <c r="BC118" s="125">
        <f t="shared" si="54"/>
        <v>0</v>
      </c>
      <c r="BD118" s="125">
        <f t="shared" si="53"/>
        <v>0</v>
      </c>
      <c r="BE118" s="61">
        <f>D118-C118</f>
        <v>0</v>
      </c>
      <c r="BF118" s="62">
        <f>IFERROR(D118/C118-1,0)</f>
        <v>0</v>
      </c>
    </row>
    <row r="119">
      <c r="A119" s="83" t="s">
        <v>439</v>
      </c>
      <c r="B119" s="108" t="s">
        <v>337</v>
      </c>
      <c r="C119" s="119">
        <v>18.58965</v>
      </c>
      <c r="D119" s="21">
        <f t="shared" si="52"/>
        <v>0</v>
      </c>
      <c r="E119" s="119">
        <v>18.58965</v>
      </c>
      <c r="F119" s="119">
        <v>0</v>
      </c>
      <c r="G119" s="119">
        <v>0</v>
      </c>
      <c r="H119" s="119"/>
      <c r="I119" s="119">
        <v>0</v>
      </c>
      <c r="J119" s="119"/>
      <c r="K119" s="119">
        <v>0</v>
      </c>
      <c r="L119" s="119"/>
      <c r="M119" s="119"/>
      <c r="N119" s="119"/>
      <c r="O119" s="119">
        <v>0</v>
      </c>
      <c r="P119" s="119"/>
      <c r="Q119" s="119"/>
      <c r="R119" s="119"/>
      <c r="S119" s="119"/>
      <c r="T119" s="119"/>
      <c r="U119" s="119"/>
      <c r="V119" s="119"/>
      <c r="W119" s="119"/>
      <c r="X119" s="119"/>
      <c r="Y119" s="119"/>
      <c r="Z119" s="119"/>
      <c r="AA119" s="119"/>
      <c r="AB119" s="119"/>
      <c r="AC119" s="119"/>
      <c r="AD119" s="119"/>
      <c r="AE119" s="119"/>
      <c r="AF119" s="119"/>
      <c r="AG119" s="119"/>
      <c r="AH119" s="119"/>
      <c r="AI119" s="119"/>
      <c r="AJ119" s="119"/>
      <c r="AK119" s="119"/>
      <c r="AL119" s="119"/>
      <c r="AM119" s="119"/>
      <c r="AN119" s="119"/>
      <c r="AO119" s="119"/>
      <c r="AP119" s="119"/>
      <c r="AQ119" s="119"/>
      <c r="AR119" s="119"/>
      <c r="AS119" s="119"/>
      <c r="AT119" s="119"/>
      <c r="AU119" s="119"/>
      <c r="AV119" s="119"/>
      <c r="AW119" s="119"/>
      <c r="AX119" s="119"/>
      <c r="AY119" s="119"/>
      <c r="AZ119" s="119"/>
      <c r="BA119" s="119"/>
      <c r="BB119" s="119"/>
      <c r="BC119" s="119"/>
      <c r="BD119" s="119"/>
      <c r="BE119" s="61">
        <f ref="BE119:BE130" t="shared" si="57">D119-C119</f>
        <v>0</v>
      </c>
      <c r="BF119" s="62">
        <f ref="BF119:BF130" t="shared" si="58">IFERROR(D119/C119-1,0)</f>
        <v>0</v>
      </c>
    </row>
    <row r="120">
      <c r="A120" s="83" t="s">
        <v>440</v>
      </c>
      <c r="B120" s="108" t="s">
        <v>16</v>
      </c>
      <c r="C120" s="119">
        <v>1544.74626</v>
      </c>
      <c r="D120" s="21">
        <f t="shared" si="52"/>
        <v>0</v>
      </c>
      <c r="E120" s="119">
        <v>1502.52378</v>
      </c>
      <c r="F120" s="119">
        <v>0</v>
      </c>
      <c r="G120" s="119">
        <v>0</v>
      </c>
      <c r="H120" s="119"/>
      <c r="I120" s="119">
        <v>0</v>
      </c>
      <c r="J120" s="119"/>
      <c r="K120" s="119">
        <v>0</v>
      </c>
      <c r="L120" s="119"/>
      <c r="M120" s="119"/>
      <c r="N120" s="119"/>
      <c r="O120" s="119">
        <v>0</v>
      </c>
      <c r="P120" s="119"/>
      <c r="Q120" s="119"/>
      <c r="R120" s="119"/>
      <c r="S120" s="119"/>
      <c r="T120" s="119"/>
      <c r="U120" s="119"/>
      <c r="V120" s="119"/>
      <c r="W120" s="119"/>
      <c r="X120" s="119"/>
      <c r="Y120" s="119"/>
      <c r="Z120" s="119"/>
      <c r="AA120" s="119"/>
      <c r="AB120" s="119"/>
      <c r="AC120" s="119"/>
      <c r="AD120" s="119"/>
      <c r="AE120" s="119"/>
      <c r="AF120" s="119"/>
      <c r="AG120" s="119"/>
      <c r="AH120" s="119"/>
      <c r="AI120" s="119"/>
      <c r="AJ120" s="119"/>
      <c r="AK120" s="119"/>
      <c r="AL120" s="119"/>
      <c r="AM120" s="119"/>
      <c r="AN120" s="119"/>
      <c r="AO120" s="119"/>
      <c r="AP120" s="119"/>
      <c r="AQ120" s="119"/>
      <c r="AR120" s="119"/>
      <c r="AS120" s="119"/>
      <c r="AT120" s="119"/>
      <c r="AU120" s="119"/>
      <c r="AV120" s="119"/>
      <c r="AW120" s="119"/>
      <c r="AX120" s="119"/>
      <c r="AY120" s="119"/>
      <c r="AZ120" s="119"/>
      <c r="BA120" s="119"/>
      <c r="BB120" s="119"/>
      <c r="BC120" s="119"/>
      <c r="BD120" s="119"/>
      <c r="BE120" s="61">
        <f t="shared" si="57"/>
        <v>0</v>
      </c>
      <c r="BF120" s="62">
        <f t="shared" si="58"/>
        <v>0</v>
      </c>
    </row>
    <row r="121">
      <c r="A121" s="83" t="s">
        <v>441</v>
      </c>
      <c r="B121" s="108" t="s">
        <v>340</v>
      </c>
      <c r="C121" s="119"/>
      <c r="D121" s="21">
        <f t="shared" si="52"/>
        <v>0</v>
      </c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119"/>
      <c r="P121" s="119"/>
      <c r="Q121" s="119"/>
      <c r="R121" s="119"/>
      <c r="S121" s="119"/>
      <c r="T121" s="119"/>
      <c r="U121" s="119"/>
      <c r="V121" s="119"/>
      <c r="W121" s="119"/>
      <c r="X121" s="119"/>
      <c r="Y121" s="119"/>
      <c r="Z121" s="119"/>
      <c r="AA121" s="119"/>
      <c r="AB121" s="119"/>
      <c r="AC121" s="119"/>
      <c r="AD121" s="119"/>
      <c r="AE121" s="119"/>
      <c r="AF121" s="119"/>
      <c r="AG121" s="119"/>
      <c r="AH121" s="119"/>
      <c r="AI121" s="119"/>
      <c r="AJ121" s="119"/>
      <c r="AK121" s="119"/>
      <c r="AL121" s="119"/>
      <c r="AM121" s="119"/>
      <c r="AN121" s="119"/>
      <c r="AO121" s="119"/>
      <c r="AP121" s="119"/>
      <c r="AQ121" s="119"/>
      <c r="AR121" s="119"/>
      <c r="AS121" s="119"/>
      <c r="AT121" s="119"/>
      <c r="AU121" s="119"/>
      <c r="AV121" s="119"/>
      <c r="AW121" s="119"/>
      <c r="AX121" s="119"/>
      <c r="AY121" s="119"/>
      <c r="AZ121" s="119"/>
      <c r="BA121" s="119"/>
      <c r="BB121" s="119"/>
      <c r="BC121" s="119"/>
      <c r="BD121" s="119"/>
      <c r="BE121" s="61">
        <f t="shared" si="57"/>
        <v>0</v>
      </c>
      <c r="BF121" s="62">
        <f t="shared" si="58"/>
        <v>0</v>
      </c>
    </row>
    <row r="122" ht="28.5">
      <c r="A122" s="85">
        <v>2</v>
      </c>
      <c r="B122" s="100" t="s">
        <v>442</v>
      </c>
      <c r="C122" s="30">
        <f>C123+C124+C125</f>
        <v>0</v>
      </c>
      <c r="D122" s="30">
        <f t="shared" si="52"/>
        <v>0</v>
      </c>
      <c r="E122" s="30">
        <f ref="E122:BD122" t="shared" si="59">E123+E124+E125</f>
        <v>0</v>
      </c>
      <c r="F122" s="30">
        <f t="shared" si="59"/>
        <v>0</v>
      </c>
      <c r="G122" s="30">
        <f t="shared" si="59"/>
        <v>0</v>
      </c>
      <c r="H122" s="30">
        <f t="shared" si="59"/>
        <v>0</v>
      </c>
      <c r="I122" s="30">
        <f t="shared" si="59"/>
        <v>0</v>
      </c>
      <c r="J122" s="30">
        <f t="shared" si="59"/>
        <v>0</v>
      </c>
      <c r="K122" s="30">
        <f t="shared" si="59"/>
        <v>0</v>
      </c>
      <c r="L122" s="30">
        <f t="shared" si="59"/>
        <v>0</v>
      </c>
      <c r="M122" s="30">
        <f t="shared" si="59"/>
        <v>0</v>
      </c>
      <c r="N122" s="30">
        <f t="shared" si="59"/>
        <v>0</v>
      </c>
      <c r="O122" s="30">
        <f t="shared" si="59"/>
        <v>0</v>
      </c>
      <c r="P122" s="30">
        <f t="shared" si="59"/>
        <v>0</v>
      </c>
      <c r="Q122" s="30">
        <f t="shared" si="59"/>
        <v>0</v>
      </c>
      <c r="R122" s="30">
        <f t="shared" si="59"/>
        <v>0</v>
      </c>
      <c r="S122" s="30">
        <f t="shared" si="59"/>
        <v>0</v>
      </c>
      <c r="T122" s="30">
        <f t="shared" si="59"/>
        <v>0</v>
      </c>
      <c r="U122" s="30">
        <f t="shared" si="59"/>
        <v>0</v>
      </c>
      <c r="V122" s="30">
        <f t="shared" si="59"/>
        <v>0</v>
      </c>
      <c r="W122" s="30">
        <f t="shared" si="59"/>
        <v>0</v>
      </c>
      <c r="X122" s="30">
        <f t="shared" si="59"/>
        <v>0</v>
      </c>
      <c r="Y122" s="30">
        <f t="shared" si="59"/>
        <v>0</v>
      </c>
      <c r="Z122" s="30">
        <f t="shared" si="59"/>
        <v>0</v>
      </c>
      <c r="AA122" s="30">
        <f t="shared" si="59"/>
        <v>0</v>
      </c>
      <c r="AB122" s="30">
        <f t="shared" si="59"/>
        <v>0</v>
      </c>
      <c r="AC122" s="30">
        <f t="shared" si="59"/>
        <v>0</v>
      </c>
      <c r="AD122" s="30">
        <f t="shared" si="59"/>
        <v>0</v>
      </c>
      <c r="AE122" s="30">
        <f t="shared" si="59"/>
        <v>0</v>
      </c>
      <c r="AF122" s="30">
        <f t="shared" si="59"/>
        <v>0</v>
      </c>
      <c r="AG122" s="30">
        <f t="shared" si="59"/>
        <v>0</v>
      </c>
      <c r="AH122" s="30">
        <f t="shared" si="59"/>
        <v>0</v>
      </c>
      <c r="AI122" s="30">
        <f t="shared" si="59"/>
        <v>0</v>
      </c>
      <c r="AJ122" s="30">
        <f t="shared" si="59"/>
        <v>0</v>
      </c>
      <c r="AK122" s="30">
        <f t="shared" si="59"/>
        <v>0</v>
      </c>
      <c r="AL122" s="30">
        <f t="shared" si="59"/>
        <v>0</v>
      </c>
      <c r="AM122" s="30">
        <f t="shared" si="59"/>
        <v>0</v>
      </c>
      <c r="AN122" s="30">
        <f t="shared" si="59"/>
        <v>0</v>
      </c>
      <c r="AO122" s="30">
        <f t="shared" si="59"/>
        <v>0</v>
      </c>
      <c r="AP122" s="30">
        <f t="shared" si="59"/>
        <v>0</v>
      </c>
      <c r="AQ122" s="30">
        <f t="shared" si="59"/>
        <v>0</v>
      </c>
      <c r="AR122" s="30">
        <f t="shared" si="59"/>
        <v>0</v>
      </c>
      <c r="AS122" s="30">
        <f t="shared" si="59"/>
        <v>0</v>
      </c>
      <c r="AT122" s="30">
        <f t="shared" si="59"/>
        <v>0</v>
      </c>
      <c r="AU122" s="30">
        <f t="shared" si="59"/>
        <v>0</v>
      </c>
      <c r="AV122" s="30">
        <f t="shared" si="59"/>
        <v>0</v>
      </c>
      <c r="AW122" s="30">
        <f t="shared" si="59"/>
        <v>0</v>
      </c>
      <c r="AX122" s="30">
        <f t="shared" si="59"/>
        <v>0</v>
      </c>
      <c r="AY122" s="30">
        <f t="shared" si="59"/>
        <v>0</v>
      </c>
      <c r="AZ122" s="30">
        <f t="shared" si="59"/>
        <v>0</v>
      </c>
      <c r="BA122" s="30">
        <f t="shared" si="59"/>
        <v>0</v>
      </c>
      <c r="BB122" s="30">
        <f ref="BB122:BC122" t="shared" si="60">BB123+BB124+BB125</f>
        <v>0</v>
      </c>
      <c r="BC122" s="30">
        <f t="shared" si="60"/>
        <v>0</v>
      </c>
      <c r="BD122" s="30">
        <f t="shared" si="59"/>
        <v>0</v>
      </c>
      <c r="BE122" s="61">
        <f t="shared" si="57"/>
        <v>0</v>
      </c>
      <c r="BF122" s="62">
        <f t="shared" si="58"/>
        <v>0</v>
      </c>
    </row>
    <row r="123">
      <c r="A123" s="83" t="s">
        <v>443</v>
      </c>
      <c r="B123" s="108" t="s">
        <v>337</v>
      </c>
      <c r="C123" s="119">
        <v>16.25305</v>
      </c>
      <c r="D123" s="21">
        <f t="shared" si="52"/>
        <v>0</v>
      </c>
      <c r="E123" s="119">
        <v>16.25305</v>
      </c>
      <c r="F123" s="119">
        <v>0</v>
      </c>
      <c r="G123" s="119">
        <v>0</v>
      </c>
      <c r="H123" s="119"/>
      <c r="I123" s="119">
        <v>0</v>
      </c>
      <c r="J123" s="119"/>
      <c r="K123" s="119">
        <v>0</v>
      </c>
      <c r="L123" s="119"/>
      <c r="M123" s="119"/>
      <c r="N123" s="119"/>
      <c r="O123" s="119">
        <v>0</v>
      </c>
      <c r="P123" s="119"/>
      <c r="Q123" s="119"/>
      <c r="R123" s="119"/>
      <c r="S123" s="119"/>
      <c r="T123" s="119"/>
      <c r="U123" s="119"/>
      <c r="V123" s="119"/>
      <c r="W123" s="119"/>
      <c r="X123" s="119"/>
      <c r="Y123" s="119"/>
      <c r="Z123" s="119"/>
      <c r="AA123" s="119"/>
      <c r="AB123" s="119"/>
      <c r="AC123" s="119"/>
      <c r="AD123" s="119"/>
      <c r="AE123" s="119"/>
      <c r="AF123" s="119"/>
      <c r="AG123" s="119"/>
      <c r="AH123" s="119"/>
      <c r="AI123" s="119"/>
      <c r="AJ123" s="119"/>
      <c r="AK123" s="119"/>
      <c r="AL123" s="119"/>
      <c r="AM123" s="119"/>
      <c r="AN123" s="119"/>
      <c r="AO123" s="119"/>
      <c r="AP123" s="119"/>
      <c r="AQ123" s="119"/>
      <c r="AR123" s="119"/>
      <c r="AS123" s="119"/>
      <c r="AT123" s="119"/>
      <c r="AU123" s="119"/>
      <c r="AV123" s="119"/>
      <c r="AW123" s="119"/>
      <c r="AX123" s="119"/>
      <c r="AY123" s="119"/>
      <c r="AZ123" s="119"/>
      <c r="BA123" s="119"/>
      <c r="BB123" s="119"/>
      <c r="BC123" s="119"/>
      <c r="BD123" s="119"/>
      <c r="BE123" s="61">
        <f t="shared" si="57"/>
        <v>0</v>
      </c>
      <c r="BF123" s="62">
        <f t="shared" si="58"/>
        <v>0</v>
      </c>
    </row>
    <row r="124">
      <c r="A124" s="83" t="s">
        <v>444</v>
      </c>
      <c r="B124" s="108" t="s">
        <v>16</v>
      </c>
      <c r="C124" s="119">
        <v>1229.01667</v>
      </c>
      <c r="D124" s="21">
        <f t="shared" si="52"/>
        <v>0</v>
      </c>
      <c r="E124" s="119">
        <v>1244.65702</v>
      </c>
      <c r="F124" s="119">
        <v>0</v>
      </c>
      <c r="G124" s="119">
        <v>0</v>
      </c>
      <c r="H124" s="119"/>
      <c r="I124" s="119">
        <v>0</v>
      </c>
      <c r="J124" s="119"/>
      <c r="K124" s="119">
        <v>0</v>
      </c>
      <c r="L124" s="119"/>
      <c r="M124" s="119"/>
      <c r="N124" s="119"/>
      <c r="O124" s="119">
        <v>0</v>
      </c>
      <c r="P124" s="119"/>
      <c r="Q124" s="119"/>
      <c r="R124" s="119"/>
      <c r="S124" s="119"/>
      <c r="T124" s="119"/>
      <c r="U124" s="119"/>
      <c r="V124" s="119"/>
      <c r="W124" s="119"/>
      <c r="X124" s="119"/>
      <c r="Y124" s="119"/>
      <c r="Z124" s="119"/>
      <c r="AA124" s="119"/>
      <c r="AB124" s="119"/>
      <c r="AC124" s="119"/>
      <c r="AD124" s="119"/>
      <c r="AE124" s="119"/>
      <c r="AF124" s="119"/>
      <c r="AG124" s="119"/>
      <c r="AH124" s="119"/>
      <c r="AI124" s="119"/>
      <c r="AJ124" s="119"/>
      <c r="AK124" s="119"/>
      <c r="AL124" s="119"/>
      <c r="AM124" s="119"/>
      <c r="AN124" s="119"/>
      <c r="AO124" s="119"/>
      <c r="AP124" s="119"/>
      <c r="AQ124" s="119"/>
      <c r="AR124" s="119"/>
      <c r="AS124" s="119"/>
      <c r="AT124" s="119"/>
      <c r="AU124" s="119"/>
      <c r="AV124" s="119"/>
      <c r="AW124" s="119"/>
      <c r="AX124" s="119"/>
      <c r="AY124" s="119"/>
      <c r="AZ124" s="119"/>
      <c r="BA124" s="119"/>
      <c r="BB124" s="119"/>
      <c r="BC124" s="119"/>
      <c r="BD124" s="119"/>
      <c r="BE124" s="61">
        <f t="shared" si="57"/>
        <v>0</v>
      </c>
      <c r="BF124" s="62">
        <f t="shared" si="58"/>
        <v>0</v>
      </c>
    </row>
    <row r="125">
      <c r="A125" s="83" t="s">
        <v>445</v>
      </c>
      <c r="B125" s="108" t="s">
        <v>340</v>
      </c>
      <c r="C125" s="119"/>
      <c r="D125" s="21">
        <f t="shared" si="52"/>
        <v>0</v>
      </c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  <c r="Q125" s="119"/>
      <c r="R125" s="119"/>
      <c r="S125" s="119"/>
      <c r="T125" s="119"/>
      <c r="U125" s="119"/>
      <c r="V125" s="119"/>
      <c r="W125" s="119"/>
      <c r="X125" s="119"/>
      <c r="Y125" s="119"/>
      <c r="Z125" s="119"/>
      <c r="AA125" s="119"/>
      <c r="AB125" s="119"/>
      <c r="AC125" s="119"/>
      <c r="AD125" s="119"/>
      <c r="AE125" s="119"/>
      <c r="AF125" s="119"/>
      <c r="AG125" s="119"/>
      <c r="AH125" s="119"/>
      <c r="AI125" s="119"/>
      <c r="AJ125" s="119"/>
      <c r="AK125" s="119"/>
      <c r="AL125" s="119"/>
      <c r="AM125" s="119"/>
      <c r="AN125" s="119"/>
      <c r="AO125" s="119"/>
      <c r="AP125" s="119"/>
      <c r="AQ125" s="119"/>
      <c r="AR125" s="119"/>
      <c r="AS125" s="119"/>
      <c r="AT125" s="119"/>
      <c r="AU125" s="119"/>
      <c r="AV125" s="119"/>
      <c r="AW125" s="119"/>
      <c r="AX125" s="119"/>
      <c r="AY125" s="119"/>
      <c r="AZ125" s="119"/>
      <c r="BA125" s="119"/>
      <c r="BB125" s="119"/>
      <c r="BC125" s="119"/>
      <c r="BD125" s="119"/>
      <c r="BE125" s="61">
        <f t="shared" si="57"/>
        <v>0</v>
      </c>
      <c r="BF125" s="62">
        <f t="shared" si="58"/>
        <v>0</v>
      </c>
    </row>
    <row r="126" ht="28.5">
      <c r="A126" s="85">
        <v>3</v>
      </c>
      <c r="B126" s="100" t="s">
        <v>446</v>
      </c>
      <c r="C126" s="30">
        <f>C127+C128+C129</f>
        <v>0</v>
      </c>
      <c r="D126" s="30">
        <f t="shared" si="52"/>
        <v>0</v>
      </c>
      <c r="E126" s="30">
        <f ref="E126:BD126" t="shared" si="61">E127+E128+E129</f>
        <v>0</v>
      </c>
      <c r="F126" s="30">
        <f t="shared" si="61"/>
        <v>0</v>
      </c>
      <c r="G126" s="30">
        <f t="shared" si="61"/>
        <v>0</v>
      </c>
      <c r="H126" s="30">
        <f t="shared" si="61"/>
        <v>0</v>
      </c>
      <c r="I126" s="30">
        <f t="shared" si="61"/>
        <v>0</v>
      </c>
      <c r="J126" s="30">
        <f t="shared" si="61"/>
        <v>0</v>
      </c>
      <c r="K126" s="30">
        <f t="shared" si="61"/>
        <v>0</v>
      </c>
      <c r="L126" s="30">
        <f t="shared" si="61"/>
        <v>0</v>
      </c>
      <c r="M126" s="30">
        <f t="shared" si="61"/>
        <v>0</v>
      </c>
      <c r="N126" s="30">
        <f t="shared" si="61"/>
        <v>0</v>
      </c>
      <c r="O126" s="30">
        <f t="shared" si="61"/>
        <v>0</v>
      </c>
      <c r="P126" s="30">
        <f t="shared" si="61"/>
        <v>0</v>
      </c>
      <c r="Q126" s="30">
        <f t="shared" si="61"/>
        <v>0</v>
      </c>
      <c r="R126" s="30">
        <f t="shared" si="61"/>
        <v>0</v>
      </c>
      <c r="S126" s="30">
        <f t="shared" si="61"/>
        <v>0</v>
      </c>
      <c r="T126" s="30">
        <f t="shared" si="61"/>
        <v>0</v>
      </c>
      <c r="U126" s="30">
        <f t="shared" si="61"/>
        <v>0</v>
      </c>
      <c r="V126" s="30">
        <f t="shared" si="61"/>
        <v>0</v>
      </c>
      <c r="W126" s="30">
        <f t="shared" si="61"/>
        <v>0</v>
      </c>
      <c r="X126" s="30">
        <f t="shared" si="61"/>
        <v>0</v>
      </c>
      <c r="Y126" s="30">
        <f t="shared" si="61"/>
        <v>0</v>
      </c>
      <c r="Z126" s="30">
        <f t="shared" si="61"/>
        <v>0</v>
      </c>
      <c r="AA126" s="30">
        <f t="shared" si="61"/>
        <v>0</v>
      </c>
      <c r="AB126" s="30">
        <f t="shared" si="61"/>
        <v>0</v>
      </c>
      <c r="AC126" s="30">
        <f t="shared" si="61"/>
        <v>0</v>
      </c>
      <c r="AD126" s="30">
        <f t="shared" si="61"/>
        <v>0</v>
      </c>
      <c r="AE126" s="30">
        <f t="shared" si="61"/>
        <v>0</v>
      </c>
      <c r="AF126" s="30">
        <f t="shared" si="61"/>
        <v>0</v>
      </c>
      <c r="AG126" s="30">
        <f t="shared" si="61"/>
        <v>0</v>
      </c>
      <c r="AH126" s="30">
        <f t="shared" si="61"/>
        <v>0</v>
      </c>
      <c r="AI126" s="30">
        <f t="shared" si="61"/>
        <v>0</v>
      </c>
      <c r="AJ126" s="30">
        <f t="shared" si="61"/>
        <v>0</v>
      </c>
      <c r="AK126" s="30">
        <f t="shared" si="61"/>
        <v>0</v>
      </c>
      <c r="AL126" s="30">
        <f t="shared" si="61"/>
        <v>0</v>
      </c>
      <c r="AM126" s="30">
        <f t="shared" si="61"/>
        <v>0</v>
      </c>
      <c r="AN126" s="30">
        <f t="shared" si="61"/>
        <v>0</v>
      </c>
      <c r="AO126" s="30">
        <f t="shared" si="61"/>
        <v>0</v>
      </c>
      <c r="AP126" s="30">
        <f t="shared" si="61"/>
        <v>0</v>
      </c>
      <c r="AQ126" s="30">
        <f t="shared" si="61"/>
        <v>0</v>
      </c>
      <c r="AR126" s="30">
        <f t="shared" si="61"/>
        <v>0</v>
      </c>
      <c r="AS126" s="30">
        <f t="shared" si="61"/>
        <v>0</v>
      </c>
      <c r="AT126" s="30">
        <f t="shared" si="61"/>
        <v>0</v>
      </c>
      <c r="AU126" s="30">
        <f t="shared" si="61"/>
        <v>0</v>
      </c>
      <c r="AV126" s="30">
        <f t="shared" si="61"/>
        <v>0</v>
      </c>
      <c r="AW126" s="30">
        <f t="shared" si="61"/>
        <v>0</v>
      </c>
      <c r="AX126" s="30">
        <f t="shared" si="61"/>
        <v>0</v>
      </c>
      <c r="AY126" s="30">
        <f t="shared" si="61"/>
        <v>0</v>
      </c>
      <c r="AZ126" s="30">
        <f t="shared" si="61"/>
        <v>0</v>
      </c>
      <c r="BA126" s="30">
        <f t="shared" si="61"/>
        <v>0</v>
      </c>
      <c r="BB126" s="30">
        <f ref="BB126:BC126" t="shared" si="62">BB127+BB128+BB129</f>
        <v>0</v>
      </c>
      <c r="BC126" s="30">
        <f t="shared" si="62"/>
        <v>0</v>
      </c>
      <c r="BD126" s="30">
        <f t="shared" si="61"/>
        <v>0</v>
      </c>
      <c r="BE126" s="61">
        <f t="shared" si="57"/>
        <v>0</v>
      </c>
      <c r="BF126" s="62">
        <f t="shared" si="58"/>
        <v>0</v>
      </c>
    </row>
    <row r="127">
      <c r="A127" s="83" t="s">
        <v>447</v>
      </c>
      <c r="B127" s="108" t="s">
        <v>337</v>
      </c>
      <c r="C127" s="119">
        <v>0</v>
      </c>
      <c r="D127" s="21">
        <f t="shared" si="52"/>
        <v>0</v>
      </c>
      <c r="E127" s="119">
        <v>0</v>
      </c>
      <c r="F127" s="119">
        <v>0</v>
      </c>
      <c r="G127" s="119">
        <v>0</v>
      </c>
      <c r="H127" s="119"/>
      <c r="I127" s="119"/>
      <c r="J127" s="119"/>
      <c r="K127" s="119">
        <v>0</v>
      </c>
      <c r="L127" s="119"/>
      <c r="M127" s="119"/>
      <c r="N127" s="119"/>
      <c r="O127" s="119">
        <v>0</v>
      </c>
      <c r="P127" s="119"/>
      <c r="Q127" s="119"/>
      <c r="R127" s="119"/>
      <c r="S127" s="119"/>
      <c r="T127" s="119"/>
      <c r="U127" s="119"/>
      <c r="V127" s="119"/>
      <c r="W127" s="119"/>
      <c r="X127" s="119"/>
      <c r="Y127" s="119"/>
      <c r="Z127" s="119"/>
      <c r="AA127" s="119"/>
      <c r="AB127" s="119"/>
      <c r="AC127" s="119"/>
      <c r="AD127" s="119"/>
      <c r="AE127" s="119"/>
      <c r="AF127" s="119"/>
      <c r="AG127" s="119"/>
      <c r="AH127" s="119"/>
      <c r="AI127" s="119"/>
      <c r="AJ127" s="119"/>
      <c r="AK127" s="119"/>
      <c r="AL127" s="119"/>
      <c r="AM127" s="119"/>
      <c r="AN127" s="119"/>
      <c r="AO127" s="119"/>
      <c r="AP127" s="119"/>
      <c r="AQ127" s="119"/>
      <c r="AR127" s="119"/>
      <c r="AS127" s="119"/>
      <c r="AT127" s="119"/>
      <c r="AU127" s="119"/>
      <c r="AV127" s="119"/>
      <c r="AW127" s="119"/>
      <c r="AX127" s="119"/>
      <c r="AY127" s="119"/>
      <c r="AZ127" s="119"/>
      <c r="BA127" s="119"/>
      <c r="BB127" s="119"/>
      <c r="BC127" s="119"/>
      <c r="BD127" s="119"/>
      <c r="BE127" s="61">
        <f t="shared" si="57"/>
        <v>0</v>
      </c>
      <c r="BF127" s="62">
        <f t="shared" si="58"/>
        <v>0</v>
      </c>
    </row>
    <row r="128">
      <c r="A128" s="83" t="s">
        <v>448</v>
      </c>
      <c r="B128" s="108" t="s">
        <v>16</v>
      </c>
      <c r="C128" s="119">
        <v>397.52032</v>
      </c>
      <c r="D128" s="21">
        <f t="shared" si="52"/>
        <v>0</v>
      </c>
      <c r="E128" s="119">
        <v>392.78184</v>
      </c>
      <c r="F128" s="119">
        <v>0</v>
      </c>
      <c r="G128" s="119">
        <v>0</v>
      </c>
      <c r="H128" s="119"/>
      <c r="I128" s="119">
        <v>0</v>
      </c>
      <c r="J128" s="119"/>
      <c r="K128" s="119">
        <v>0</v>
      </c>
      <c r="L128" s="119"/>
      <c r="M128" s="119"/>
      <c r="N128" s="119"/>
      <c r="O128" s="119">
        <v>0</v>
      </c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  <c r="AA128" s="119"/>
      <c r="AB128" s="119"/>
      <c r="AC128" s="119"/>
      <c r="AD128" s="119"/>
      <c r="AE128" s="119"/>
      <c r="AF128" s="119"/>
      <c r="AG128" s="119"/>
      <c r="AH128" s="119"/>
      <c r="AI128" s="119"/>
      <c r="AJ128" s="119"/>
      <c r="AK128" s="119"/>
      <c r="AL128" s="119"/>
      <c r="AM128" s="119"/>
      <c r="AN128" s="119"/>
      <c r="AO128" s="119"/>
      <c r="AP128" s="119"/>
      <c r="AQ128" s="119"/>
      <c r="AR128" s="119"/>
      <c r="AS128" s="119"/>
      <c r="AT128" s="119"/>
      <c r="AU128" s="119"/>
      <c r="AV128" s="119"/>
      <c r="AW128" s="119"/>
      <c r="AX128" s="119"/>
      <c r="AY128" s="119"/>
      <c r="AZ128" s="119"/>
      <c r="BA128" s="119"/>
      <c r="BB128" s="119"/>
      <c r="BC128" s="119"/>
      <c r="BD128" s="119"/>
      <c r="BE128" s="61">
        <f t="shared" si="57"/>
        <v>0</v>
      </c>
      <c r="BF128" s="62">
        <f t="shared" si="58"/>
        <v>0</v>
      </c>
    </row>
    <row r="129">
      <c r="A129" s="83" t="s">
        <v>449</v>
      </c>
      <c r="B129" s="108" t="s">
        <v>340</v>
      </c>
      <c r="C129" s="119"/>
      <c r="D129" s="21">
        <f t="shared" si="52"/>
        <v>0</v>
      </c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  <c r="AA129" s="119"/>
      <c r="AB129" s="119"/>
      <c r="AC129" s="119"/>
      <c r="AD129" s="119"/>
      <c r="AE129" s="119"/>
      <c r="AF129" s="119"/>
      <c r="AG129" s="119"/>
      <c r="AH129" s="119"/>
      <c r="AI129" s="119"/>
      <c r="AJ129" s="119"/>
      <c r="AK129" s="119"/>
      <c r="AL129" s="119"/>
      <c r="AM129" s="119"/>
      <c r="AN129" s="119"/>
      <c r="AO129" s="119"/>
      <c r="AP129" s="119"/>
      <c r="AQ129" s="119"/>
      <c r="AR129" s="119"/>
      <c r="AS129" s="119"/>
      <c r="AT129" s="119"/>
      <c r="AU129" s="119"/>
      <c r="AV129" s="119"/>
      <c r="AW129" s="119"/>
      <c r="AX129" s="119"/>
      <c r="AY129" s="119"/>
      <c r="AZ129" s="119"/>
      <c r="BA129" s="119"/>
      <c r="BB129" s="119"/>
      <c r="BC129" s="119"/>
      <c r="BD129" s="119"/>
      <c r="BE129" s="61">
        <f t="shared" si="57"/>
        <v>0</v>
      </c>
      <c r="BF129" s="62">
        <f t="shared" si="58"/>
        <v>0</v>
      </c>
    </row>
    <row r="130" s="6" customFormat="1">
      <c r="A130" s="94">
        <v>4</v>
      </c>
      <c r="B130" s="109" t="s">
        <v>450</v>
      </c>
      <c r="C130" s="169">
        <v>10885.34702595</v>
      </c>
      <c r="D130" s="35">
        <f t="shared" si="52"/>
        <v>0</v>
      </c>
      <c r="E130" s="169">
        <v>10364.19428</v>
      </c>
      <c r="F130" s="169">
        <v>22.212574</v>
      </c>
      <c r="G130" s="169">
        <v>498.94017195</v>
      </c>
      <c r="H130" s="169"/>
      <c r="I130" s="169">
        <v>0</v>
      </c>
      <c r="J130" s="169"/>
      <c r="K130" s="169">
        <v>0</v>
      </c>
      <c r="L130" s="169"/>
      <c r="M130" s="169"/>
      <c r="N130" s="169"/>
      <c r="O130" s="169">
        <v>0</v>
      </c>
      <c r="P130" s="169"/>
      <c r="Q130" s="169"/>
      <c r="R130" s="169"/>
      <c r="S130" s="169"/>
      <c r="T130" s="169"/>
      <c r="U130" s="169"/>
      <c r="V130" s="169"/>
      <c r="W130" s="169"/>
      <c r="X130" s="169"/>
      <c r="Y130" s="169"/>
      <c r="Z130" s="169"/>
      <c r="AA130" s="169"/>
      <c r="AB130" s="169"/>
      <c r="AC130" s="169"/>
      <c r="AD130" s="169"/>
      <c r="AE130" s="169"/>
      <c r="AF130" s="169"/>
      <c r="AG130" s="169"/>
      <c r="AH130" s="169"/>
      <c r="AI130" s="169"/>
      <c r="AJ130" s="169"/>
      <c r="AK130" s="169"/>
      <c r="AL130" s="169"/>
      <c r="AM130" s="169"/>
      <c r="AN130" s="169"/>
      <c r="AO130" s="169"/>
      <c r="AP130" s="169"/>
      <c r="AQ130" s="169"/>
      <c r="AR130" s="169"/>
      <c r="AS130" s="169"/>
      <c r="AT130" s="169"/>
      <c r="AU130" s="169"/>
      <c r="AV130" s="169"/>
      <c r="AW130" s="169"/>
      <c r="AX130" s="169"/>
      <c r="AY130" s="169"/>
      <c r="AZ130" s="169"/>
      <c r="BA130" s="169"/>
      <c r="BB130" s="169"/>
      <c r="BC130" s="169"/>
      <c r="BD130" s="169"/>
      <c r="BE130" s="61">
        <f t="shared" si="57"/>
        <v>0</v>
      </c>
      <c r="BF130" s="62">
        <f t="shared" si="58"/>
        <v>0</v>
      </c>
    </row>
    <row r="131" s="6" customFormat="1">
      <c r="A131" s="110"/>
      <c r="B131" s="111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6"/>
      <c r="AB131" s="36"/>
      <c r="AC131" s="36"/>
      <c r="AD131" s="36"/>
      <c r="AE131" s="36"/>
      <c r="AF131" s="36"/>
      <c r="AG131" s="36"/>
      <c r="AH131" s="36"/>
      <c r="AI131" s="36"/>
      <c r="AJ131" s="36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6"/>
      <c r="AV131" s="36"/>
      <c r="AW131" s="36"/>
      <c r="AX131" s="36"/>
      <c r="AY131" s="36"/>
      <c r="AZ131" s="36"/>
      <c r="BA131" s="36"/>
      <c r="BB131" s="36"/>
      <c r="BC131" s="36"/>
      <c r="BD131" s="36"/>
      <c r="BE131" s="67"/>
      <c r="BF131" s="68"/>
    </row>
    <row r="132" s="9" customFormat="1">
      <c r="A132" s="110"/>
      <c r="B132" s="111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36"/>
      <c r="AA132" s="36"/>
      <c r="AB132" s="36"/>
      <c r="AC132" s="36"/>
      <c r="AD132" s="36"/>
      <c r="AE132" s="36"/>
      <c r="AF132" s="36"/>
      <c r="AG132" s="36"/>
      <c r="AH132" s="36"/>
      <c r="AI132" s="36"/>
      <c r="AJ132" s="36"/>
      <c r="AK132" s="36"/>
      <c r="AL132" s="36"/>
      <c r="AM132" s="36"/>
      <c r="AN132" s="36"/>
      <c r="AO132" s="36"/>
      <c r="AP132" s="36"/>
      <c r="AQ132" s="36"/>
      <c r="AR132" s="36"/>
      <c r="AS132" s="36"/>
      <c r="AT132" s="36"/>
      <c r="AU132" s="36"/>
      <c r="AV132" s="36"/>
      <c r="AW132" s="36"/>
      <c r="AX132" s="36"/>
      <c r="AY132" s="36"/>
      <c r="AZ132" s="36"/>
      <c r="BA132" s="36"/>
      <c r="BB132" s="36"/>
      <c r="BC132" s="36"/>
      <c r="BD132" s="36"/>
      <c r="BE132" s="67"/>
      <c r="BF132" s="68"/>
    </row>
    <row r="133" ht="28.5" s="3" customFormat="1">
      <c r="A133" s="103" t="s">
        <v>451</v>
      </c>
      <c r="B133" s="103"/>
      <c r="C133" s="32"/>
      <c r="D133" s="32"/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  <c r="AD133" s="32"/>
      <c r="AE133" s="32"/>
      <c r="AF133" s="32"/>
      <c r="AG133" s="32"/>
      <c r="AH133" s="32"/>
      <c r="AI133" s="32"/>
      <c r="AJ133" s="32"/>
      <c r="AK133" s="32"/>
      <c r="AL133" s="32"/>
      <c r="AM133" s="32"/>
      <c r="AN133" s="32"/>
      <c r="AO133" s="32"/>
      <c r="AP133" s="32"/>
      <c r="AQ133" s="32"/>
      <c r="AR133" s="32"/>
      <c r="AS133" s="32"/>
      <c r="AT133" s="32"/>
      <c r="AU133" s="32"/>
      <c r="AV133" s="32"/>
      <c r="AW133" s="32"/>
      <c r="AX133" s="32"/>
      <c r="AY133" s="32"/>
      <c r="AZ133" s="32"/>
      <c r="BA133" s="32"/>
      <c r="BB133" s="32"/>
      <c r="BC133" s="32"/>
      <c r="BD133" s="32"/>
      <c r="BE133" s="259" t="s">
        <v>211</v>
      </c>
      <c r="BF133" s="260"/>
    </row>
    <row r="134" ht="15.75" s="3" customFormat="1">
      <c r="A134" s="112"/>
      <c r="B134" s="112"/>
      <c r="C134" s="33" t="str">
        <f>C$8</f>
        <v>CƏMİ</v>
      </c>
      <c r="D134" s="33" t="str">
        <f>D$8</f>
        <v>CƏMİ</v>
      </c>
      <c r="E134" s="13" t="s">
        <v>214</v>
      </c>
      <c r="F134" s="13" t="s">
        <v>215</v>
      </c>
      <c r="G134" s="13" t="s">
        <v>216</v>
      </c>
      <c r="H134" s="13" t="s">
        <v>217</v>
      </c>
      <c r="I134" s="13" t="s">
        <v>218</v>
      </c>
      <c r="J134" s="13" t="s">
        <v>219</v>
      </c>
      <c r="K134" s="13" t="s">
        <v>220</v>
      </c>
      <c r="L134" s="13" t="s">
        <v>221</v>
      </c>
      <c r="M134" s="13" t="s">
        <v>222</v>
      </c>
      <c r="N134" s="13" t="s">
        <v>223</v>
      </c>
      <c r="O134" s="13" t="s">
        <v>224</v>
      </c>
      <c r="P134" s="13" t="s">
        <v>225</v>
      </c>
      <c r="Q134" s="13" t="s">
        <v>226</v>
      </c>
      <c r="R134" s="13" t="s">
        <v>227</v>
      </c>
      <c r="S134" s="13" t="s">
        <v>228</v>
      </c>
      <c r="T134" s="13" t="s">
        <v>229</v>
      </c>
      <c r="U134" s="13" t="s">
        <v>230</v>
      </c>
      <c r="V134" s="13" t="s">
        <v>231</v>
      </c>
      <c r="W134" s="13" t="s">
        <v>232</v>
      </c>
      <c r="X134" s="13" t="s">
        <v>233</v>
      </c>
      <c r="Y134" s="13" t="s">
        <v>234</v>
      </c>
      <c r="Z134" s="13" t="s">
        <v>235</v>
      </c>
      <c r="AA134" s="13" t="s">
        <v>236</v>
      </c>
      <c r="AB134" s="13" t="s">
        <v>237</v>
      </c>
      <c r="AC134" s="13" t="s">
        <v>238</v>
      </c>
      <c r="AD134" s="13" t="s">
        <v>239</v>
      </c>
      <c r="AE134" s="13" t="s">
        <v>240</v>
      </c>
      <c r="AF134" s="13" t="s">
        <v>241</v>
      </c>
      <c r="AG134" s="13" t="s">
        <v>242</v>
      </c>
      <c r="AH134" s="13" t="s">
        <v>243</v>
      </c>
      <c r="AI134" s="13" t="s">
        <v>244</v>
      </c>
      <c r="AJ134" s="13" t="s">
        <v>245</v>
      </c>
      <c r="AK134" s="13" t="s">
        <v>246</v>
      </c>
      <c r="AL134" s="13" t="s">
        <v>247</v>
      </c>
      <c r="AM134" s="13" t="s">
        <v>248</v>
      </c>
      <c r="AN134" s="13" t="s">
        <v>249</v>
      </c>
      <c r="AO134" s="13" t="s">
        <v>250</v>
      </c>
      <c r="AP134" s="13" t="s">
        <v>251</v>
      </c>
      <c r="AQ134" s="13" t="s">
        <v>252</v>
      </c>
      <c r="AR134" s="13" t="s">
        <v>253</v>
      </c>
      <c r="AS134" s="13" t="s">
        <v>254</v>
      </c>
      <c r="AT134" s="13" t="s">
        <v>255</v>
      </c>
      <c r="AU134" s="13" t="s">
        <v>256</v>
      </c>
      <c r="AV134" s="13" t="s">
        <v>257</v>
      </c>
      <c r="AW134" s="13" t="s">
        <v>258</v>
      </c>
      <c r="AX134" s="13" t="s">
        <v>259</v>
      </c>
      <c r="AY134" s="13" t="s">
        <v>260</v>
      </c>
      <c r="AZ134" s="13" t="s">
        <v>261</v>
      </c>
      <c r="BA134" s="13" t="s">
        <v>262</v>
      </c>
      <c r="BB134" s="13" t="s">
        <v>263</v>
      </c>
      <c r="BC134" s="13" t="s">
        <v>264</v>
      </c>
      <c r="BD134" s="13" t="s">
        <v>265</v>
      </c>
      <c r="BE134" s="53" t="s">
        <v>266</v>
      </c>
      <c r="BF134" s="54" t="s">
        <v>267</v>
      </c>
    </row>
    <row r="135" s="6" customFormat="1">
      <c r="A135" s="92">
        <v>1</v>
      </c>
      <c r="B135" s="113" t="s">
        <v>452</v>
      </c>
      <c r="C135" s="123">
        <v>113297.546075</v>
      </c>
      <c r="D135" s="27">
        <f>SUM(E135:BD135)</f>
        <v>0</v>
      </c>
      <c r="E135" s="123">
        <v>74467.11098</v>
      </c>
      <c r="F135" s="123">
        <v>2823.7034</v>
      </c>
      <c r="G135" s="123">
        <v>32525.941495</v>
      </c>
      <c r="H135" s="123"/>
      <c r="I135" s="123">
        <v>0.00753</v>
      </c>
      <c r="J135" s="123"/>
      <c r="K135" s="123">
        <v>0.9417</v>
      </c>
      <c r="L135" s="123"/>
      <c r="M135" s="123"/>
      <c r="N135" s="123"/>
      <c r="O135" s="123">
        <v>0.02718</v>
      </c>
      <c r="P135" s="123"/>
      <c r="Q135" s="123"/>
      <c r="R135" s="123"/>
      <c r="S135" s="123"/>
      <c r="T135" s="123"/>
      <c r="U135" s="123"/>
      <c r="V135" s="123"/>
      <c r="W135" s="123"/>
      <c r="X135" s="123"/>
      <c r="Y135" s="123"/>
      <c r="Z135" s="123"/>
      <c r="AA135" s="123"/>
      <c r="AB135" s="123"/>
      <c r="AC135" s="123"/>
      <c r="AD135" s="123"/>
      <c r="AE135" s="123"/>
      <c r="AF135" s="123"/>
      <c r="AG135" s="123"/>
      <c r="AH135" s="123"/>
      <c r="AI135" s="123"/>
      <c r="AJ135" s="123"/>
      <c r="AK135" s="123"/>
      <c r="AL135" s="123"/>
      <c r="AM135" s="123"/>
      <c r="AN135" s="123"/>
      <c r="AO135" s="123"/>
      <c r="AP135" s="123"/>
      <c r="AQ135" s="123"/>
      <c r="AR135" s="123"/>
      <c r="AS135" s="123"/>
      <c r="AT135" s="123"/>
      <c r="AU135" s="123"/>
      <c r="AV135" s="123"/>
      <c r="AW135" s="123"/>
      <c r="AX135" s="123"/>
      <c r="AY135" s="123"/>
      <c r="AZ135" s="123"/>
      <c r="BA135" s="123"/>
      <c r="BB135" s="123"/>
      <c r="BC135" s="123"/>
      <c r="BD135" s="123"/>
      <c r="BE135" s="61">
        <f>D135-C135</f>
        <v>0</v>
      </c>
      <c r="BF135" s="62">
        <f>IFERROR(D135/C135-1,0)</f>
        <v>0</v>
      </c>
    </row>
    <row r="136" s="6" customFormat="1">
      <c r="A136" s="92">
        <v>2</v>
      </c>
      <c r="B136" s="113" t="s">
        <v>453</v>
      </c>
      <c r="C136" s="123">
        <v>52402.6832</v>
      </c>
      <c r="D136" s="27">
        <f>SUM(E136:BD136)</f>
        <v>0</v>
      </c>
      <c r="E136" s="123">
        <v>34580.97187</v>
      </c>
      <c r="F136" s="123">
        <v>3634.62635</v>
      </c>
      <c r="G136" s="123">
        <v>14187.09232</v>
      </c>
      <c r="H136" s="123"/>
      <c r="I136" s="123">
        <v>0</v>
      </c>
      <c r="J136" s="123"/>
      <c r="K136" s="123">
        <v>0</v>
      </c>
      <c r="L136" s="123"/>
      <c r="M136" s="123"/>
      <c r="N136" s="123"/>
      <c r="O136" s="123">
        <v>0</v>
      </c>
      <c r="P136" s="123"/>
      <c r="Q136" s="123"/>
      <c r="R136" s="123"/>
      <c r="S136" s="123"/>
      <c r="T136" s="123"/>
      <c r="U136" s="123"/>
      <c r="V136" s="123"/>
      <c r="W136" s="123"/>
      <c r="X136" s="123"/>
      <c r="Y136" s="123"/>
      <c r="Z136" s="123"/>
      <c r="AA136" s="123"/>
      <c r="AB136" s="123"/>
      <c r="AC136" s="123"/>
      <c r="AD136" s="123"/>
      <c r="AE136" s="123"/>
      <c r="AF136" s="123"/>
      <c r="AG136" s="123"/>
      <c r="AH136" s="123"/>
      <c r="AI136" s="123"/>
      <c r="AJ136" s="123"/>
      <c r="AK136" s="123"/>
      <c r="AL136" s="123"/>
      <c r="AM136" s="123"/>
      <c r="AN136" s="123"/>
      <c r="AO136" s="123"/>
      <c r="AP136" s="123"/>
      <c r="AQ136" s="123"/>
      <c r="AR136" s="123"/>
      <c r="AS136" s="123"/>
      <c r="AT136" s="123"/>
      <c r="AU136" s="123"/>
      <c r="AV136" s="123"/>
      <c r="AW136" s="123"/>
      <c r="AX136" s="123"/>
      <c r="AY136" s="123"/>
      <c r="AZ136" s="123"/>
      <c r="BA136" s="123"/>
      <c r="BB136" s="123"/>
      <c r="BC136" s="123"/>
      <c r="BD136" s="123"/>
      <c r="BE136" s="61">
        <f ref="BE136:BE140" t="shared" si="67">D136-C136</f>
        <v>0</v>
      </c>
      <c r="BF136" s="62">
        <f ref="BF136:BF140" t="shared" si="68">IFERROR(D136/C136-1,0)</f>
        <v>0</v>
      </c>
    </row>
    <row r="137" s="6" customFormat="1">
      <c r="A137" s="92">
        <v>3</v>
      </c>
      <c r="B137" s="113" t="s">
        <v>454</v>
      </c>
      <c r="C137" s="123">
        <v>2.0960940481817167</v>
      </c>
      <c r="D137" s="123" t="e">
        <f>D138/D139</f>
        <v>#DIV/0!</v>
      </c>
      <c r="E137" s="123">
        <v>1.5767757451331177</v>
      </c>
      <c r="F137" s="123">
        <v>0.77793260893385863</v>
      </c>
      <c r="G137" s="123">
        <v>2.2909469842307164</v>
      </c>
      <c r="H137" s="123"/>
      <c r="I137" s="123"/>
      <c r="J137" s="123"/>
      <c r="K137" s="123"/>
      <c r="L137" s="123"/>
      <c r="M137" s="123"/>
      <c r="N137" s="123"/>
      <c r="O137" s="123"/>
      <c r="P137" s="123"/>
      <c r="Q137" s="123"/>
      <c r="R137" s="123"/>
      <c r="S137" s="123"/>
      <c r="T137" s="123"/>
      <c r="U137" s="123"/>
      <c r="V137" s="123"/>
      <c r="W137" s="123"/>
      <c r="X137" s="123"/>
      <c r="Y137" s="123"/>
      <c r="Z137" s="123"/>
      <c r="AA137" s="123"/>
      <c r="AB137" s="123"/>
      <c r="AC137" s="123"/>
      <c r="AD137" s="123"/>
      <c r="AE137" s="123"/>
      <c r="AF137" s="123"/>
      <c r="AG137" s="123"/>
      <c r="AH137" s="123"/>
      <c r="AI137" s="123"/>
      <c r="AJ137" s="123"/>
      <c r="AK137" s="123"/>
      <c r="AL137" s="123"/>
      <c r="AM137" s="123"/>
      <c r="AN137" s="123"/>
      <c r="AO137" s="123"/>
      <c r="AP137" s="123"/>
      <c r="AQ137" s="123"/>
      <c r="AR137" s="123"/>
      <c r="AS137" s="123"/>
      <c r="AT137" s="123"/>
      <c r="AU137" s="123"/>
      <c r="AV137" s="123"/>
      <c r="AW137" s="123"/>
      <c r="AX137" s="123"/>
      <c r="AY137" s="123"/>
      <c r="AZ137" s="123"/>
      <c r="BA137" s="123"/>
      <c r="BB137" s="123"/>
      <c r="BC137" s="123"/>
      <c r="BD137" s="123"/>
      <c r="BE137" s="61" t="e">
        <f t="shared" si="67"/>
        <v>#DIV/0!</v>
      </c>
      <c r="BF137" s="62">
        <f t="shared" si="68"/>
        <v>0</v>
      </c>
    </row>
    <row r="138" s="6" customFormat="1">
      <c r="A138" s="92">
        <v>4</v>
      </c>
      <c r="B138" s="113" t="s">
        <v>455</v>
      </c>
      <c r="C138" s="123" t="s">
        <v>456</v>
      </c>
      <c r="D138" s="123">
        <f>SUM(E138:O138)</f>
        <v>0</v>
      </c>
      <c r="E138" s="123">
        <v>54467.11098</v>
      </c>
      <c r="F138" s="123">
        <v>2823.7034</v>
      </c>
      <c r="G138" s="123">
        <v>32501.1697</v>
      </c>
      <c r="H138" s="123"/>
      <c r="I138" s="123"/>
      <c r="J138" s="123"/>
      <c r="K138" s="123"/>
      <c r="L138" s="123"/>
      <c r="M138" s="123"/>
      <c r="N138" s="123"/>
      <c r="O138" s="123"/>
      <c r="P138" s="123"/>
      <c r="Q138" s="123"/>
      <c r="R138" s="123"/>
      <c r="S138" s="123"/>
      <c r="T138" s="123"/>
      <c r="U138" s="123"/>
      <c r="V138" s="123"/>
      <c r="W138" s="123"/>
      <c r="X138" s="123"/>
      <c r="Y138" s="123"/>
      <c r="Z138" s="123"/>
      <c r="AA138" s="123"/>
      <c r="AB138" s="123"/>
      <c r="AC138" s="123"/>
      <c r="AD138" s="123"/>
      <c r="AE138" s="123"/>
      <c r="AF138" s="123"/>
      <c r="AG138" s="123"/>
      <c r="AH138" s="123"/>
      <c r="AI138" s="123"/>
      <c r="AJ138" s="123"/>
      <c r="AK138" s="123"/>
      <c r="AL138" s="123"/>
      <c r="AM138" s="123"/>
      <c r="AN138" s="123"/>
      <c r="AO138" s="123"/>
      <c r="AP138" s="123"/>
      <c r="AQ138" s="123"/>
      <c r="AR138" s="123"/>
      <c r="AS138" s="123"/>
      <c r="AT138" s="123"/>
      <c r="AU138" s="123"/>
      <c r="AV138" s="123"/>
      <c r="AW138" s="123"/>
      <c r="AX138" s="123"/>
      <c r="AY138" s="123"/>
      <c r="AZ138" s="123"/>
      <c r="BA138" s="123"/>
      <c r="BB138" s="123"/>
      <c r="BC138" s="123"/>
      <c r="BD138" s="123"/>
      <c r="BE138" s="61">
        <f t="shared" si="67"/>
        <v>0</v>
      </c>
      <c r="BF138" s="62">
        <f t="shared" si="68"/>
        <v>0</v>
      </c>
    </row>
    <row r="139" s="6" customFormat="1">
      <c r="A139" s="92">
        <v>5</v>
      </c>
      <c r="B139" s="113" t="s">
        <v>457</v>
      </c>
      <c r="C139" s="123">
        <v>10981.4734977</v>
      </c>
      <c r="D139" s="123">
        <v>10981.4716627</v>
      </c>
      <c r="E139" s="123">
        <v>3017.106809875</v>
      </c>
      <c r="F139" s="123">
        <v>3134.7488374</v>
      </c>
      <c r="G139" s="123">
        <v>15848.2127558</v>
      </c>
      <c r="H139" s="123"/>
      <c r="I139" s="123"/>
      <c r="J139" s="123"/>
      <c r="K139" s="123"/>
      <c r="L139" s="123"/>
      <c r="M139" s="123"/>
      <c r="N139" s="123"/>
      <c r="O139" s="123"/>
      <c r="P139" s="123"/>
      <c r="Q139" s="123"/>
      <c r="R139" s="123"/>
      <c r="S139" s="123"/>
      <c r="T139" s="123"/>
      <c r="U139" s="123"/>
      <c r="V139" s="123"/>
      <c r="W139" s="123"/>
      <c r="X139" s="123"/>
      <c r="Y139" s="123"/>
      <c r="Z139" s="123"/>
      <c r="AA139" s="123"/>
      <c r="AB139" s="123"/>
      <c r="AC139" s="123"/>
      <c r="AD139" s="123"/>
      <c r="AE139" s="123"/>
      <c r="AF139" s="123"/>
      <c r="AG139" s="123"/>
      <c r="AH139" s="123"/>
      <c r="AI139" s="123"/>
      <c r="AJ139" s="123"/>
      <c r="AK139" s="123"/>
      <c r="AL139" s="123"/>
      <c r="AM139" s="123"/>
      <c r="AN139" s="123"/>
      <c r="AO139" s="123"/>
      <c r="AP139" s="123"/>
      <c r="AQ139" s="123"/>
      <c r="AR139" s="123"/>
      <c r="AS139" s="123"/>
      <c r="AT139" s="123"/>
      <c r="AU139" s="123"/>
      <c r="AV139" s="123"/>
      <c r="AW139" s="123"/>
      <c r="AX139" s="123"/>
      <c r="AY139" s="123"/>
      <c r="AZ139" s="123"/>
      <c r="BA139" s="123"/>
      <c r="BB139" s="123"/>
      <c r="BC139" s="123"/>
      <c r="BD139" s="123"/>
      <c r="BE139" s="61">
        <f t="shared" si="67"/>
        <v>0</v>
      </c>
      <c r="BF139" s="62">
        <f t="shared" si="68"/>
        <v>0</v>
      </c>
    </row>
    <row r="140" s="6" customFormat="1">
      <c r="A140" s="92">
        <v>6</v>
      </c>
      <c r="B140" s="113" t="s">
        <v>458</v>
      </c>
      <c r="C140" s="123">
        <v>8969997.68</v>
      </c>
      <c r="D140" s="123">
        <v>8979198.41</v>
      </c>
      <c r="E140" s="123">
        <v>1803.37</v>
      </c>
      <c r="F140" s="123">
        <v>146.86</v>
      </c>
      <c r="G140" s="123"/>
      <c r="H140" s="123"/>
      <c r="I140" s="123"/>
      <c r="J140" s="123"/>
      <c r="K140" s="123"/>
      <c r="L140" s="123"/>
      <c r="M140" s="123"/>
      <c r="N140" s="123"/>
      <c r="O140" s="123"/>
      <c r="P140" s="123"/>
      <c r="Q140" s="123"/>
      <c r="R140" s="123"/>
      <c r="S140" s="123"/>
      <c r="T140" s="123"/>
      <c r="U140" s="123"/>
      <c r="V140" s="123"/>
      <c r="W140" s="123"/>
      <c r="X140" s="123"/>
      <c r="Y140" s="123"/>
      <c r="Z140" s="123"/>
      <c r="AA140" s="123"/>
      <c r="AB140" s="123"/>
      <c r="AC140" s="123"/>
      <c r="AD140" s="123"/>
      <c r="AE140" s="123"/>
      <c r="AF140" s="123"/>
      <c r="AG140" s="123"/>
      <c r="AH140" s="123"/>
      <c r="AI140" s="123"/>
      <c r="AJ140" s="123"/>
      <c r="AK140" s="123"/>
      <c r="AL140" s="123"/>
      <c r="AM140" s="123"/>
      <c r="AN140" s="123"/>
      <c r="AO140" s="123"/>
      <c r="AP140" s="123"/>
      <c r="AQ140" s="123"/>
      <c r="AR140" s="123"/>
      <c r="AS140" s="123"/>
      <c r="AT140" s="123"/>
      <c r="AU140" s="123"/>
      <c r="AV140" s="123"/>
      <c r="AW140" s="123"/>
      <c r="AX140" s="123"/>
      <c r="AY140" s="123"/>
      <c r="AZ140" s="123"/>
      <c r="BA140" s="123"/>
      <c r="BB140" s="123"/>
      <c r="BC140" s="123"/>
      <c r="BD140" s="123"/>
      <c r="BE140" s="61" t="e">
        <f t="shared" si="67"/>
        <v>#DIV/0!</v>
      </c>
      <c r="BF140" s="62">
        <f t="shared" si="68"/>
        <v>0</v>
      </c>
    </row>
    <row r="141">
      <c r="A141" s="106"/>
    </row>
    <row r="142">
      <c r="A142" s="106"/>
    </row>
    <row r="143" ht="28.5">
      <c r="A143" s="114" t="s">
        <v>459</v>
      </c>
      <c r="B143" s="115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69"/>
      <c r="BF143" s="70"/>
    </row>
    <row r="144" ht="15.75" s="3" customFormat="1">
      <c r="A144" s="112"/>
      <c r="B144" s="112"/>
      <c r="C144" s="33" t="str">
        <f>C$8</f>
        <v>CƏMİ</v>
      </c>
      <c r="D144" s="33" t="str">
        <f>D$8</f>
        <v>CƏMİ</v>
      </c>
      <c r="E144" s="13" t="s">
        <v>214</v>
      </c>
      <c r="F144" s="13" t="s">
        <v>215</v>
      </c>
      <c r="G144" s="13" t="s">
        <v>216</v>
      </c>
      <c r="H144" s="13" t="s">
        <v>217</v>
      </c>
      <c r="I144" s="13" t="s">
        <v>218</v>
      </c>
      <c r="J144" s="13" t="s">
        <v>219</v>
      </c>
      <c r="K144" s="13" t="s">
        <v>220</v>
      </c>
      <c r="L144" s="13" t="s">
        <v>221</v>
      </c>
      <c r="M144" s="13" t="s">
        <v>222</v>
      </c>
      <c r="N144" s="13" t="s">
        <v>223</v>
      </c>
      <c r="O144" s="13" t="s">
        <v>224</v>
      </c>
      <c r="P144" s="13" t="s">
        <v>225</v>
      </c>
      <c r="Q144" s="13" t="s">
        <v>226</v>
      </c>
      <c r="R144" s="13" t="s">
        <v>227</v>
      </c>
      <c r="S144" s="13" t="s">
        <v>228</v>
      </c>
      <c r="T144" s="13" t="s">
        <v>229</v>
      </c>
      <c r="U144" s="13" t="s">
        <v>230</v>
      </c>
      <c r="V144" s="13" t="s">
        <v>231</v>
      </c>
      <c r="W144" s="13" t="s">
        <v>232</v>
      </c>
      <c r="X144" s="13" t="s">
        <v>233</v>
      </c>
      <c r="Y144" s="13" t="s">
        <v>234</v>
      </c>
      <c r="Z144" s="13" t="s">
        <v>235</v>
      </c>
      <c r="AA144" s="13" t="s">
        <v>236</v>
      </c>
      <c r="AB144" s="13" t="s">
        <v>237</v>
      </c>
      <c r="AC144" s="13" t="s">
        <v>238</v>
      </c>
      <c r="AD144" s="13" t="s">
        <v>239</v>
      </c>
      <c r="AE144" s="13" t="s">
        <v>240</v>
      </c>
      <c r="AF144" s="13" t="s">
        <v>241</v>
      </c>
      <c r="AG144" s="13" t="s">
        <v>242</v>
      </c>
      <c r="AH144" s="13" t="s">
        <v>243</v>
      </c>
      <c r="AI144" s="13" t="s">
        <v>244</v>
      </c>
      <c r="AJ144" s="13" t="s">
        <v>245</v>
      </c>
      <c r="AK144" s="13" t="s">
        <v>246</v>
      </c>
      <c r="AL144" s="13" t="s">
        <v>247</v>
      </c>
      <c r="AM144" s="13" t="s">
        <v>248</v>
      </c>
      <c r="AN144" s="13" t="s">
        <v>249</v>
      </c>
      <c r="AO144" s="13" t="s">
        <v>250</v>
      </c>
      <c r="AP144" s="13" t="s">
        <v>251</v>
      </c>
      <c r="AQ144" s="13" t="s">
        <v>252</v>
      </c>
      <c r="AR144" s="13" t="s">
        <v>253</v>
      </c>
      <c r="AS144" s="13" t="s">
        <v>254</v>
      </c>
      <c r="AT144" s="13" t="s">
        <v>255</v>
      </c>
      <c r="AU144" s="13" t="s">
        <v>256</v>
      </c>
      <c r="AV144" s="13" t="s">
        <v>257</v>
      </c>
      <c r="AW144" s="13" t="s">
        <v>258</v>
      </c>
      <c r="AX144" s="13" t="s">
        <v>259</v>
      </c>
      <c r="AY144" s="13" t="s">
        <v>260</v>
      </c>
      <c r="AZ144" s="13" t="s">
        <v>261</v>
      </c>
      <c r="BA144" s="13" t="s">
        <v>262</v>
      </c>
      <c r="BB144" s="13" t="s">
        <v>263</v>
      </c>
      <c r="BC144" s="13" t="s">
        <v>264</v>
      </c>
      <c r="BD144" s="13" t="s">
        <v>265</v>
      </c>
      <c r="BE144" s="53" t="s">
        <v>266</v>
      </c>
      <c r="BF144" s="54" t="s">
        <v>267</v>
      </c>
    </row>
    <row r="145" s="117" customFormat="1">
      <c r="A145" s="85">
        <v>1</v>
      </c>
      <c r="B145" s="116" t="s">
        <v>460</v>
      </c>
      <c r="C145" s="170">
        <v>7.59925</v>
      </c>
      <c r="D145" s="256">
        <f>SUM(E145:BD145)</f>
        <v>0</v>
      </c>
      <c r="E145" s="170">
        <v>27.53526</v>
      </c>
      <c r="F145" s="170">
        <v>0</v>
      </c>
      <c r="G145" s="170">
        <v>0</v>
      </c>
      <c r="H145" s="170"/>
      <c r="I145" s="170">
        <v>0</v>
      </c>
      <c r="J145" s="170"/>
      <c r="K145" s="170">
        <v>0</v>
      </c>
      <c r="L145" s="170"/>
      <c r="M145" s="170"/>
      <c r="N145" s="170"/>
      <c r="O145" s="170">
        <v>0</v>
      </c>
      <c r="P145" s="170"/>
      <c r="Q145" s="170"/>
      <c r="R145" s="170"/>
      <c r="S145" s="170"/>
      <c r="T145" s="170"/>
      <c r="U145" s="170"/>
      <c r="V145" s="170"/>
      <c r="W145" s="170"/>
      <c r="X145" s="170"/>
      <c r="Y145" s="170"/>
      <c r="Z145" s="170"/>
      <c r="AA145" s="170"/>
      <c r="AB145" s="170"/>
      <c r="AC145" s="170"/>
      <c r="AD145" s="170"/>
      <c r="AE145" s="170"/>
      <c r="AF145" s="170"/>
      <c r="AG145" s="170"/>
      <c r="AH145" s="170"/>
      <c r="AI145" s="170"/>
      <c r="AJ145" s="170"/>
      <c r="AK145" s="170"/>
      <c r="AL145" s="170"/>
      <c r="AM145" s="170"/>
      <c r="AN145" s="170"/>
      <c r="AO145" s="170"/>
      <c r="AP145" s="170"/>
      <c r="AQ145" s="170"/>
      <c r="AR145" s="170"/>
      <c r="AS145" s="170"/>
      <c r="AT145" s="170"/>
      <c r="AU145" s="170"/>
      <c r="AV145" s="170"/>
      <c r="AW145" s="170"/>
      <c r="AX145" s="170"/>
      <c r="AY145" s="170"/>
      <c r="AZ145" s="170"/>
      <c r="BA145" s="170"/>
      <c r="BB145" s="170"/>
      <c r="BC145" s="170"/>
      <c r="BD145" s="170"/>
      <c r="BE145" s="250">
        <f ref="BE145:BE162" t="shared" si="70">D145-C145</f>
        <v>0</v>
      </c>
      <c r="BF145" s="251">
        <f ref="BF145:BF162" t="shared" si="71">IFERROR(D145/C145-1,0)</f>
        <v>0</v>
      </c>
    </row>
    <row r="146" s="117" customFormat="1">
      <c r="A146" s="85">
        <v>2</v>
      </c>
      <c r="B146" s="116" t="s">
        <v>461</v>
      </c>
      <c r="C146" s="170"/>
      <c r="D146" s="256">
        <f ref="D146:D162" t="shared" si="72">SUM(E146:BD146)</f>
        <v>0</v>
      </c>
      <c r="E146" s="170"/>
      <c r="F146" s="170"/>
      <c r="G146" s="170"/>
      <c r="H146" s="170"/>
      <c r="I146" s="170"/>
      <c r="J146" s="170"/>
      <c r="K146" s="170"/>
      <c r="L146" s="170"/>
      <c r="M146" s="170"/>
      <c r="N146" s="170"/>
      <c r="O146" s="170"/>
      <c r="P146" s="170"/>
      <c r="Q146" s="170"/>
      <c r="R146" s="170"/>
      <c r="S146" s="170"/>
      <c r="T146" s="170"/>
      <c r="U146" s="170"/>
      <c r="V146" s="170"/>
      <c r="W146" s="170"/>
      <c r="X146" s="170"/>
      <c r="Y146" s="170"/>
      <c r="Z146" s="170"/>
      <c r="AA146" s="170"/>
      <c r="AB146" s="170"/>
      <c r="AC146" s="170"/>
      <c r="AD146" s="170"/>
      <c r="AE146" s="170"/>
      <c r="AF146" s="170"/>
      <c r="AG146" s="170"/>
      <c r="AH146" s="170"/>
      <c r="AI146" s="170"/>
      <c r="AJ146" s="170"/>
      <c r="AK146" s="170"/>
      <c r="AL146" s="170"/>
      <c r="AM146" s="170"/>
      <c r="AN146" s="170"/>
      <c r="AO146" s="170"/>
      <c r="AP146" s="170"/>
      <c r="AQ146" s="170"/>
      <c r="AR146" s="170"/>
      <c r="AS146" s="170"/>
      <c r="AT146" s="170"/>
      <c r="AU146" s="170"/>
      <c r="AV146" s="170"/>
      <c r="AW146" s="170"/>
      <c r="AX146" s="170"/>
      <c r="AY146" s="170"/>
      <c r="AZ146" s="170"/>
      <c r="BA146" s="170"/>
      <c r="BB146" s="170"/>
      <c r="BC146" s="170"/>
      <c r="BD146" s="170"/>
      <c r="BE146" s="250">
        <f t="shared" si="70"/>
        <v>0</v>
      </c>
      <c r="BF146" s="251">
        <f t="shared" si="71"/>
        <v>0</v>
      </c>
    </row>
    <row r="147" s="117" customFormat="1">
      <c r="A147" s="85">
        <v>3</v>
      </c>
      <c r="B147" s="116" t="s">
        <v>462</v>
      </c>
      <c r="C147" s="170">
        <v>7.59988</v>
      </c>
      <c r="D147" s="256">
        <f t="shared" si="72"/>
        <v>0</v>
      </c>
      <c r="E147" s="170">
        <v>27.52792</v>
      </c>
      <c r="F147" s="170">
        <v>0</v>
      </c>
      <c r="G147" s="170">
        <v>0</v>
      </c>
      <c r="H147" s="170"/>
      <c r="I147" s="170">
        <v>0</v>
      </c>
      <c r="J147" s="170"/>
      <c r="K147" s="170">
        <v>0</v>
      </c>
      <c r="L147" s="170"/>
      <c r="M147" s="170"/>
      <c r="N147" s="170"/>
      <c r="O147" s="170">
        <v>0</v>
      </c>
      <c r="P147" s="170"/>
      <c r="Q147" s="170"/>
      <c r="R147" s="170"/>
      <c r="S147" s="170"/>
      <c r="T147" s="170"/>
      <c r="U147" s="170"/>
      <c r="V147" s="170"/>
      <c r="W147" s="170"/>
      <c r="X147" s="170"/>
      <c r="Y147" s="170"/>
      <c r="Z147" s="170"/>
      <c r="AA147" s="170"/>
      <c r="AB147" s="170"/>
      <c r="AC147" s="170"/>
      <c r="AD147" s="170"/>
      <c r="AE147" s="170"/>
      <c r="AF147" s="170"/>
      <c r="AG147" s="170"/>
      <c r="AH147" s="170"/>
      <c r="AI147" s="170"/>
      <c r="AJ147" s="170"/>
      <c r="AK147" s="170"/>
      <c r="AL147" s="170"/>
      <c r="AM147" s="170"/>
      <c r="AN147" s="170"/>
      <c r="AO147" s="170"/>
      <c r="AP147" s="170"/>
      <c r="AQ147" s="170"/>
      <c r="AR147" s="170"/>
      <c r="AS147" s="170"/>
      <c r="AT147" s="170"/>
      <c r="AU147" s="170"/>
      <c r="AV147" s="170"/>
      <c r="AW147" s="170"/>
      <c r="AX147" s="170"/>
      <c r="AY147" s="170"/>
      <c r="AZ147" s="170"/>
      <c r="BA147" s="170"/>
      <c r="BB147" s="170"/>
      <c r="BC147" s="170"/>
      <c r="BD147" s="170"/>
      <c r="BE147" s="250">
        <f t="shared" si="70"/>
        <v>0</v>
      </c>
      <c r="BF147" s="251">
        <f t="shared" si="71"/>
        <v>0</v>
      </c>
    </row>
    <row r="148" s="117" customFormat="1">
      <c r="A148" s="85">
        <v>4</v>
      </c>
      <c r="B148" s="116" t="s">
        <v>463</v>
      </c>
      <c r="C148" s="170"/>
      <c r="D148" s="256">
        <f t="shared" si="72"/>
        <v>0</v>
      </c>
      <c r="E148" s="170"/>
      <c r="F148" s="170"/>
      <c r="G148" s="170"/>
      <c r="H148" s="170"/>
      <c r="I148" s="170"/>
      <c r="J148" s="170"/>
      <c r="K148" s="170"/>
      <c r="L148" s="170"/>
      <c r="M148" s="170"/>
      <c r="N148" s="170"/>
      <c r="O148" s="170"/>
      <c r="P148" s="170"/>
      <c r="Q148" s="170"/>
      <c r="R148" s="170"/>
      <c r="S148" s="170"/>
      <c r="T148" s="170"/>
      <c r="U148" s="170"/>
      <c r="V148" s="170"/>
      <c r="W148" s="170"/>
      <c r="X148" s="170"/>
      <c r="Y148" s="170"/>
      <c r="Z148" s="170"/>
      <c r="AA148" s="170"/>
      <c r="AB148" s="170"/>
      <c r="AC148" s="170"/>
      <c r="AD148" s="170"/>
      <c r="AE148" s="170"/>
      <c r="AF148" s="170"/>
      <c r="AG148" s="170"/>
      <c r="AH148" s="170"/>
      <c r="AI148" s="170"/>
      <c r="AJ148" s="170"/>
      <c r="AK148" s="170"/>
      <c r="AL148" s="170"/>
      <c r="AM148" s="170"/>
      <c r="AN148" s="170"/>
      <c r="AO148" s="170"/>
      <c r="AP148" s="170"/>
      <c r="AQ148" s="170"/>
      <c r="AR148" s="170"/>
      <c r="AS148" s="170"/>
      <c r="AT148" s="170"/>
      <c r="AU148" s="170"/>
      <c r="AV148" s="170"/>
      <c r="AW148" s="170"/>
      <c r="AX148" s="170"/>
      <c r="AY148" s="170"/>
      <c r="AZ148" s="170"/>
      <c r="BA148" s="170"/>
      <c r="BB148" s="170"/>
      <c r="BC148" s="170"/>
      <c r="BD148" s="170"/>
      <c r="BE148" s="250">
        <f t="shared" si="70"/>
        <v>0</v>
      </c>
      <c r="BF148" s="251">
        <f t="shared" si="71"/>
        <v>0</v>
      </c>
    </row>
    <row r="149" s="117" customFormat="1">
      <c r="A149" s="85">
        <v>5</v>
      </c>
      <c r="B149" s="116" t="s">
        <v>464</v>
      </c>
      <c r="C149" s="170">
        <v>7.19681</v>
      </c>
      <c r="D149" s="256">
        <f t="shared" si="72"/>
        <v>0</v>
      </c>
      <c r="E149" s="170">
        <v>0</v>
      </c>
      <c r="F149" s="170">
        <v>0</v>
      </c>
      <c r="G149" s="170">
        <v>0</v>
      </c>
      <c r="H149" s="170"/>
      <c r="I149" s="170">
        <v>0</v>
      </c>
      <c r="J149" s="170"/>
      <c r="K149" s="170">
        <v>0</v>
      </c>
      <c r="L149" s="170"/>
      <c r="M149" s="170"/>
      <c r="N149" s="170"/>
      <c r="O149" s="170">
        <v>0</v>
      </c>
      <c r="P149" s="170"/>
      <c r="Q149" s="170"/>
      <c r="R149" s="170"/>
      <c r="S149" s="170"/>
      <c r="T149" s="170"/>
      <c r="U149" s="170"/>
      <c r="V149" s="170"/>
      <c r="W149" s="170"/>
      <c r="X149" s="170"/>
      <c r="Y149" s="170"/>
      <c r="Z149" s="170"/>
      <c r="AA149" s="170"/>
      <c r="AB149" s="170"/>
      <c r="AC149" s="170"/>
      <c r="AD149" s="170"/>
      <c r="AE149" s="170"/>
      <c r="AF149" s="170"/>
      <c r="AG149" s="170"/>
      <c r="AH149" s="170"/>
      <c r="AI149" s="170"/>
      <c r="AJ149" s="170"/>
      <c r="AK149" s="170"/>
      <c r="AL149" s="170"/>
      <c r="AM149" s="170"/>
      <c r="AN149" s="170"/>
      <c r="AO149" s="170"/>
      <c r="AP149" s="170"/>
      <c r="AQ149" s="170"/>
      <c r="AR149" s="170"/>
      <c r="AS149" s="170"/>
      <c r="AT149" s="170"/>
      <c r="AU149" s="170"/>
      <c r="AV149" s="170"/>
      <c r="AW149" s="170"/>
      <c r="AX149" s="170"/>
      <c r="AY149" s="170"/>
      <c r="AZ149" s="170"/>
      <c r="BA149" s="170"/>
      <c r="BB149" s="170"/>
      <c r="BC149" s="170"/>
      <c r="BD149" s="170"/>
      <c r="BE149" s="250">
        <f t="shared" si="70"/>
        <v>0</v>
      </c>
      <c r="BF149" s="251">
        <f t="shared" si="71"/>
        <v>0</v>
      </c>
    </row>
    <row r="150" s="117" customFormat="1">
      <c r="A150" s="85">
        <v>6</v>
      </c>
      <c r="B150" s="116" t="s">
        <v>465</v>
      </c>
      <c r="C150" s="170"/>
      <c r="D150" s="256">
        <f t="shared" si="72"/>
        <v>0</v>
      </c>
      <c r="E150" s="170"/>
      <c r="F150" s="170"/>
      <c r="G150" s="170"/>
      <c r="H150" s="170"/>
      <c r="I150" s="170"/>
      <c r="J150" s="170"/>
      <c r="K150" s="170"/>
      <c r="L150" s="170"/>
      <c r="M150" s="170"/>
      <c r="N150" s="170"/>
      <c r="O150" s="170"/>
      <c r="P150" s="170"/>
      <c r="Q150" s="170"/>
      <c r="R150" s="170"/>
      <c r="S150" s="170"/>
      <c r="T150" s="170"/>
      <c r="U150" s="170"/>
      <c r="V150" s="170"/>
      <c r="W150" s="170"/>
      <c r="X150" s="170"/>
      <c r="Y150" s="170"/>
      <c r="Z150" s="170"/>
      <c r="AA150" s="170"/>
      <c r="AB150" s="170"/>
      <c r="AC150" s="170"/>
      <c r="AD150" s="170"/>
      <c r="AE150" s="170"/>
      <c r="AF150" s="170"/>
      <c r="AG150" s="170"/>
      <c r="AH150" s="170"/>
      <c r="AI150" s="170"/>
      <c r="AJ150" s="170"/>
      <c r="AK150" s="170"/>
      <c r="AL150" s="170"/>
      <c r="AM150" s="170"/>
      <c r="AN150" s="170"/>
      <c r="AO150" s="170"/>
      <c r="AP150" s="170"/>
      <c r="AQ150" s="170"/>
      <c r="AR150" s="170"/>
      <c r="AS150" s="170"/>
      <c r="AT150" s="170"/>
      <c r="AU150" s="170"/>
      <c r="AV150" s="170"/>
      <c r="AW150" s="170"/>
      <c r="AX150" s="170"/>
      <c r="AY150" s="170"/>
      <c r="AZ150" s="170"/>
      <c r="BA150" s="170"/>
      <c r="BB150" s="170"/>
      <c r="BC150" s="170"/>
      <c r="BD150" s="170"/>
      <c r="BE150" s="250">
        <f t="shared" si="70"/>
        <v>0</v>
      </c>
      <c r="BF150" s="251">
        <f t="shared" si="71"/>
        <v>0</v>
      </c>
    </row>
    <row r="151" s="117" customFormat="1">
      <c r="A151" s="85">
        <v>7</v>
      </c>
      <c r="B151" s="116" t="s">
        <v>466</v>
      </c>
      <c r="C151" s="170">
        <v>3.96634</v>
      </c>
      <c r="D151" s="256">
        <f t="shared" si="72"/>
        <v>0</v>
      </c>
      <c r="E151" s="170">
        <v>0</v>
      </c>
      <c r="F151" s="170">
        <v>0</v>
      </c>
      <c r="G151" s="170">
        <v>0</v>
      </c>
      <c r="H151" s="170"/>
      <c r="I151" s="170">
        <v>0</v>
      </c>
      <c r="J151" s="170"/>
      <c r="K151" s="170">
        <v>0</v>
      </c>
      <c r="L151" s="170"/>
      <c r="M151" s="170"/>
      <c r="N151" s="170"/>
      <c r="O151" s="170">
        <v>0</v>
      </c>
      <c r="P151" s="170"/>
      <c r="Q151" s="170"/>
      <c r="R151" s="170"/>
      <c r="S151" s="170"/>
      <c r="T151" s="170"/>
      <c r="U151" s="170"/>
      <c r="V151" s="170"/>
      <c r="W151" s="170"/>
      <c r="X151" s="170"/>
      <c r="Y151" s="170"/>
      <c r="Z151" s="170"/>
      <c r="AA151" s="170"/>
      <c r="AB151" s="170"/>
      <c r="AC151" s="170"/>
      <c r="AD151" s="170"/>
      <c r="AE151" s="170"/>
      <c r="AF151" s="170"/>
      <c r="AG151" s="170"/>
      <c r="AH151" s="170"/>
      <c r="AI151" s="170"/>
      <c r="AJ151" s="170"/>
      <c r="AK151" s="170"/>
      <c r="AL151" s="170"/>
      <c r="AM151" s="170"/>
      <c r="AN151" s="170"/>
      <c r="AO151" s="170"/>
      <c r="AP151" s="170"/>
      <c r="AQ151" s="170"/>
      <c r="AR151" s="170"/>
      <c r="AS151" s="170"/>
      <c r="AT151" s="170"/>
      <c r="AU151" s="170"/>
      <c r="AV151" s="170"/>
      <c r="AW151" s="170"/>
      <c r="AX151" s="170"/>
      <c r="AY151" s="170"/>
      <c r="AZ151" s="170"/>
      <c r="BA151" s="170"/>
      <c r="BB151" s="170"/>
      <c r="BC151" s="170"/>
      <c r="BD151" s="170"/>
      <c r="BE151" s="250">
        <f t="shared" si="70"/>
        <v>0</v>
      </c>
      <c r="BF151" s="251">
        <f t="shared" si="71"/>
        <v>0</v>
      </c>
    </row>
    <row r="152" s="117" customFormat="1">
      <c r="A152" s="85">
        <v>8</v>
      </c>
      <c r="B152" s="116" t="s">
        <v>467</v>
      </c>
      <c r="C152" s="170"/>
      <c r="D152" s="256">
        <f t="shared" si="72"/>
        <v>0</v>
      </c>
      <c r="E152" s="170"/>
      <c r="F152" s="170"/>
      <c r="G152" s="170"/>
      <c r="H152" s="170"/>
      <c r="I152" s="170"/>
      <c r="J152" s="170"/>
      <c r="K152" s="170"/>
      <c r="L152" s="170"/>
      <c r="M152" s="170"/>
      <c r="N152" s="170"/>
      <c r="O152" s="170"/>
      <c r="P152" s="170"/>
      <c r="Q152" s="170"/>
      <c r="R152" s="170"/>
      <c r="S152" s="170"/>
      <c r="T152" s="170"/>
      <c r="U152" s="170"/>
      <c r="V152" s="170"/>
      <c r="W152" s="170"/>
      <c r="X152" s="170"/>
      <c r="Y152" s="170"/>
      <c r="Z152" s="170"/>
      <c r="AA152" s="170"/>
      <c r="AB152" s="170"/>
      <c r="AC152" s="170"/>
      <c r="AD152" s="170"/>
      <c r="AE152" s="170"/>
      <c r="AF152" s="170"/>
      <c r="AG152" s="170"/>
      <c r="AH152" s="170"/>
      <c r="AI152" s="170"/>
      <c r="AJ152" s="170"/>
      <c r="AK152" s="170"/>
      <c r="AL152" s="170"/>
      <c r="AM152" s="170"/>
      <c r="AN152" s="170"/>
      <c r="AO152" s="170"/>
      <c r="AP152" s="170"/>
      <c r="AQ152" s="170"/>
      <c r="AR152" s="170"/>
      <c r="AS152" s="170"/>
      <c r="AT152" s="170"/>
      <c r="AU152" s="170"/>
      <c r="AV152" s="170"/>
      <c r="AW152" s="170"/>
      <c r="AX152" s="170"/>
      <c r="AY152" s="170"/>
      <c r="AZ152" s="170"/>
      <c r="BA152" s="170"/>
      <c r="BB152" s="170"/>
      <c r="BC152" s="170"/>
      <c r="BD152" s="170"/>
      <c r="BE152" s="250">
        <f t="shared" si="70"/>
        <v>0</v>
      </c>
      <c r="BF152" s="251">
        <f t="shared" si="71"/>
        <v>0</v>
      </c>
    </row>
    <row r="153" s="214" customFormat="1">
      <c r="A153" s="94">
        <v>9</v>
      </c>
      <c r="B153" s="244" t="s">
        <v>468</v>
      </c>
      <c r="C153" s="245">
        <v>0</v>
      </c>
      <c r="D153" s="257">
        <f t="shared" si="72"/>
        <v>0</v>
      </c>
      <c r="E153" s="245">
        <v>0</v>
      </c>
      <c r="F153" s="245">
        <v>0</v>
      </c>
      <c r="G153" s="245">
        <v>0</v>
      </c>
      <c r="H153" s="245"/>
      <c r="I153" s="245">
        <v>0</v>
      </c>
      <c r="J153" s="245"/>
      <c r="K153" s="245">
        <v>0</v>
      </c>
      <c r="L153" s="245"/>
      <c r="M153" s="245"/>
      <c r="N153" s="245"/>
      <c r="O153" s="245">
        <v>0</v>
      </c>
      <c r="P153" s="245"/>
      <c r="Q153" s="245"/>
      <c r="R153" s="245"/>
      <c r="S153" s="245"/>
      <c r="T153" s="245"/>
      <c r="U153" s="245"/>
      <c r="V153" s="245"/>
      <c r="W153" s="245"/>
      <c r="X153" s="245"/>
      <c r="Y153" s="245"/>
      <c r="Z153" s="245"/>
      <c r="AA153" s="245"/>
      <c r="AB153" s="245"/>
      <c r="AC153" s="245"/>
      <c r="AD153" s="245"/>
      <c r="AE153" s="245"/>
      <c r="AF153" s="245"/>
      <c r="AG153" s="245"/>
      <c r="AH153" s="245"/>
      <c r="AI153" s="245"/>
      <c r="AJ153" s="245"/>
      <c r="AK153" s="245"/>
      <c r="AL153" s="245"/>
      <c r="AM153" s="245"/>
      <c r="AN153" s="245"/>
      <c r="AO153" s="245"/>
      <c r="AP153" s="245"/>
      <c r="AQ153" s="245"/>
      <c r="AR153" s="245"/>
      <c r="AS153" s="245"/>
      <c r="AT153" s="245"/>
      <c r="AU153" s="245"/>
      <c r="AV153" s="245"/>
      <c r="AW153" s="245"/>
      <c r="AX153" s="245"/>
      <c r="AY153" s="245"/>
      <c r="AZ153" s="245"/>
      <c r="BA153" s="245"/>
      <c r="BB153" s="245"/>
      <c r="BC153" s="245"/>
      <c r="BD153" s="245"/>
      <c r="BE153" s="252">
        <f t="shared" si="70"/>
        <v>0</v>
      </c>
      <c r="BF153" s="253">
        <f t="shared" si="71"/>
        <v>0</v>
      </c>
    </row>
    <row r="154" s="214" customFormat="1">
      <c r="A154" s="94">
        <v>10</v>
      </c>
      <c r="B154" s="244" t="s">
        <v>469</v>
      </c>
      <c r="C154" s="245">
        <v>0</v>
      </c>
      <c r="D154" s="257">
        <f t="shared" si="72"/>
        <v>0</v>
      </c>
      <c r="E154" s="245">
        <v>0</v>
      </c>
      <c r="F154" s="245">
        <v>0</v>
      </c>
      <c r="G154" s="245">
        <v>0</v>
      </c>
      <c r="H154" s="245"/>
      <c r="I154" s="245">
        <v>0</v>
      </c>
      <c r="J154" s="245"/>
      <c r="K154" s="245">
        <v>0</v>
      </c>
      <c r="L154" s="245"/>
      <c r="M154" s="245"/>
      <c r="N154" s="245"/>
      <c r="O154" s="245">
        <v>0</v>
      </c>
      <c r="P154" s="245"/>
      <c r="Q154" s="245"/>
      <c r="R154" s="245"/>
      <c r="S154" s="245"/>
      <c r="T154" s="245"/>
      <c r="U154" s="245"/>
      <c r="V154" s="245"/>
      <c r="W154" s="245"/>
      <c r="X154" s="245"/>
      <c r="Y154" s="245"/>
      <c r="Z154" s="245"/>
      <c r="AA154" s="245"/>
      <c r="AB154" s="245"/>
      <c r="AC154" s="245"/>
      <c r="AD154" s="245"/>
      <c r="AE154" s="245"/>
      <c r="AF154" s="245"/>
      <c r="AG154" s="245"/>
      <c r="AH154" s="245"/>
      <c r="AI154" s="245"/>
      <c r="AJ154" s="245"/>
      <c r="AK154" s="245"/>
      <c r="AL154" s="245"/>
      <c r="AM154" s="245"/>
      <c r="AN154" s="245"/>
      <c r="AO154" s="245"/>
      <c r="AP154" s="245"/>
      <c r="AQ154" s="245"/>
      <c r="AR154" s="245"/>
      <c r="AS154" s="245"/>
      <c r="AT154" s="245"/>
      <c r="AU154" s="245"/>
      <c r="AV154" s="245"/>
      <c r="AW154" s="245"/>
      <c r="AX154" s="245"/>
      <c r="AY154" s="245"/>
      <c r="AZ154" s="245"/>
      <c r="BA154" s="245"/>
      <c r="BB154" s="245"/>
      <c r="BC154" s="245"/>
      <c r="BD154" s="245"/>
      <c r="BE154" s="252">
        <f t="shared" si="70"/>
        <v>0</v>
      </c>
      <c r="BF154" s="253">
        <f t="shared" si="71"/>
        <v>0</v>
      </c>
    </row>
    <row r="155" s="117" customFormat="1">
      <c r="A155" s="94">
        <v>11</v>
      </c>
      <c r="B155" s="246" t="s">
        <v>470</v>
      </c>
      <c r="C155" s="245"/>
      <c r="D155" s="257">
        <f t="shared" si="72"/>
        <v>0</v>
      </c>
      <c r="E155" s="245"/>
      <c r="F155" s="245"/>
      <c r="G155" s="245"/>
      <c r="H155" s="245"/>
      <c r="I155" s="245"/>
      <c r="J155" s="245"/>
      <c r="K155" s="245"/>
      <c r="L155" s="245"/>
      <c r="M155" s="245"/>
      <c r="N155" s="245"/>
      <c r="O155" s="245"/>
      <c r="P155" s="245"/>
      <c r="Q155" s="245"/>
      <c r="R155" s="245"/>
      <c r="S155" s="245"/>
      <c r="T155" s="245"/>
      <c r="U155" s="245"/>
      <c r="V155" s="245"/>
      <c r="W155" s="245"/>
      <c r="X155" s="245"/>
      <c r="Y155" s="245"/>
      <c r="Z155" s="245"/>
      <c r="AA155" s="245"/>
      <c r="AB155" s="245"/>
      <c r="AC155" s="245"/>
      <c r="AD155" s="245"/>
      <c r="AE155" s="245"/>
      <c r="AF155" s="245"/>
      <c r="AG155" s="245"/>
      <c r="AH155" s="245"/>
      <c r="AI155" s="245"/>
      <c r="AJ155" s="245"/>
      <c r="AK155" s="245"/>
      <c r="AL155" s="245"/>
      <c r="AM155" s="245"/>
      <c r="AN155" s="245"/>
      <c r="AO155" s="245"/>
      <c r="AP155" s="245"/>
      <c r="AQ155" s="245"/>
      <c r="AR155" s="245"/>
      <c r="AS155" s="245"/>
      <c r="AT155" s="245"/>
      <c r="AU155" s="245"/>
      <c r="AV155" s="245"/>
      <c r="AW155" s="245"/>
      <c r="AX155" s="245"/>
      <c r="AY155" s="245"/>
      <c r="AZ155" s="245"/>
      <c r="BA155" s="245"/>
      <c r="BB155" s="245"/>
      <c r="BC155" s="245"/>
      <c r="BD155" s="245"/>
      <c r="BE155" s="252">
        <f t="shared" si="70"/>
        <v>0</v>
      </c>
      <c r="BF155" s="253">
        <f t="shared" si="71"/>
        <v>0</v>
      </c>
    </row>
    <row r="156" s="118" customFormat="1">
      <c r="A156" s="94" t="s">
        <v>471</v>
      </c>
      <c r="B156" s="247" t="s">
        <v>472</v>
      </c>
      <c r="C156" s="248">
        <v>0</v>
      </c>
      <c r="D156" s="258">
        <f t="shared" si="72"/>
        <v>0</v>
      </c>
      <c r="E156" s="248">
        <v>0</v>
      </c>
      <c r="F156" s="245">
        <v>0</v>
      </c>
      <c r="G156" s="248">
        <v>0</v>
      </c>
      <c r="H156" s="248"/>
      <c r="I156" s="248">
        <v>0</v>
      </c>
      <c r="J156" s="248"/>
      <c r="K156" s="248">
        <v>0</v>
      </c>
      <c r="L156" s="248"/>
      <c r="M156" s="248"/>
      <c r="N156" s="248"/>
      <c r="O156" s="248">
        <v>0</v>
      </c>
      <c r="P156" s="248"/>
      <c r="Q156" s="248"/>
      <c r="R156" s="248"/>
      <c r="S156" s="248"/>
      <c r="T156" s="248"/>
      <c r="U156" s="248"/>
      <c r="V156" s="248"/>
      <c r="W156" s="248"/>
      <c r="X156" s="248"/>
      <c r="Y156" s="248"/>
      <c r="Z156" s="248"/>
      <c r="AA156" s="248"/>
      <c r="AB156" s="248"/>
      <c r="AC156" s="248"/>
      <c r="AD156" s="248"/>
      <c r="AE156" s="248"/>
      <c r="AF156" s="248"/>
      <c r="AG156" s="248"/>
      <c r="AH156" s="248"/>
      <c r="AI156" s="248"/>
      <c r="AJ156" s="248"/>
      <c r="AK156" s="248"/>
      <c r="AL156" s="248"/>
      <c r="AM156" s="248"/>
      <c r="AN156" s="248"/>
      <c r="AO156" s="248"/>
      <c r="AP156" s="248"/>
      <c r="AQ156" s="248"/>
      <c r="AR156" s="248"/>
      <c r="AS156" s="248"/>
      <c r="AT156" s="248"/>
      <c r="AU156" s="248"/>
      <c r="AV156" s="248"/>
      <c r="AW156" s="248"/>
      <c r="AX156" s="248"/>
      <c r="AY156" s="248"/>
      <c r="AZ156" s="248"/>
      <c r="BA156" s="248"/>
      <c r="BB156" s="248"/>
      <c r="BC156" s="248"/>
      <c r="BD156" s="248"/>
      <c r="BE156" s="254">
        <f t="shared" si="70"/>
        <v>0</v>
      </c>
      <c r="BF156" s="255">
        <f t="shared" si="71"/>
        <v>0</v>
      </c>
    </row>
    <row r="157" s="118" customFormat="1">
      <c r="A157" s="94" t="s">
        <v>473</v>
      </c>
      <c r="B157" s="247" t="s">
        <v>474</v>
      </c>
      <c r="C157" s="248">
        <v>0</v>
      </c>
      <c r="D157" s="258">
        <f t="shared" si="72"/>
        <v>0</v>
      </c>
      <c r="E157" s="248">
        <v>0</v>
      </c>
      <c r="F157" s="245">
        <v>0</v>
      </c>
      <c r="G157" s="248">
        <v>0</v>
      </c>
      <c r="H157" s="248"/>
      <c r="I157" s="248">
        <v>0</v>
      </c>
      <c r="J157" s="248"/>
      <c r="K157" s="248">
        <v>0</v>
      </c>
      <c r="L157" s="248"/>
      <c r="M157" s="248"/>
      <c r="N157" s="248"/>
      <c r="O157" s="248">
        <v>0</v>
      </c>
      <c r="P157" s="248"/>
      <c r="Q157" s="248"/>
      <c r="R157" s="248"/>
      <c r="S157" s="248"/>
      <c r="T157" s="248"/>
      <c r="U157" s="248"/>
      <c r="V157" s="248"/>
      <c r="W157" s="248"/>
      <c r="X157" s="248"/>
      <c r="Y157" s="248"/>
      <c r="Z157" s="248"/>
      <c r="AA157" s="248"/>
      <c r="AB157" s="248"/>
      <c r="AC157" s="248"/>
      <c r="AD157" s="248"/>
      <c r="AE157" s="248"/>
      <c r="AF157" s="248"/>
      <c r="AG157" s="248"/>
      <c r="AH157" s="248"/>
      <c r="AI157" s="248"/>
      <c r="AJ157" s="248"/>
      <c r="AK157" s="248"/>
      <c r="AL157" s="248"/>
      <c r="AM157" s="248"/>
      <c r="AN157" s="248"/>
      <c r="AO157" s="248"/>
      <c r="AP157" s="248"/>
      <c r="AQ157" s="248"/>
      <c r="AR157" s="248"/>
      <c r="AS157" s="248"/>
      <c r="AT157" s="248"/>
      <c r="AU157" s="248"/>
      <c r="AV157" s="248"/>
      <c r="AW157" s="248"/>
      <c r="AX157" s="248"/>
      <c r="AY157" s="248"/>
      <c r="AZ157" s="248"/>
      <c r="BA157" s="248"/>
      <c r="BB157" s="248"/>
      <c r="BC157" s="248"/>
      <c r="BD157" s="248"/>
      <c r="BE157" s="254">
        <f t="shared" si="70"/>
        <v>0</v>
      </c>
      <c r="BF157" s="255">
        <f t="shared" si="71"/>
        <v>0</v>
      </c>
    </row>
    <row r="158" s="118" customFormat="1">
      <c r="A158" s="94" t="s">
        <v>475</v>
      </c>
      <c r="B158" s="247" t="s">
        <v>476</v>
      </c>
      <c r="C158" s="248"/>
      <c r="D158" s="258">
        <f t="shared" si="72"/>
        <v>0</v>
      </c>
      <c r="E158" s="248"/>
      <c r="F158" s="245"/>
      <c r="G158" s="248"/>
      <c r="H158" s="248"/>
      <c r="I158" s="248"/>
      <c r="J158" s="248"/>
      <c r="K158" s="248"/>
      <c r="L158" s="248"/>
      <c r="M158" s="248"/>
      <c r="N158" s="248"/>
      <c r="O158" s="248"/>
      <c r="P158" s="248"/>
      <c r="Q158" s="248"/>
      <c r="R158" s="248"/>
      <c r="S158" s="248"/>
      <c r="T158" s="248"/>
      <c r="U158" s="248"/>
      <c r="V158" s="248"/>
      <c r="W158" s="248"/>
      <c r="X158" s="248"/>
      <c r="Y158" s="248"/>
      <c r="Z158" s="248"/>
      <c r="AA158" s="248"/>
      <c r="AB158" s="248"/>
      <c r="AC158" s="248"/>
      <c r="AD158" s="248"/>
      <c r="AE158" s="248"/>
      <c r="AF158" s="248"/>
      <c r="AG158" s="248"/>
      <c r="AH158" s="248"/>
      <c r="AI158" s="248"/>
      <c r="AJ158" s="248"/>
      <c r="AK158" s="248"/>
      <c r="AL158" s="248"/>
      <c r="AM158" s="248"/>
      <c r="AN158" s="248"/>
      <c r="AO158" s="248"/>
      <c r="AP158" s="248"/>
      <c r="AQ158" s="248"/>
      <c r="AR158" s="248"/>
      <c r="AS158" s="248"/>
      <c r="AT158" s="248"/>
      <c r="AU158" s="248"/>
      <c r="AV158" s="248"/>
      <c r="AW158" s="248"/>
      <c r="AX158" s="248"/>
      <c r="AY158" s="248"/>
      <c r="AZ158" s="248"/>
      <c r="BA158" s="248"/>
      <c r="BB158" s="248"/>
      <c r="BC158" s="248"/>
      <c r="BD158" s="248"/>
      <c r="BE158" s="254">
        <f t="shared" si="70"/>
        <v>0</v>
      </c>
      <c r="BF158" s="255">
        <f t="shared" si="71"/>
        <v>0</v>
      </c>
    </row>
    <row r="159" s="118" customFormat="1">
      <c r="A159" s="94">
        <v>12</v>
      </c>
      <c r="B159" s="249" t="s">
        <v>477</v>
      </c>
      <c r="C159" s="248"/>
      <c r="D159" s="258">
        <f t="shared" si="72"/>
        <v>0</v>
      </c>
      <c r="E159" s="248"/>
      <c r="F159" s="245"/>
      <c r="G159" s="248"/>
      <c r="H159" s="248"/>
      <c r="I159" s="248"/>
      <c r="J159" s="248"/>
      <c r="K159" s="248"/>
      <c r="L159" s="248"/>
      <c r="M159" s="248"/>
      <c r="N159" s="248"/>
      <c r="O159" s="248"/>
      <c r="P159" s="248"/>
      <c r="Q159" s="248"/>
      <c r="R159" s="248"/>
      <c r="S159" s="248"/>
      <c r="T159" s="248"/>
      <c r="U159" s="248"/>
      <c r="V159" s="248"/>
      <c r="W159" s="248"/>
      <c r="X159" s="248"/>
      <c r="Y159" s="248"/>
      <c r="Z159" s="248"/>
      <c r="AA159" s="248"/>
      <c r="AB159" s="248"/>
      <c r="AC159" s="248"/>
      <c r="AD159" s="248"/>
      <c r="AE159" s="248"/>
      <c r="AF159" s="248"/>
      <c r="AG159" s="248"/>
      <c r="AH159" s="248"/>
      <c r="AI159" s="248"/>
      <c r="AJ159" s="248"/>
      <c r="AK159" s="248"/>
      <c r="AL159" s="248"/>
      <c r="AM159" s="248"/>
      <c r="AN159" s="248"/>
      <c r="AO159" s="248"/>
      <c r="AP159" s="248"/>
      <c r="AQ159" s="248"/>
      <c r="AR159" s="248"/>
      <c r="AS159" s="248"/>
      <c r="AT159" s="248"/>
      <c r="AU159" s="248"/>
      <c r="AV159" s="248"/>
      <c r="AW159" s="248"/>
      <c r="AX159" s="248"/>
      <c r="AY159" s="248"/>
      <c r="AZ159" s="248"/>
      <c r="BA159" s="248"/>
      <c r="BB159" s="248"/>
      <c r="BC159" s="248"/>
      <c r="BD159" s="248"/>
      <c r="BE159" s="254">
        <f t="shared" si="70"/>
        <v>0</v>
      </c>
      <c r="BF159" s="255">
        <f t="shared" si="71"/>
        <v>0</v>
      </c>
    </row>
    <row r="160" s="118" customFormat="1">
      <c r="A160" s="94" t="s">
        <v>478</v>
      </c>
      <c r="B160" s="247" t="s">
        <v>479</v>
      </c>
      <c r="C160" s="248">
        <v>0</v>
      </c>
      <c r="D160" s="258">
        <f t="shared" si="72"/>
        <v>0</v>
      </c>
      <c r="E160" s="248">
        <v>0</v>
      </c>
      <c r="F160" s="245">
        <v>0</v>
      </c>
      <c r="G160" s="248">
        <v>0</v>
      </c>
      <c r="H160" s="248"/>
      <c r="I160" s="248">
        <v>0</v>
      </c>
      <c r="J160" s="248"/>
      <c r="K160" s="248">
        <v>0</v>
      </c>
      <c r="L160" s="248"/>
      <c r="M160" s="248"/>
      <c r="N160" s="248"/>
      <c r="O160" s="248">
        <v>0</v>
      </c>
      <c r="P160" s="248"/>
      <c r="Q160" s="248"/>
      <c r="R160" s="248"/>
      <c r="S160" s="248"/>
      <c r="T160" s="248"/>
      <c r="U160" s="248"/>
      <c r="V160" s="248"/>
      <c r="W160" s="248"/>
      <c r="X160" s="248"/>
      <c r="Y160" s="248"/>
      <c r="Z160" s="248"/>
      <c r="AA160" s="248"/>
      <c r="AB160" s="248"/>
      <c r="AC160" s="248"/>
      <c r="AD160" s="248"/>
      <c r="AE160" s="248"/>
      <c r="AF160" s="248"/>
      <c r="AG160" s="248"/>
      <c r="AH160" s="248"/>
      <c r="AI160" s="248"/>
      <c r="AJ160" s="248"/>
      <c r="AK160" s="248"/>
      <c r="AL160" s="248"/>
      <c r="AM160" s="248"/>
      <c r="AN160" s="248"/>
      <c r="AO160" s="248"/>
      <c r="AP160" s="248"/>
      <c r="AQ160" s="248"/>
      <c r="AR160" s="248"/>
      <c r="AS160" s="248"/>
      <c r="AT160" s="248"/>
      <c r="AU160" s="248"/>
      <c r="AV160" s="248"/>
      <c r="AW160" s="248"/>
      <c r="AX160" s="248"/>
      <c r="AY160" s="248"/>
      <c r="AZ160" s="248"/>
      <c r="BA160" s="248"/>
      <c r="BB160" s="248"/>
      <c r="BC160" s="248"/>
      <c r="BD160" s="248"/>
      <c r="BE160" s="254">
        <f t="shared" si="70"/>
        <v>0</v>
      </c>
      <c r="BF160" s="255">
        <f t="shared" si="71"/>
        <v>0</v>
      </c>
    </row>
    <row r="161" s="118" customFormat="1">
      <c r="A161" s="94" t="s">
        <v>480</v>
      </c>
      <c r="B161" s="247" t="s">
        <v>481</v>
      </c>
      <c r="C161" s="248">
        <v>6.32556</v>
      </c>
      <c r="D161" s="258">
        <f t="shared" si="72"/>
        <v>0</v>
      </c>
      <c r="E161" s="248">
        <v>22.86127</v>
      </c>
      <c r="F161" s="245">
        <v>0</v>
      </c>
      <c r="G161" s="248">
        <v>0</v>
      </c>
      <c r="H161" s="248"/>
      <c r="I161" s="248">
        <v>0</v>
      </c>
      <c r="J161" s="248"/>
      <c r="K161" s="248">
        <v>0</v>
      </c>
      <c r="L161" s="248"/>
      <c r="M161" s="248"/>
      <c r="N161" s="248"/>
      <c r="O161" s="248">
        <v>0</v>
      </c>
      <c r="P161" s="248"/>
      <c r="Q161" s="248"/>
      <c r="R161" s="248"/>
      <c r="S161" s="248"/>
      <c r="T161" s="248"/>
      <c r="U161" s="248"/>
      <c r="V161" s="248"/>
      <c r="W161" s="248"/>
      <c r="X161" s="248"/>
      <c r="Y161" s="248"/>
      <c r="Z161" s="248"/>
      <c r="AA161" s="248"/>
      <c r="AB161" s="248"/>
      <c r="AC161" s="248"/>
      <c r="AD161" s="248"/>
      <c r="AE161" s="248"/>
      <c r="AF161" s="248"/>
      <c r="AG161" s="248"/>
      <c r="AH161" s="248"/>
      <c r="AI161" s="248"/>
      <c r="AJ161" s="248"/>
      <c r="AK161" s="248"/>
      <c r="AL161" s="248"/>
      <c r="AM161" s="248"/>
      <c r="AN161" s="248"/>
      <c r="AO161" s="248"/>
      <c r="AP161" s="248"/>
      <c r="AQ161" s="248"/>
      <c r="AR161" s="248"/>
      <c r="AS161" s="248"/>
      <c r="AT161" s="248"/>
      <c r="AU161" s="248"/>
      <c r="AV161" s="248"/>
      <c r="AW161" s="248"/>
      <c r="AX161" s="248"/>
      <c r="AY161" s="248"/>
      <c r="AZ161" s="248"/>
      <c r="BA161" s="248"/>
      <c r="BB161" s="248"/>
      <c r="BC161" s="248"/>
      <c r="BD161" s="248"/>
      <c r="BE161" s="254">
        <f t="shared" si="70"/>
        <v>0</v>
      </c>
      <c r="BF161" s="255">
        <f t="shared" si="71"/>
        <v>0</v>
      </c>
    </row>
    <row r="162" s="118" customFormat="1">
      <c r="A162" s="94" t="s">
        <v>482</v>
      </c>
      <c r="B162" s="247" t="s">
        <v>483</v>
      </c>
      <c r="C162" s="248"/>
      <c r="D162" s="258">
        <f t="shared" si="72"/>
        <v>0</v>
      </c>
      <c r="E162" s="248"/>
      <c r="F162" s="245"/>
      <c r="G162" s="248"/>
      <c r="H162" s="248"/>
      <c r="I162" s="248"/>
      <c r="J162" s="248"/>
      <c r="K162" s="248"/>
      <c r="L162" s="248"/>
      <c r="M162" s="248"/>
      <c r="N162" s="248"/>
      <c r="O162" s="248"/>
      <c r="P162" s="248"/>
      <c r="Q162" s="248"/>
      <c r="R162" s="248"/>
      <c r="S162" s="248"/>
      <c r="T162" s="248"/>
      <c r="U162" s="248"/>
      <c r="V162" s="248"/>
      <c r="W162" s="248"/>
      <c r="X162" s="248"/>
      <c r="Y162" s="248"/>
      <c r="Z162" s="248"/>
      <c r="AA162" s="248"/>
      <c r="AB162" s="248"/>
      <c r="AC162" s="248"/>
      <c r="AD162" s="248"/>
      <c r="AE162" s="248"/>
      <c r="AF162" s="248"/>
      <c r="AG162" s="248"/>
      <c r="AH162" s="248"/>
      <c r="AI162" s="248"/>
      <c r="AJ162" s="248"/>
      <c r="AK162" s="248"/>
      <c r="AL162" s="248"/>
      <c r="AM162" s="248"/>
      <c r="AN162" s="248"/>
      <c r="AO162" s="248"/>
      <c r="AP162" s="248"/>
      <c r="AQ162" s="248"/>
      <c r="AR162" s="248"/>
      <c r="AS162" s="248"/>
      <c r="AT162" s="248"/>
      <c r="AU162" s="248"/>
      <c r="AV162" s="248"/>
      <c r="AW162" s="248"/>
      <c r="AX162" s="248"/>
      <c r="AY162" s="248"/>
      <c r="AZ162" s="248"/>
      <c r="BA162" s="248"/>
      <c r="BB162" s="248"/>
      <c r="BC162" s="248"/>
      <c r="BD162" s="248"/>
      <c r="BE162" s="254">
        <f t="shared" si="70"/>
        <v>0</v>
      </c>
      <c r="BF162" s="255">
        <f t="shared" si="71"/>
        <v>0</v>
      </c>
    </row>
    <row r="163">
      <c r="A163" s="106"/>
    </row>
    <row r="164">
      <c r="A164" s="106"/>
    </row>
    <row r="165">
      <c r="A165" s="106"/>
    </row>
    <row r="166">
      <c r="A166" s="106"/>
    </row>
    <row r="167">
      <c r="A167" s="106"/>
    </row>
    <row r="168">
      <c r="A168" s="106"/>
    </row>
    <row r="169">
      <c r="A169" s="106"/>
    </row>
    <row r="170">
      <c r="A170" s="106"/>
    </row>
    <row r="171">
      <c r="A171" s="106"/>
    </row>
    <row r="172">
      <c r="A172" s="106"/>
    </row>
    <row r="173">
      <c r="A173" s="106"/>
    </row>
    <row r="174">
      <c r="A174" s="106"/>
    </row>
    <row r="175">
      <c r="A175" s="106"/>
    </row>
    <row r="176">
      <c r="A176" s="106"/>
    </row>
    <row r="177">
      <c r="A177" s="106"/>
    </row>
    <row r="178">
      <c r="A178" s="106"/>
    </row>
    <row r="179">
      <c r="A179" s="106"/>
    </row>
    <row r="180">
      <c r="A180" s="106"/>
    </row>
    <row r="181">
      <c r="A181" s="106"/>
    </row>
    <row r="182">
      <c r="A182" s="106"/>
    </row>
    <row r="183">
      <c r="A183" s="106"/>
    </row>
    <row r="184">
      <c r="A184" s="106"/>
    </row>
    <row r="185">
      <c r="A185" s="106"/>
    </row>
    <row r="186">
      <c r="A186" s="106"/>
    </row>
    <row r="187">
      <c r="A187" s="106"/>
    </row>
    <row r="188">
      <c r="A188" s="106"/>
    </row>
    <row r="189">
      <c r="A189" s="106"/>
    </row>
    <row r="190">
      <c r="A190" s="106"/>
    </row>
    <row r="191">
      <c r="A191" s="106"/>
    </row>
    <row r="192">
      <c r="A192" s="106"/>
    </row>
    <row r="193">
      <c r="A193" s="106"/>
    </row>
    <row r="194">
      <c r="A194" s="106"/>
    </row>
    <row r="195">
      <c r="A195" s="106"/>
    </row>
    <row r="196">
      <c r="A196" s="106"/>
    </row>
    <row r="197">
      <c r="A197" s="106"/>
    </row>
    <row r="198">
      <c r="A198" s="106"/>
    </row>
    <row r="199">
      <c r="A199" s="106"/>
    </row>
    <row r="200">
      <c r="A200" s="106"/>
    </row>
    <row r="201">
      <c r="A201" s="106"/>
    </row>
    <row r="202">
      <c r="A202" s="106"/>
    </row>
    <row r="203">
      <c r="A203" s="106"/>
    </row>
    <row r="204">
      <c r="A204" s="106"/>
    </row>
    <row r="205">
      <c r="A205" s="106"/>
    </row>
    <row r="206">
      <c r="A206" s="106"/>
    </row>
    <row r="207">
      <c r="A207" s="106"/>
    </row>
    <row r="208">
      <c r="A208" s="106"/>
    </row>
    <row r="209">
      <c r="A209" s="106"/>
    </row>
    <row r="210">
      <c r="A210" s="106"/>
    </row>
    <row r="211">
      <c r="A211" s="106"/>
    </row>
    <row r="212">
      <c r="A212" s="106"/>
    </row>
    <row r="213">
      <c r="A213" s="106"/>
    </row>
    <row r="214">
      <c r="A214" s="106"/>
    </row>
    <row r="215">
      <c r="A215" s="106"/>
    </row>
    <row r="216">
      <c r="A216" s="106"/>
    </row>
    <row r="217">
      <c r="A217" s="106"/>
    </row>
    <row r="218">
      <c r="A218" s="106"/>
    </row>
    <row r="219">
      <c r="A219" s="106"/>
    </row>
    <row r="220">
      <c r="A220" s="106"/>
    </row>
    <row r="221">
      <c r="A221" s="106"/>
    </row>
    <row r="222">
      <c r="A222" s="106"/>
    </row>
    <row r="223">
      <c r="A223" s="106"/>
    </row>
    <row r="224">
      <c r="A224" s="106"/>
    </row>
    <row r="225">
      <c r="A225" s="106"/>
    </row>
    <row r="226">
      <c r="A226" s="106"/>
    </row>
    <row r="227">
      <c r="A227" s="106"/>
    </row>
    <row r="228">
      <c r="A228" s="106"/>
    </row>
    <row r="229">
      <c r="A229" s="106"/>
    </row>
    <row r="230">
      <c r="A230" s="106"/>
    </row>
    <row r="231">
      <c r="A231" s="106"/>
    </row>
    <row r="232">
      <c r="A232" s="106"/>
    </row>
    <row r="233">
      <c r="A233" s="106"/>
    </row>
    <row r="234">
      <c r="A234" s="106"/>
    </row>
    <row r="235">
      <c r="A235" s="106"/>
    </row>
    <row r="236">
      <c r="A236" s="106"/>
    </row>
    <row r="237">
      <c r="A237" s="106"/>
    </row>
    <row r="238">
      <c r="A238" s="106"/>
    </row>
    <row r="239">
      <c r="A239" s="106"/>
    </row>
    <row r="240">
      <c r="A240" s="106"/>
    </row>
    <row r="241">
      <c r="A241" s="106"/>
    </row>
    <row r="242">
      <c r="A242" s="106"/>
    </row>
    <row r="243">
      <c r="A243" s="106"/>
    </row>
    <row r="244">
      <c r="A244" s="106"/>
    </row>
    <row r="245">
      <c r="A245" s="106"/>
    </row>
    <row r="246">
      <c r="A246" s="106"/>
    </row>
    <row r="247">
      <c r="A247" s="106"/>
    </row>
    <row r="248">
      <c r="A248" s="106"/>
    </row>
    <row r="249">
      <c r="A249" s="106"/>
    </row>
    <row r="250">
      <c r="A250" s="106"/>
    </row>
    <row r="251">
      <c r="A251" s="106"/>
    </row>
    <row r="252">
      <c r="A252" s="106"/>
    </row>
    <row r="253">
      <c r="A253" s="106"/>
    </row>
    <row r="254">
      <c r="A254" s="106"/>
    </row>
    <row r="255">
      <c r="A255" s="106"/>
    </row>
    <row r="256">
      <c r="A256" s="106"/>
    </row>
    <row r="257">
      <c r="A257" s="106"/>
    </row>
    <row r="258">
      <c r="A258" s="106"/>
    </row>
    <row r="259">
      <c r="A259" s="106"/>
    </row>
    <row r="260">
      <c r="A260" s="106"/>
    </row>
    <row r="261">
      <c r="A261" s="106"/>
    </row>
    <row r="262">
      <c r="A262" s="106"/>
    </row>
    <row r="263">
      <c r="A263" s="106"/>
    </row>
    <row r="264">
      <c r="A264" s="106"/>
    </row>
    <row r="265">
      <c r="A265" s="106"/>
    </row>
    <row r="266">
      <c r="A266" s="106"/>
    </row>
    <row r="267">
      <c r="A267" s="106"/>
    </row>
    <row r="268">
      <c r="A268" s="106"/>
    </row>
    <row r="269">
      <c r="A269" s="106"/>
    </row>
    <row r="270">
      <c r="A270" s="106"/>
    </row>
    <row r="271">
      <c r="A271" s="106"/>
    </row>
    <row r="272">
      <c r="A272" s="106"/>
    </row>
    <row r="273">
      <c r="A273" s="106"/>
    </row>
    <row r="274">
      <c r="A274" s="106"/>
    </row>
    <row r="275">
      <c r="A275" s="106"/>
    </row>
    <row r="276">
      <c r="A276" s="106"/>
    </row>
    <row r="277">
      <c r="A277" s="106"/>
    </row>
    <row r="278">
      <c r="A278" s="106"/>
    </row>
    <row r="279">
      <c r="A279" s="106"/>
    </row>
    <row r="280">
      <c r="A280" s="106"/>
    </row>
    <row r="281">
      <c r="A281" s="106"/>
    </row>
    <row r="282">
      <c r="A282" s="106"/>
    </row>
    <row r="283">
      <c r="A283" s="106"/>
    </row>
    <row r="284">
      <c r="A284" s="106"/>
    </row>
    <row r="285">
      <c r="A285" s="106"/>
    </row>
    <row r="286">
      <c r="A286" s="106"/>
    </row>
    <row r="287">
      <c r="A287" s="106"/>
    </row>
    <row r="288">
      <c r="A288" s="106"/>
    </row>
    <row r="289">
      <c r="A289" s="106"/>
    </row>
    <row r="290">
      <c r="A290" s="106"/>
    </row>
    <row r="291">
      <c r="A291" s="106"/>
    </row>
    <row r="292">
      <c r="A292" s="106"/>
    </row>
    <row r="293">
      <c r="A293" s="106"/>
    </row>
    <row r="294">
      <c r="A294" s="106"/>
    </row>
    <row r="295">
      <c r="A295" s="106"/>
    </row>
    <row r="296">
      <c r="A296" s="106"/>
    </row>
    <row r="297">
      <c r="A297" s="106"/>
    </row>
    <row r="298">
      <c r="A298" s="106"/>
    </row>
    <row r="299">
      <c r="A299" s="106"/>
    </row>
    <row r="300">
      <c r="A300" s="106"/>
    </row>
    <row r="301">
      <c r="A301" s="106"/>
    </row>
    <row r="302">
      <c r="A302" s="106"/>
    </row>
    <row r="303">
      <c r="A303" s="106"/>
    </row>
    <row r="304">
      <c r="A304" s="106"/>
    </row>
    <row r="305">
      <c r="A305" s="106"/>
    </row>
    <row r="306">
      <c r="A306" s="106"/>
    </row>
    <row r="307">
      <c r="A307" s="106"/>
    </row>
    <row r="308">
      <c r="A308" s="106"/>
    </row>
    <row r="309">
      <c r="A309" s="106"/>
    </row>
    <row r="310">
      <c r="A310" s="106"/>
    </row>
    <row r="311">
      <c r="A311" s="106"/>
    </row>
    <row r="312">
      <c r="A312" s="106"/>
    </row>
    <row r="313">
      <c r="A313" s="106"/>
    </row>
    <row r="314">
      <c r="A314" s="106"/>
    </row>
    <row r="315">
      <c r="A315" s="106"/>
    </row>
    <row r="316">
      <c r="A316" s="106"/>
    </row>
    <row r="317">
      <c r="A317" s="106"/>
    </row>
    <row r="318">
      <c r="A318" s="106"/>
    </row>
    <row r="319">
      <c r="A319" s="106"/>
    </row>
    <row r="320">
      <c r="A320" s="106"/>
    </row>
    <row r="321">
      <c r="A321" s="106"/>
    </row>
    <row r="322">
      <c r="A322" s="106"/>
    </row>
    <row r="323">
      <c r="A323" s="106"/>
    </row>
    <row r="324">
      <c r="A324" s="106"/>
    </row>
    <row r="325">
      <c r="A325" s="106"/>
    </row>
    <row r="326">
      <c r="A326" s="106"/>
    </row>
    <row r="327">
      <c r="A327" s="106"/>
    </row>
    <row r="328">
      <c r="A328" s="106"/>
    </row>
    <row r="329">
      <c r="A329" s="106"/>
    </row>
    <row r="330">
      <c r="A330" s="106"/>
    </row>
    <row r="331">
      <c r="A331" s="106"/>
    </row>
    <row r="332">
      <c r="A332" s="106"/>
    </row>
    <row r="333">
      <c r="A333" s="106"/>
    </row>
    <row r="334">
      <c r="A334" s="106"/>
    </row>
    <row r="335">
      <c r="A335" s="106"/>
    </row>
    <row r="336">
      <c r="A336" s="106"/>
    </row>
    <row r="337">
      <c r="A337" s="106"/>
    </row>
    <row r="338">
      <c r="A338" s="106"/>
    </row>
    <row r="339">
      <c r="A339" s="106"/>
    </row>
    <row r="340">
      <c r="A340" s="106"/>
    </row>
    <row r="341">
      <c r="A341" s="106"/>
    </row>
    <row r="342">
      <c r="A342" s="106"/>
    </row>
    <row r="343">
      <c r="A343" s="106"/>
    </row>
    <row r="344">
      <c r="A344" s="106"/>
    </row>
    <row r="345">
      <c r="A345" s="106"/>
    </row>
    <row r="346">
      <c r="A346" s="106"/>
    </row>
    <row r="347">
      <c r="A347" s="106"/>
    </row>
    <row r="348">
      <c r="A348" s="106"/>
    </row>
    <row r="349">
      <c r="A349" s="106"/>
    </row>
    <row r="350">
      <c r="A350" s="106"/>
    </row>
    <row r="351">
      <c r="A351" s="106"/>
    </row>
    <row r="352">
      <c r="A352" s="106"/>
    </row>
    <row r="353">
      <c r="A353" s="106"/>
    </row>
    <row r="354">
      <c r="A354" s="106"/>
    </row>
    <row r="355">
      <c r="A355" s="106"/>
    </row>
    <row r="356">
      <c r="A356" s="106"/>
    </row>
    <row r="357">
      <c r="A357" s="106"/>
    </row>
    <row r="358">
      <c r="A358" s="106"/>
    </row>
    <row r="359">
      <c r="A359" s="106"/>
    </row>
    <row r="360">
      <c r="A360" s="106"/>
    </row>
    <row r="361">
      <c r="A361" s="106"/>
    </row>
    <row r="362">
      <c r="A362" s="106"/>
    </row>
    <row r="363">
      <c r="A363" s="106"/>
    </row>
    <row r="364">
      <c r="A364" s="106"/>
    </row>
    <row r="365">
      <c r="A365" s="106"/>
    </row>
    <row r="366">
      <c r="A366" s="106"/>
    </row>
    <row r="367">
      <c r="A367" s="106"/>
    </row>
    <row r="368">
      <c r="A368" s="106"/>
    </row>
    <row r="369">
      <c r="A369" s="106"/>
    </row>
    <row r="370">
      <c r="A370" s="106"/>
    </row>
    <row r="371">
      <c r="A371" s="106"/>
    </row>
    <row r="372">
      <c r="A372" s="106"/>
    </row>
    <row r="373">
      <c r="A373" s="106"/>
    </row>
    <row r="374">
      <c r="A374" s="106"/>
    </row>
    <row r="375">
      <c r="A375" s="106"/>
    </row>
    <row r="376">
      <c r="A376" s="106"/>
    </row>
    <row r="377">
      <c r="A377" s="106"/>
    </row>
    <row r="378">
      <c r="A378" s="106"/>
    </row>
    <row r="379">
      <c r="A379" s="106"/>
    </row>
    <row r="380">
      <c r="A380" s="106"/>
    </row>
    <row r="381">
      <c r="A381" s="106"/>
    </row>
    <row r="382">
      <c r="A382" s="106"/>
    </row>
    <row r="383">
      <c r="A383" s="106"/>
    </row>
    <row r="384">
      <c r="A384" s="106"/>
    </row>
    <row r="385">
      <c r="A385" s="106"/>
    </row>
    <row r="386">
      <c r="A386" s="106"/>
    </row>
    <row r="387">
      <c r="A387" s="106"/>
    </row>
    <row r="388">
      <c r="A388" s="106"/>
    </row>
    <row r="389">
      <c r="A389" s="106"/>
    </row>
    <row r="390">
      <c r="A390" s="106"/>
    </row>
    <row r="391">
      <c r="A391" s="106"/>
    </row>
    <row r="392">
      <c r="A392" s="106"/>
    </row>
    <row r="393">
      <c r="A393" s="106"/>
    </row>
    <row r="394">
      <c r="A394" s="106"/>
    </row>
    <row r="395">
      <c r="A395" s="106"/>
    </row>
    <row r="396">
      <c r="A396" s="106"/>
    </row>
    <row r="397">
      <c r="A397" s="106"/>
    </row>
    <row r="398">
      <c r="A398" s="106"/>
    </row>
    <row r="399">
      <c r="A399" s="106"/>
    </row>
    <row r="400">
      <c r="A400" s="106"/>
    </row>
    <row r="401">
      <c r="A401" s="106"/>
    </row>
    <row r="402">
      <c r="A402" s="106"/>
    </row>
    <row r="403">
      <c r="A403" s="106"/>
    </row>
    <row r="404">
      <c r="A404" s="106"/>
    </row>
    <row r="405">
      <c r="A405" s="106"/>
    </row>
    <row r="406">
      <c r="A406" s="106"/>
    </row>
    <row r="407">
      <c r="A407" s="106"/>
    </row>
    <row r="408">
      <c r="A408" s="106"/>
    </row>
    <row r="409">
      <c r="A409" s="106"/>
    </row>
    <row r="410">
      <c r="A410" s="106"/>
    </row>
    <row r="411">
      <c r="A411" s="106"/>
    </row>
    <row r="412">
      <c r="A412" s="106"/>
    </row>
    <row r="413">
      <c r="A413" s="106"/>
    </row>
    <row r="414">
      <c r="A414" s="106"/>
    </row>
    <row r="415">
      <c r="A415" s="106"/>
    </row>
    <row r="416">
      <c r="A416" s="106"/>
    </row>
    <row r="417">
      <c r="A417" s="106"/>
    </row>
    <row r="418">
      <c r="A418" s="106"/>
    </row>
    <row r="419">
      <c r="A419" s="106"/>
    </row>
  </sheetData>
  <sheetProtection algorithmName="SHA-512" hashValue="qEIGu/oCDvhNxiBaWpTU8W7kLJikg8YQhq40OY2l3fuMggr22NpSXX1+U4LKrc00Eisz0nBlMdqR97yXO2LylA==" saltValue="TMspoqxXyKgV8OTuDxPoOA==" spinCount="100000" sheet="1" objects="1" scenarios="1" formatCells="0"/>
  <protectedRanges>
    <protectedRange sqref="M8 M63 M99 M116 M134 M144" name="Range5_1_1"/>
  </protectedRanges>
  <mergeCells>
    <mergeCell ref="BE133:BF133"/>
    <mergeCell ref="BE6:BF6"/>
    <mergeCell ref="D6:BD6"/>
    <mergeCell ref="BE98:BF98"/>
    <mergeCell ref="BE115:BF115"/>
    <mergeCell ref="C63:BD63"/>
    <mergeCell ref="C108:BD108"/>
  </mergeCells>
  <phoneticPr fontId="2" type="noConversion"/>
  <printOptions horizontalCentered="1"/>
  <pageMargins left="0" right="0" top="0" bottom="0.15748031496062992" header="0.15748031496062992" footer="0.15748031496062992"/>
  <pageSetup paperSize="9" scale="42" orientation="portrait"/>
  <headerFooter/>
  <rowBreaks count="1" manualBreakCount="1">
    <brk id="96" max="104857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3</xdr:col>
                    <xdr:colOff>85725</xdr:colOff>
                    <xdr:row>2</xdr:row>
                    <xdr:rowOff>0</xdr:rowOff>
                  </from>
                  <to>
                    <xdr:col>4</xdr:col>
                    <xdr:colOff>57150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HideUnhideColumn" altText="Göstər / gizlət">
                <anchor>
                  <from>
                    <xdr:col>4</xdr:col>
                    <xdr:colOff>180975</xdr:colOff>
                    <xdr:row>1</xdr:row>
                    <xdr:rowOff>171450</xdr:rowOff>
                  </from>
                  <to>
                    <xdr:col>5</xdr:col>
                    <xdr:colOff>180975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B138"/>
  <sheetViews>
    <sheetView topLeftCell="A118" workbookViewId="0">
      <selection activeCell="B2" sqref="B2:B138"/>
    </sheetView>
  </sheetViews>
  <sheetFormatPr defaultRowHeight="15" x14ac:dyDescent="0.25"/>
  <cols>
    <col min="2" max="2" bestFit="1" width="110.28515625" customWidth="1"/>
  </cols>
  <sheetData>
    <row r="2">
      <c r="B2" s="0" t="s">
        <v>68</v>
      </c>
    </row>
    <row r="3">
      <c r="B3" s="0" t="s">
        <v>69</v>
      </c>
    </row>
    <row r="4">
      <c r="B4" s="0" t="s">
        <v>70</v>
      </c>
    </row>
    <row r="5">
      <c r="B5" s="0" t="s">
        <v>71</v>
      </c>
    </row>
    <row r="6">
      <c r="B6" s="0" t="s">
        <v>72</v>
      </c>
    </row>
    <row r="7">
      <c r="B7" s="0" t="s">
        <v>73</v>
      </c>
    </row>
    <row r="8">
      <c r="B8" s="0" t="s">
        <v>74</v>
      </c>
    </row>
    <row r="9">
      <c r="B9" s="0" t="s">
        <v>75</v>
      </c>
    </row>
    <row r="10">
      <c r="B10" s="0" t="s">
        <v>76</v>
      </c>
    </row>
    <row r="11">
      <c r="B11" s="0" t="s">
        <v>77</v>
      </c>
    </row>
    <row r="12">
      <c r="B12" s="0" t="s">
        <v>78</v>
      </c>
    </row>
    <row r="13">
      <c r="B13" s="0" t="s">
        <v>79</v>
      </c>
    </row>
    <row r="14">
      <c r="B14" s="0" t="s">
        <v>80</v>
      </c>
    </row>
    <row r="15">
      <c r="B15" s="0" t="s">
        <v>81</v>
      </c>
    </row>
    <row r="16">
      <c r="B16" s="0" t="s">
        <v>82</v>
      </c>
    </row>
    <row r="17">
      <c r="B17" s="0" t="s">
        <v>83</v>
      </c>
    </row>
    <row r="18">
      <c r="B18" s="0" t="s">
        <v>84</v>
      </c>
    </row>
    <row r="19">
      <c r="B19" s="0" t="s">
        <v>85</v>
      </c>
    </row>
    <row r="20">
      <c r="B20" s="0" t="s">
        <v>86</v>
      </c>
    </row>
    <row r="21">
      <c r="B21" s="0" t="s">
        <v>87</v>
      </c>
    </row>
    <row r="22">
      <c r="B22" s="0" t="s">
        <v>88</v>
      </c>
    </row>
    <row r="23">
      <c r="B23" s="0" t="s">
        <v>89</v>
      </c>
    </row>
    <row r="24">
      <c r="B24" s="0" t="s">
        <v>90</v>
      </c>
    </row>
    <row r="25">
      <c r="B25" s="0" t="s">
        <v>91</v>
      </c>
    </row>
    <row r="26">
      <c r="B26" s="0" t="s">
        <v>92</v>
      </c>
    </row>
    <row r="27">
      <c r="B27" s="0" t="s">
        <v>93</v>
      </c>
    </row>
    <row r="28">
      <c r="B28" s="0" t="s">
        <v>94</v>
      </c>
    </row>
    <row r="29">
      <c r="B29" s="0" t="s">
        <v>95</v>
      </c>
    </row>
    <row r="30">
      <c r="B30" s="0" t="s">
        <v>96</v>
      </c>
    </row>
    <row r="31">
      <c r="B31" s="0" t="s">
        <v>97</v>
      </c>
    </row>
    <row r="32">
      <c r="B32" s="0" t="s">
        <v>98</v>
      </c>
    </row>
    <row r="33">
      <c r="B33" s="0" t="s">
        <v>99</v>
      </c>
    </row>
    <row r="34">
      <c r="B34" s="0" t="s">
        <v>100</v>
      </c>
    </row>
    <row r="35">
      <c r="B35" s="0" t="s">
        <v>101</v>
      </c>
    </row>
    <row r="36">
      <c r="B36" s="0" t="s">
        <v>102</v>
      </c>
    </row>
    <row r="37">
      <c r="B37" s="0" t="s">
        <v>103</v>
      </c>
    </row>
    <row r="38">
      <c r="B38" s="0" t="s">
        <v>104</v>
      </c>
    </row>
    <row r="39">
      <c r="B39" s="0" t="s">
        <v>105</v>
      </c>
    </row>
    <row r="40">
      <c r="B40" s="0" t="s">
        <v>106</v>
      </c>
    </row>
    <row r="41">
      <c r="B41" s="0" t="s">
        <v>107</v>
      </c>
    </row>
    <row r="42">
      <c r="B42" s="0" t="s">
        <v>108</v>
      </c>
    </row>
    <row r="43">
      <c r="B43" s="0" t="s">
        <v>109</v>
      </c>
    </row>
    <row r="44">
      <c r="B44" s="0" t="s">
        <v>110</v>
      </c>
    </row>
    <row r="45">
      <c r="B45" s="0" t="s">
        <v>111</v>
      </c>
    </row>
    <row r="46">
      <c r="B46" s="0" t="s">
        <v>112</v>
      </c>
    </row>
    <row r="47">
      <c r="B47" s="0" t="s">
        <v>113</v>
      </c>
    </row>
    <row r="48">
      <c r="B48" s="0" t="s">
        <v>114</v>
      </c>
    </row>
    <row r="49">
      <c r="B49" s="0" t="s">
        <v>115</v>
      </c>
    </row>
    <row r="50">
      <c r="B50" s="0" t="s">
        <v>116</v>
      </c>
    </row>
    <row r="51">
      <c r="B51" s="0" t="s">
        <v>117</v>
      </c>
    </row>
    <row r="52">
      <c r="B52" s="0" t="s">
        <v>118</v>
      </c>
    </row>
    <row r="53">
      <c r="B53" s="0" t="s">
        <v>119</v>
      </c>
    </row>
    <row r="54">
      <c r="B54" s="0" t="s">
        <v>120</v>
      </c>
    </row>
    <row r="55">
      <c r="B55" s="0" t="s">
        <v>121</v>
      </c>
    </row>
    <row r="56">
      <c r="B56" s="0" t="s">
        <v>122</v>
      </c>
    </row>
    <row r="57">
      <c r="B57" s="0" t="s">
        <v>123</v>
      </c>
    </row>
    <row r="58">
      <c r="B58" s="0" t="s">
        <v>124</v>
      </c>
    </row>
    <row r="59">
      <c r="B59" s="0" t="s">
        <v>125</v>
      </c>
    </row>
    <row r="60">
      <c r="B60" s="0" t="s">
        <v>126</v>
      </c>
    </row>
    <row r="61">
      <c r="B61" s="0" t="s">
        <v>127</v>
      </c>
    </row>
    <row r="62">
      <c r="B62" s="0" t="s">
        <v>128</v>
      </c>
    </row>
    <row r="63">
      <c r="B63" s="0" t="s">
        <v>129</v>
      </c>
    </row>
    <row r="64">
      <c r="B64" s="0" t="s">
        <v>130</v>
      </c>
    </row>
    <row r="65">
      <c r="B65" s="0" t="s">
        <v>131</v>
      </c>
    </row>
    <row r="66">
      <c r="B66" s="0" t="s">
        <v>132</v>
      </c>
    </row>
    <row r="67">
      <c r="B67" s="0" t="s">
        <v>133</v>
      </c>
    </row>
    <row r="68">
      <c r="B68" s="0" t="s">
        <v>134</v>
      </c>
    </row>
    <row r="69">
      <c r="B69" s="0" t="s">
        <v>135</v>
      </c>
    </row>
    <row r="70">
      <c r="B70" s="0" t="s">
        <v>136</v>
      </c>
    </row>
    <row r="71">
      <c r="B71" s="0" t="s">
        <v>137</v>
      </c>
    </row>
    <row r="72">
      <c r="B72" s="0" t="s">
        <v>138</v>
      </c>
    </row>
    <row r="73">
      <c r="B73" s="0" t="s">
        <v>139</v>
      </c>
    </row>
    <row r="74">
      <c r="B74" s="0" t="s">
        <v>140</v>
      </c>
    </row>
    <row r="75">
      <c r="B75" s="0" t="s">
        <v>141</v>
      </c>
    </row>
    <row r="76">
      <c r="B76" s="0" t="s">
        <v>142</v>
      </c>
    </row>
    <row r="77">
      <c r="B77" s="0" t="s">
        <v>143</v>
      </c>
    </row>
    <row r="78">
      <c r="B78" s="0" t="s">
        <v>144</v>
      </c>
    </row>
    <row r="79">
      <c r="B79" s="0" t="s">
        <v>145</v>
      </c>
    </row>
    <row r="80">
      <c r="B80" s="0" t="s">
        <v>146</v>
      </c>
    </row>
    <row r="81">
      <c r="B81" s="0" t="s">
        <v>147</v>
      </c>
    </row>
    <row r="82">
      <c r="B82" s="0" t="s">
        <v>148</v>
      </c>
    </row>
    <row r="83">
      <c r="B83" s="0" t="s">
        <v>149</v>
      </c>
    </row>
    <row r="84">
      <c r="B84" s="0" t="s">
        <v>150</v>
      </c>
    </row>
    <row r="85">
      <c r="B85" s="0" t="s">
        <v>151</v>
      </c>
    </row>
    <row r="86">
      <c r="B86" s="0" t="s">
        <v>152</v>
      </c>
    </row>
    <row r="87">
      <c r="B87" s="0" t="s">
        <v>153</v>
      </c>
    </row>
    <row r="88">
      <c r="B88" s="0" t="s">
        <v>154</v>
      </c>
    </row>
    <row r="89">
      <c r="B89" s="0" t="s">
        <v>155</v>
      </c>
    </row>
    <row r="90">
      <c r="B90" s="0" t="s">
        <v>156</v>
      </c>
    </row>
    <row r="91">
      <c r="B91" s="0" t="s">
        <v>157</v>
      </c>
    </row>
    <row r="92">
      <c r="B92" s="0" t="s">
        <v>158</v>
      </c>
    </row>
    <row r="93">
      <c r="B93" s="0" t="s">
        <v>159</v>
      </c>
    </row>
    <row r="94">
      <c r="B94" s="0" t="s">
        <v>160</v>
      </c>
    </row>
    <row r="95">
      <c r="B95" s="0" t="s">
        <v>161</v>
      </c>
    </row>
    <row r="96">
      <c r="B96" s="0" t="s">
        <v>162</v>
      </c>
    </row>
    <row r="97">
      <c r="B97" s="0" t="s">
        <v>163</v>
      </c>
    </row>
    <row r="98">
      <c r="B98" s="0" t="s">
        <v>164</v>
      </c>
    </row>
    <row r="99">
      <c r="B99" s="0" t="s">
        <v>165</v>
      </c>
    </row>
    <row r="100">
      <c r="B100" s="0" t="s">
        <v>166</v>
      </c>
    </row>
    <row r="101">
      <c r="B101" s="0" t="s">
        <v>167</v>
      </c>
    </row>
    <row r="102">
      <c r="B102" s="0" t="s">
        <v>168</v>
      </c>
    </row>
    <row r="103">
      <c r="B103" s="0" t="s">
        <v>169</v>
      </c>
    </row>
    <row r="104">
      <c r="B104" s="0" t="s">
        <v>170</v>
      </c>
    </row>
    <row r="105">
      <c r="B105" s="0" t="s">
        <v>171</v>
      </c>
    </row>
    <row r="106">
      <c r="B106" s="0" t="s">
        <v>172</v>
      </c>
    </row>
    <row r="107">
      <c r="B107" s="0" t="s">
        <v>173</v>
      </c>
    </row>
    <row r="108">
      <c r="B108" s="0" t="s">
        <v>174</v>
      </c>
    </row>
    <row r="109">
      <c r="B109" s="0" t="s">
        <v>175</v>
      </c>
    </row>
    <row r="110">
      <c r="B110" s="0" t="s">
        <v>176</v>
      </c>
    </row>
    <row r="111">
      <c r="B111" s="0" t="s">
        <v>177</v>
      </c>
    </row>
    <row r="112">
      <c r="B112" s="0" t="s">
        <v>178</v>
      </c>
    </row>
    <row r="113">
      <c r="B113" s="0" t="s">
        <v>179</v>
      </c>
    </row>
    <row r="114">
      <c r="B114" s="0" t="s">
        <v>180</v>
      </c>
    </row>
    <row r="115">
      <c r="B115" s="0" t="s">
        <v>181</v>
      </c>
    </row>
    <row r="116">
      <c r="B116" s="0" t="s">
        <v>182</v>
      </c>
    </row>
    <row r="117">
      <c r="B117" s="0" t="s">
        <v>183</v>
      </c>
    </row>
    <row r="118">
      <c r="B118" s="0" t="s">
        <v>184</v>
      </c>
    </row>
    <row r="119">
      <c r="B119" s="0" t="s">
        <v>185</v>
      </c>
    </row>
    <row r="120">
      <c r="B120" s="0" t="s">
        <v>186</v>
      </c>
    </row>
    <row r="121">
      <c r="B121" s="0" t="s">
        <v>187</v>
      </c>
    </row>
    <row r="122">
      <c r="B122" s="0" t="s">
        <v>188</v>
      </c>
    </row>
    <row r="123">
      <c r="B123" s="0" t="s">
        <v>189</v>
      </c>
    </row>
    <row r="124">
      <c r="B124" s="0" t="s">
        <v>190</v>
      </c>
    </row>
    <row r="125">
      <c r="B125" s="0" t="s">
        <v>191</v>
      </c>
    </row>
    <row r="126">
      <c r="B126" s="0" t="s">
        <v>192</v>
      </c>
    </row>
    <row r="127">
      <c r="B127" s="0" t="s">
        <v>193</v>
      </c>
    </row>
    <row r="128">
      <c r="B128" s="0" t="s">
        <v>194</v>
      </c>
    </row>
    <row r="129">
      <c r="B129" s="0" t="s">
        <v>195</v>
      </c>
    </row>
    <row r="130">
      <c r="B130" s="0" t="s">
        <v>196</v>
      </c>
    </row>
    <row r="131">
      <c r="B131" s="0" t="s">
        <v>197</v>
      </c>
    </row>
    <row r="132">
      <c r="B132" s="0" t="s">
        <v>198</v>
      </c>
    </row>
    <row r="133">
      <c r="B133" s="0" t="s">
        <v>199</v>
      </c>
    </row>
    <row r="134">
      <c r="B134" s="0" t="s">
        <v>200</v>
      </c>
    </row>
    <row r="135">
      <c r="B135" s="0" t="s">
        <v>201</v>
      </c>
    </row>
    <row r="136">
      <c r="B136" s="0" t="s">
        <v>202</v>
      </c>
    </row>
    <row r="137">
      <c r="B137" s="0" t="s">
        <v>203</v>
      </c>
    </row>
    <row r="138">
      <c r="B138" s="0" t="s">
        <v>204</v>
      </c>
    </row>
  </sheetData>
  <sheetProtection algorithmName="SHA-512" hashValue="yrDiwJSwmNqf5IAPeZQ5GI6ZoYmHE88R1oI5TUTyKMb4F/fCGtKeTHg/da1fUWiN3Cw0SKXDRjOee5A6k4cfIQ==" saltValue="BZQ9PPaJ3nJpKgCB1N8jEQ==" spinCount="100000" sheet="1" objects="1" scenarios="1"/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/>
  <dimension ref="A1:H3389"/>
  <sheetViews>
    <sheetView workbookViewId="0">
      <selection activeCell="G3" sqref="G3"/>
    </sheetView>
  </sheetViews>
  <sheetFormatPr defaultColWidth="8.85546875" defaultRowHeight="15" x14ac:dyDescent="0.2"/>
  <cols>
    <col min="1" max="1" width="4.28515625" customWidth="1" style="139"/>
    <col min="2" max="2" width="29.7109375" customWidth="1" style="140"/>
    <col min="3" max="3" width="19.28515625" customWidth="1" style="140"/>
    <col min="4" max="4" width="28.28515625" customWidth="1" style="140"/>
    <col min="5" max="5" width="45" customWidth="1" style="159"/>
    <col min="6" max="6" bestFit="1" width="15.7109375" customWidth="1" style="160"/>
    <col min="7" max="7" width="32.7109375" customWidth="1" style="161"/>
    <col min="8" max="8" bestFit="1" width="14.42578125" customWidth="1" style="162"/>
    <col min="9" max="16384" width="8.85546875" customWidth="1" style="139"/>
  </cols>
  <sheetData>
    <row r="1" ht="21">
      <c r="B1" s="269" t="s">
        <v>60</v>
      </c>
      <c r="C1" s="270"/>
      <c r="D1" s="270"/>
      <c r="E1" s="270"/>
      <c r="F1" s="270"/>
      <c r="G1" s="270"/>
      <c r="H1" s="271"/>
    </row>
    <row r="2" ht="27" customHeight="1" s="140" customFormat="1">
      <c r="B2" s="163" t="s">
        <v>61</v>
      </c>
      <c r="C2" s="164" t="s">
        <v>62</v>
      </c>
      <c r="D2" s="164" t="s">
        <v>63</v>
      </c>
      <c r="E2" s="165" t="s">
        <v>64</v>
      </c>
      <c r="F2" s="166" t="s">
        <v>65</v>
      </c>
      <c r="G2" s="167" t="s">
        <v>66</v>
      </c>
      <c r="H2" s="168" t="s">
        <v>67</v>
      </c>
    </row>
    <row r="3" ht="15.75">
      <c r="B3" s="141"/>
      <c r="C3" s="142"/>
      <c r="D3" s="143"/>
      <c r="E3" s="144"/>
      <c r="F3" s="145"/>
      <c r="G3" s="146"/>
      <c r="H3" s="147"/>
    </row>
    <row r="4" ht="15.75">
      <c r="B4" s="141"/>
      <c r="C4" s="142"/>
      <c r="D4" s="143"/>
      <c r="E4" s="144"/>
      <c r="F4" s="145"/>
      <c r="G4" s="146"/>
      <c r="H4" s="147"/>
    </row>
    <row r="5" ht="15.75">
      <c r="B5" s="148"/>
      <c r="C5" s="149"/>
      <c r="D5" s="150"/>
      <c r="E5" s="144"/>
      <c r="F5" s="151"/>
      <c r="G5" s="146"/>
      <c r="H5" s="152"/>
    </row>
    <row r="6" ht="15.75">
      <c r="B6" s="148"/>
      <c r="C6" s="149"/>
      <c r="D6" s="150"/>
      <c r="E6" s="144"/>
      <c r="F6" s="151"/>
      <c r="G6" s="146"/>
      <c r="H6" s="152"/>
    </row>
    <row r="7" ht="15.75">
      <c r="B7" s="148"/>
      <c r="C7" s="149"/>
      <c r="D7" s="150"/>
      <c r="E7" s="144"/>
      <c r="F7" s="151"/>
      <c r="G7" s="146"/>
      <c r="H7" s="152"/>
    </row>
    <row r="8" ht="15.75">
      <c r="B8" s="148"/>
      <c r="C8" s="149"/>
      <c r="D8" s="150"/>
      <c r="E8" s="144"/>
      <c r="F8" s="151"/>
      <c r="G8" s="146"/>
      <c r="H8" s="152"/>
    </row>
    <row r="9" ht="15.75">
      <c r="B9" s="148"/>
      <c r="C9" s="149"/>
      <c r="D9" s="150"/>
      <c r="E9" s="144"/>
      <c r="F9" s="151"/>
      <c r="G9" s="146"/>
      <c r="H9" s="152"/>
    </row>
    <row r="10" ht="15.75">
      <c r="B10" s="148"/>
      <c r="C10" s="149"/>
      <c r="D10" s="150"/>
      <c r="E10" s="144"/>
      <c r="F10" s="151"/>
      <c r="G10" s="146"/>
      <c r="H10" s="152"/>
    </row>
    <row r="11" ht="15.75">
      <c r="B11" s="148"/>
      <c r="C11" s="149"/>
      <c r="D11" s="150"/>
      <c r="E11" s="144"/>
      <c r="F11" s="151"/>
      <c r="G11" s="146"/>
      <c r="H11" s="152"/>
    </row>
    <row r="12" ht="15.75">
      <c r="B12" s="148"/>
      <c r="C12" s="149"/>
      <c r="D12" s="150"/>
      <c r="E12" s="144"/>
      <c r="F12" s="151"/>
      <c r="G12" s="146"/>
      <c r="H12" s="152"/>
    </row>
    <row r="13" ht="15.75">
      <c r="B13" s="148"/>
      <c r="C13" s="149"/>
      <c r="D13" s="150"/>
      <c r="E13" s="144"/>
      <c r="F13" s="151"/>
      <c r="G13" s="146"/>
      <c r="H13" s="152"/>
    </row>
    <row r="14" ht="15.75">
      <c r="B14" s="148"/>
      <c r="C14" s="149"/>
      <c r="D14" s="150"/>
      <c r="E14" s="144"/>
      <c r="F14" s="151"/>
      <c r="G14" s="146"/>
      <c r="H14" s="152"/>
    </row>
    <row r="15" ht="15.75">
      <c r="B15" s="148"/>
      <c r="C15" s="149"/>
      <c r="D15" s="150"/>
      <c r="E15" s="144"/>
      <c r="F15" s="151"/>
      <c r="G15" s="146"/>
      <c r="H15" s="152"/>
    </row>
    <row r="16" ht="15.75">
      <c r="B16" s="148"/>
      <c r="C16" s="149"/>
      <c r="D16" s="150"/>
      <c r="E16" s="144"/>
      <c r="F16" s="151"/>
      <c r="G16" s="146"/>
      <c r="H16" s="152"/>
    </row>
    <row r="17" ht="15.75">
      <c r="B17" s="148"/>
      <c r="C17" s="149"/>
      <c r="D17" s="150"/>
      <c r="E17" s="144"/>
      <c r="F17" s="151"/>
      <c r="G17" s="146"/>
      <c r="H17" s="152"/>
    </row>
    <row r="18" ht="15.75">
      <c r="B18" s="148"/>
      <c r="C18" s="149"/>
      <c r="D18" s="150"/>
      <c r="E18" s="144"/>
      <c r="F18" s="151"/>
      <c r="G18" s="146"/>
      <c r="H18" s="152"/>
    </row>
    <row r="19" ht="15.75">
      <c r="B19" s="148"/>
      <c r="C19" s="149"/>
      <c r="D19" s="150"/>
      <c r="E19" s="144"/>
      <c r="F19" s="151"/>
      <c r="G19" s="146"/>
      <c r="H19" s="152"/>
    </row>
    <row r="20" ht="15.75">
      <c r="B20" s="148"/>
      <c r="C20" s="149"/>
      <c r="D20" s="150"/>
      <c r="E20" s="144"/>
      <c r="F20" s="151"/>
      <c r="G20" s="146"/>
      <c r="H20" s="152"/>
    </row>
    <row r="21" ht="15.75">
      <c r="B21" s="148"/>
      <c r="C21" s="149"/>
      <c r="D21" s="150"/>
      <c r="E21" s="144"/>
      <c r="F21" s="151"/>
      <c r="G21" s="146"/>
      <c r="H21" s="152"/>
    </row>
    <row r="22" ht="15.75">
      <c r="B22" s="148"/>
      <c r="C22" s="149"/>
      <c r="D22" s="150"/>
      <c r="E22" s="144"/>
      <c r="F22" s="151"/>
      <c r="G22" s="146"/>
      <c r="H22" s="152"/>
    </row>
    <row r="23" ht="15.75">
      <c r="B23" s="148"/>
      <c r="C23" s="149"/>
      <c r="D23" s="150"/>
      <c r="E23" s="144"/>
      <c r="F23" s="151"/>
      <c r="G23" s="146"/>
      <c r="H23" s="152"/>
    </row>
    <row r="24" ht="15.75">
      <c r="B24" s="148"/>
      <c r="C24" s="149"/>
      <c r="D24" s="150"/>
      <c r="E24" s="144"/>
      <c r="F24" s="151"/>
      <c r="G24" s="146"/>
      <c r="H24" s="152"/>
    </row>
    <row r="25" ht="15.75">
      <c r="B25" s="148"/>
      <c r="C25" s="149"/>
      <c r="D25" s="150"/>
      <c r="E25" s="144"/>
      <c r="F25" s="151"/>
      <c r="G25" s="146"/>
      <c r="H25" s="152"/>
    </row>
    <row r="26" ht="15.75">
      <c r="B26" s="148"/>
      <c r="C26" s="149"/>
      <c r="D26" s="150"/>
      <c r="E26" s="144"/>
      <c r="F26" s="151"/>
      <c r="G26" s="146"/>
      <c r="H26" s="152"/>
    </row>
    <row r="27" ht="15.75">
      <c r="B27" s="148"/>
      <c r="C27" s="149"/>
      <c r="D27" s="150"/>
      <c r="E27" s="144"/>
      <c r="F27" s="151"/>
      <c r="G27" s="146"/>
      <c r="H27" s="152"/>
    </row>
    <row r="28" ht="15.75">
      <c r="B28" s="148"/>
      <c r="C28" s="149"/>
      <c r="D28" s="150"/>
      <c r="E28" s="144"/>
      <c r="F28" s="151"/>
      <c r="G28" s="146"/>
      <c r="H28" s="152"/>
    </row>
    <row r="29" ht="15.75">
      <c r="B29" s="148"/>
      <c r="C29" s="149"/>
      <c r="D29" s="150"/>
      <c r="E29" s="144"/>
      <c r="F29" s="151"/>
      <c r="G29" s="146"/>
      <c r="H29" s="152"/>
    </row>
    <row r="30" ht="15.75">
      <c r="B30" s="148"/>
      <c r="C30" s="149"/>
      <c r="D30" s="150"/>
      <c r="E30" s="144"/>
      <c r="F30" s="151"/>
      <c r="G30" s="146"/>
      <c r="H30" s="152"/>
    </row>
    <row r="31" ht="15.75">
      <c r="B31" s="148"/>
      <c r="C31" s="149"/>
      <c r="D31" s="150"/>
      <c r="E31" s="144"/>
      <c r="F31" s="151"/>
      <c r="G31" s="146"/>
      <c r="H31" s="152"/>
    </row>
    <row r="32" ht="15.75">
      <c r="B32" s="148"/>
      <c r="C32" s="149"/>
      <c r="D32" s="150"/>
      <c r="E32" s="144"/>
      <c r="F32" s="151"/>
      <c r="G32" s="146"/>
      <c r="H32" s="152"/>
    </row>
    <row r="33" ht="15.75">
      <c r="B33" s="148"/>
      <c r="C33" s="149"/>
      <c r="D33" s="150"/>
      <c r="E33" s="144"/>
      <c r="F33" s="151"/>
      <c r="G33" s="146"/>
      <c r="H33" s="152"/>
    </row>
    <row r="34" ht="15.75">
      <c r="B34" s="148"/>
      <c r="C34" s="149"/>
      <c r="D34" s="150"/>
      <c r="E34" s="144"/>
      <c r="F34" s="151"/>
      <c r="G34" s="146"/>
      <c r="H34" s="152"/>
    </row>
    <row r="35" ht="15.75">
      <c r="B35" s="148"/>
      <c r="C35" s="149"/>
      <c r="D35" s="150"/>
      <c r="E35" s="144"/>
      <c r="F35" s="153"/>
      <c r="G35" s="146"/>
      <c r="H35" s="152"/>
    </row>
    <row r="36" ht="15.75">
      <c r="B36" s="148"/>
      <c r="C36" s="149"/>
      <c r="D36" s="150"/>
      <c r="E36" s="144"/>
      <c r="F36" s="153"/>
      <c r="G36" s="146"/>
      <c r="H36" s="152"/>
    </row>
    <row r="37" ht="15.75">
      <c r="B37" s="148"/>
      <c r="C37" s="149"/>
      <c r="D37" s="150"/>
      <c r="E37" s="144"/>
      <c r="F37" s="153"/>
      <c r="G37" s="146"/>
      <c r="H37" s="152"/>
    </row>
    <row r="38" ht="15.75">
      <c r="B38" s="148"/>
      <c r="C38" s="149"/>
      <c r="D38" s="150"/>
      <c r="E38" s="144"/>
      <c r="F38" s="153"/>
      <c r="G38" s="146"/>
      <c r="H38" s="152"/>
    </row>
    <row r="39" ht="15.75">
      <c r="B39" s="148"/>
      <c r="C39" s="149"/>
      <c r="D39" s="150"/>
      <c r="E39" s="144"/>
      <c r="F39" s="153"/>
      <c r="G39" s="146"/>
      <c r="H39" s="152"/>
    </row>
    <row r="40" ht="15.75">
      <c r="B40" s="148"/>
      <c r="C40" s="149"/>
      <c r="D40" s="150"/>
      <c r="E40" s="144"/>
      <c r="F40" s="153"/>
      <c r="G40" s="146"/>
      <c r="H40" s="152"/>
    </row>
    <row r="41" ht="15.75">
      <c r="B41" s="148"/>
      <c r="C41" s="149"/>
      <c r="D41" s="150"/>
      <c r="E41" s="144"/>
      <c r="F41" s="153"/>
      <c r="G41" s="146"/>
      <c r="H41" s="152"/>
    </row>
    <row r="42" ht="15.75">
      <c r="B42" s="148"/>
      <c r="C42" s="149"/>
      <c r="D42" s="150"/>
      <c r="E42" s="144"/>
      <c r="F42" s="153"/>
      <c r="G42" s="146"/>
      <c r="H42" s="152"/>
    </row>
    <row r="43" ht="15.75">
      <c r="B43" s="148"/>
      <c r="C43" s="149"/>
      <c r="D43" s="150"/>
      <c r="E43" s="144"/>
      <c r="F43" s="153"/>
      <c r="G43" s="146"/>
      <c r="H43" s="152"/>
    </row>
    <row r="44" ht="15.75">
      <c r="B44" s="148"/>
      <c r="C44" s="149"/>
      <c r="D44" s="150"/>
      <c r="E44" s="144"/>
      <c r="F44" s="153"/>
      <c r="G44" s="146"/>
      <c r="H44" s="152"/>
    </row>
    <row r="45" ht="15.75">
      <c r="B45" s="148"/>
      <c r="C45" s="149"/>
      <c r="D45" s="150"/>
      <c r="E45" s="144"/>
      <c r="F45" s="153"/>
      <c r="G45" s="146"/>
      <c r="H45" s="152"/>
    </row>
    <row r="46" ht="15.75">
      <c r="B46" s="148"/>
      <c r="C46" s="149"/>
      <c r="D46" s="150"/>
      <c r="E46" s="144"/>
      <c r="F46" s="153"/>
      <c r="G46" s="146"/>
      <c r="H46" s="152"/>
    </row>
    <row r="47" ht="15.75">
      <c r="B47" s="148"/>
      <c r="C47" s="149"/>
      <c r="D47" s="150"/>
      <c r="E47" s="144"/>
      <c r="F47" s="153"/>
      <c r="G47" s="146"/>
      <c r="H47" s="152"/>
    </row>
    <row r="48" ht="15.75">
      <c r="B48" s="148"/>
      <c r="C48" s="149"/>
      <c r="D48" s="150"/>
      <c r="E48" s="144"/>
      <c r="F48" s="153"/>
      <c r="G48" s="146"/>
      <c r="H48" s="152"/>
    </row>
    <row r="49" ht="15.75">
      <c r="B49" s="148"/>
      <c r="C49" s="149"/>
      <c r="D49" s="150"/>
      <c r="E49" s="144"/>
      <c r="F49" s="153"/>
      <c r="G49" s="146"/>
      <c r="H49" s="152"/>
    </row>
    <row r="50" ht="15.75">
      <c r="B50" s="148"/>
      <c r="C50" s="149"/>
      <c r="D50" s="150"/>
      <c r="E50" s="144"/>
      <c r="F50" s="153"/>
      <c r="G50" s="146"/>
      <c r="H50" s="152"/>
    </row>
    <row r="51" ht="15.75">
      <c r="B51" s="148"/>
      <c r="C51" s="149"/>
      <c r="D51" s="150"/>
      <c r="E51" s="144"/>
      <c r="F51" s="153"/>
      <c r="G51" s="146"/>
      <c r="H51" s="152"/>
    </row>
    <row r="52" ht="15.75">
      <c r="B52" s="148"/>
      <c r="C52" s="149"/>
      <c r="D52" s="150"/>
      <c r="E52" s="144"/>
      <c r="F52" s="153"/>
      <c r="G52" s="146"/>
      <c r="H52" s="152"/>
    </row>
    <row r="53" ht="15.75">
      <c r="B53" s="148"/>
      <c r="C53" s="149"/>
      <c r="D53" s="150"/>
      <c r="E53" s="144"/>
      <c r="F53" s="153"/>
      <c r="G53" s="146"/>
      <c r="H53" s="152"/>
    </row>
    <row r="54" ht="15.75">
      <c r="B54" s="148"/>
      <c r="C54" s="149"/>
      <c r="D54" s="150"/>
      <c r="E54" s="144"/>
      <c r="F54" s="153"/>
      <c r="G54" s="146"/>
      <c r="H54" s="152"/>
    </row>
    <row r="55" ht="15.75">
      <c r="B55" s="148"/>
      <c r="C55" s="149"/>
      <c r="D55" s="150"/>
      <c r="E55" s="144"/>
      <c r="F55" s="153"/>
      <c r="G55" s="146"/>
      <c r="H55" s="152"/>
    </row>
    <row r="56" ht="15.75">
      <c r="B56" s="148"/>
      <c r="C56" s="149"/>
      <c r="D56" s="150"/>
      <c r="E56" s="144"/>
      <c r="F56" s="153"/>
      <c r="G56" s="146"/>
      <c r="H56" s="152"/>
    </row>
    <row r="57" ht="15.75">
      <c r="B57" s="148"/>
      <c r="C57" s="149"/>
      <c r="D57" s="150"/>
      <c r="E57" s="144"/>
      <c r="F57" s="153"/>
      <c r="G57" s="146"/>
      <c r="H57" s="152"/>
    </row>
    <row r="58" ht="16.5">
      <c r="B58" s="154"/>
      <c r="C58" s="155"/>
      <c r="D58" s="156"/>
      <c r="E58" s="144"/>
      <c r="F58" s="157"/>
      <c r="G58" s="146"/>
      <c r="H58" s="158"/>
    </row>
    <row r="59" ht="15.75">
      <c r="E59" s="144"/>
      <c r="G59" s="146"/>
    </row>
    <row r="60" ht="15.75">
      <c r="E60" s="144"/>
      <c r="G60" s="146"/>
    </row>
    <row r="61" ht="15.75">
      <c r="E61" s="144"/>
      <c r="G61" s="146"/>
    </row>
    <row r="62" ht="15.75">
      <c r="E62" s="144"/>
      <c r="G62" s="146"/>
    </row>
    <row r="63" ht="15.75">
      <c r="E63" s="144"/>
      <c r="G63" s="146"/>
    </row>
    <row r="64" ht="15.75">
      <c r="E64" s="144"/>
      <c r="G64" s="146"/>
    </row>
    <row r="65" ht="15.75">
      <c r="E65" s="144"/>
      <c r="G65" s="146"/>
    </row>
    <row r="66" ht="15.75">
      <c r="E66" s="144"/>
      <c r="G66" s="146"/>
    </row>
    <row r="67" ht="15.75">
      <c r="E67" s="144"/>
      <c r="G67" s="146"/>
    </row>
    <row r="68" ht="15.75">
      <c r="E68" s="144"/>
      <c r="G68" s="146"/>
    </row>
    <row r="69" ht="15.75">
      <c r="E69" s="144"/>
      <c r="G69" s="146"/>
    </row>
    <row r="70" ht="15.75">
      <c r="E70" s="144"/>
      <c r="G70" s="146"/>
    </row>
    <row r="71" ht="15.75">
      <c r="E71" s="144"/>
      <c r="G71" s="146"/>
    </row>
    <row r="72" ht="15.75">
      <c r="E72" s="144"/>
      <c r="G72" s="146"/>
    </row>
    <row r="73" ht="15.75">
      <c r="E73" s="144"/>
      <c r="G73" s="146"/>
    </row>
    <row r="74" ht="15.75">
      <c r="E74" s="144"/>
      <c r="G74" s="146"/>
    </row>
    <row r="75" ht="15.75">
      <c r="E75" s="144"/>
      <c r="G75" s="146"/>
    </row>
    <row r="76" ht="15.75">
      <c r="E76" s="144"/>
      <c r="G76" s="146"/>
    </row>
    <row r="77" ht="15.75">
      <c r="E77" s="144"/>
      <c r="G77" s="146"/>
    </row>
    <row r="78" ht="15.75">
      <c r="E78" s="144"/>
      <c r="G78" s="146"/>
    </row>
    <row r="79" ht="15.75">
      <c r="E79" s="144"/>
      <c r="G79" s="146"/>
    </row>
    <row r="80" ht="15.75">
      <c r="E80" s="144"/>
      <c r="G80" s="146"/>
    </row>
    <row r="81" ht="15.75">
      <c r="E81" s="144"/>
      <c r="G81" s="146"/>
    </row>
    <row r="82" ht="15.75">
      <c r="E82" s="144"/>
      <c r="G82" s="146"/>
    </row>
    <row r="83" ht="15.75">
      <c r="E83" s="144"/>
      <c r="G83" s="146"/>
    </row>
    <row r="84" ht="15.75">
      <c r="E84" s="144"/>
      <c r="G84" s="146"/>
    </row>
    <row r="85" ht="15.75">
      <c r="E85" s="144"/>
      <c r="G85" s="146"/>
    </row>
    <row r="86" ht="15.75">
      <c r="E86" s="144"/>
      <c r="G86" s="146"/>
    </row>
    <row r="87" ht="15.75">
      <c r="E87" s="144"/>
      <c r="G87" s="146"/>
    </row>
    <row r="88" ht="15.75">
      <c r="E88" s="144"/>
      <c r="G88" s="146"/>
    </row>
    <row r="89" ht="15.75">
      <c r="E89" s="144"/>
      <c r="G89" s="146"/>
    </row>
    <row r="90" ht="15.75">
      <c r="E90" s="144"/>
      <c r="G90" s="146"/>
    </row>
    <row r="91" ht="15.75">
      <c r="E91" s="144"/>
      <c r="G91" s="146"/>
    </row>
    <row r="92" ht="15.75">
      <c r="E92" s="144"/>
      <c r="G92" s="146"/>
    </row>
    <row r="93" ht="15.75">
      <c r="E93" s="144"/>
      <c r="G93" s="146"/>
    </row>
    <row r="94" ht="15.75">
      <c r="E94" s="144"/>
      <c r="G94" s="146"/>
    </row>
    <row r="95" ht="15.75">
      <c r="E95" s="144"/>
      <c r="G95" s="146"/>
    </row>
    <row r="96" ht="15.75">
      <c r="E96" s="144"/>
      <c r="G96" s="146"/>
    </row>
    <row r="97" ht="15.75">
      <c r="E97" s="144"/>
      <c r="G97" s="146"/>
    </row>
    <row r="98" ht="15.75">
      <c r="E98" s="144"/>
      <c r="G98" s="146"/>
    </row>
    <row r="99" ht="15.75">
      <c r="E99" s="144"/>
      <c r="G99" s="146"/>
    </row>
    <row r="100" ht="15.75">
      <c r="E100" s="144"/>
      <c r="G100" s="146"/>
    </row>
    <row r="101" ht="15.75">
      <c r="E101" s="144"/>
      <c r="G101" s="146"/>
    </row>
    <row r="102" ht="15.75">
      <c r="E102" s="144"/>
      <c r="G102" s="146"/>
    </row>
    <row r="103" ht="15.75">
      <c r="E103" s="144"/>
      <c r="G103" s="146"/>
    </row>
    <row r="104" ht="15.75">
      <c r="E104" s="144"/>
      <c r="G104" s="146"/>
    </row>
    <row r="105" ht="15.75">
      <c r="E105" s="144"/>
      <c r="G105" s="146"/>
    </row>
    <row r="106" ht="15.75">
      <c r="E106" s="144"/>
      <c r="G106" s="146"/>
    </row>
    <row r="107" ht="15.75">
      <c r="E107" s="144"/>
      <c r="G107" s="146"/>
    </row>
    <row r="108" ht="15.75">
      <c r="E108" s="144"/>
      <c r="G108" s="146"/>
    </row>
    <row r="109" ht="15.75">
      <c r="E109" s="144"/>
      <c r="G109" s="146"/>
    </row>
    <row r="110" ht="15.75">
      <c r="E110" s="144"/>
      <c r="G110" s="146"/>
    </row>
    <row r="111" ht="15.75">
      <c r="E111" s="144"/>
      <c r="G111" s="146"/>
    </row>
    <row r="112" ht="15.75">
      <c r="E112" s="144"/>
      <c r="G112" s="146"/>
    </row>
    <row r="113" ht="15.75">
      <c r="E113" s="144"/>
      <c r="G113" s="146"/>
    </row>
    <row r="114" ht="15.75">
      <c r="E114" s="144"/>
      <c r="G114" s="146"/>
    </row>
    <row r="115" ht="15.75">
      <c r="E115" s="144"/>
      <c r="G115" s="146"/>
    </row>
    <row r="116" ht="15.75">
      <c r="E116" s="144"/>
      <c r="G116" s="146"/>
    </row>
    <row r="117" ht="15.75">
      <c r="E117" s="144"/>
      <c r="G117" s="146"/>
    </row>
    <row r="118" ht="15.75">
      <c r="E118" s="144"/>
      <c r="G118" s="146"/>
    </row>
    <row r="119" ht="15.75">
      <c r="E119" s="144"/>
      <c r="G119" s="146"/>
    </row>
    <row r="120" ht="15.75">
      <c r="E120" s="144"/>
      <c r="G120" s="146"/>
    </row>
    <row r="121" ht="15.75">
      <c r="E121" s="144"/>
      <c r="G121" s="146"/>
    </row>
    <row r="122" ht="15.75">
      <c r="E122" s="144"/>
      <c r="G122" s="146"/>
    </row>
    <row r="123" ht="15.75">
      <c r="E123" s="144"/>
      <c r="G123" s="146"/>
    </row>
    <row r="124" ht="15.75">
      <c r="E124" s="144"/>
      <c r="G124" s="146"/>
    </row>
    <row r="125" ht="15.75">
      <c r="E125" s="144"/>
      <c r="G125" s="146"/>
    </row>
    <row r="126" ht="15.75">
      <c r="E126" s="144"/>
      <c r="G126" s="146"/>
    </row>
    <row r="127" ht="15.75">
      <c r="E127" s="144"/>
      <c r="G127" s="146"/>
    </row>
    <row r="128" ht="15.75">
      <c r="E128" s="144"/>
      <c r="G128" s="146"/>
    </row>
    <row r="129" ht="15.75">
      <c r="E129" s="144"/>
      <c r="G129" s="146"/>
    </row>
    <row r="130" ht="15.75">
      <c r="E130" s="144"/>
      <c r="G130" s="146"/>
    </row>
    <row r="131" ht="15.75">
      <c r="E131" s="144"/>
      <c r="G131" s="146"/>
    </row>
    <row r="132" ht="15.75">
      <c r="E132" s="144"/>
      <c r="G132" s="146"/>
    </row>
    <row r="133" ht="15.75">
      <c r="E133" s="144"/>
      <c r="G133" s="146"/>
    </row>
    <row r="134" ht="15.75">
      <c r="E134" s="144"/>
      <c r="G134" s="146"/>
    </row>
    <row r="135" ht="15.75">
      <c r="E135" s="144"/>
      <c r="G135" s="146"/>
    </row>
    <row r="136" ht="15.75">
      <c r="E136" s="144"/>
      <c r="G136" s="146"/>
    </row>
    <row r="137" ht="15.75">
      <c r="E137" s="144"/>
      <c r="G137" s="146"/>
    </row>
    <row r="138" ht="15.75">
      <c r="E138" s="144"/>
      <c r="G138" s="146"/>
    </row>
    <row r="139" ht="15.75">
      <c r="E139" s="144"/>
      <c r="G139" s="146"/>
    </row>
    <row r="140" ht="15.75">
      <c r="E140" s="144"/>
      <c r="G140" s="146"/>
    </row>
    <row r="141" ht="15.75">
      <c r="E141" s="144"/>
      <c r="G141" s="146"/>
    </row>
    <row r="142" ht="15.75">
      <c r="E142" s="144"/>
      <c r="G142" s="146"/>
    </row>
    <row r="143" ht="15.75">
      <c r="E143" s="144"/>
      <c r="G143" s="146"/>
    </row>
    <row r="144" ht="15.75">
      <c r="E144" s="144"/>
      <c r="G144" s="146"/>
    </row>
    <row r="145" ht="15.75">
      <c r="E145" s="144"/>
      <c r="G145" s="146"/>
    </row>
    <row r="146" ht="15.75">
      <c r="E146" s="144"/>
      <c r="G146" s="146"/>
    </row>
    <row r="147" ht="15.75">
      <c r="E147" s="144"/>
      <c r="G147" s="146"/>
    </row>
    <row r="148" ht="15.75">
      <c r="E148" s="144"/>
      <c r="G148" s="146"/>
    </row>
    <row r="149" ht="15.75">
      <c r="E149" s="144"/>
      <c r="G149" s="146"/>
    </row>
    <row r="150" ht="15.75">
      <c r="E150" s="144"/>
      <c r="G150" s="146"/>
    </row>
    <row r="151" ht="15.75">
      <c r="E151" s="144"/>
      <c r="G151" s="146"/>
    </row>
    <row r="152" ht="15.75">
      <c r="E152" s="144"/>
      <c r="G152" s="146"/>
    </row>
    <row r="153" ht="15.75">
      <c r="E153" s="144"/>
      <c r="G153" s="146"/>
    </row>
    <row r="154" ht="15.75">
      <c r="E154" s="144"/>
      <c r="G154" s="146"/>
    </row>
    <row r="155" ht="15.75">
      <c r="E155" s="144"/>
      <c r="G155" s="146"/>
    </row>
    <row r="156" ht="15.75">
      <c r="E156" s="144"/>
      <c r="G156" s="146"/>
    </row>
    <row r="157" ht="15.75">
      <c r="E157" s="144"/>
      <c r="G157" s="146"/>
    </row>
    <row r="158" ht="15.75">
      <c r="E158" s="144"/>
      <c r="G158" s="146"/>
    </row>
    <row r="159" ht="15.75">
      <c r="E159" s="144"/>
      <c r="G159" s="146"/>
    </row>
    <row r="160" ht="15.75">
      <c r="E160" s="144"/>
      <c r="G160" s="146"/>
    </row>
    <row r="161" ht="15.75">
      <c r="E161" s="144"/>
      <c r="G161" s="146"/>
    </row>
    <row r="162" ht="15.75">
      <c r="E162" s="144"/>
      <c r="G162" s="146"/>
    </row>
    <row r="163" ht="15.75">
      <c r="E163" s="144"/>
      <c r="G163" s="146"/>
    </row>
    <row r="164" ht="15.75">
      <c r="E164" s="144"/>
      <c r="G164" s="146"/>
    </row>
    <row r="165" ht="15.75">
      <c r="E165" s="144"/>
      <c r="G165" s="146"/>
    </row>
    <row r="166" ht="15.75">
      <c r="E166" s="144"/>
      <c r="G166" s="146"/>
    </row>
    <row r="167" ht="15.75">
      <c r="E167" s="144"/>
      <c r="G167" s="146"/>
    </row>
    <row r="168" ht="15.75">
      <c r="E168" s="144"/>
      <c r="G168" s="146"/>
    </row>
    <row r="169" ht="15.75">
      <c r="E169" s="144"/>
      <c r="G169" s="146"/>
    </row>
    <row r="170" ht="15.75">
      <c r="E170" s="144"/>
      <c r="G170" s="146"/>
    </row>
    <row r="171" ht="15.75">
      <c r="E171" s="144"/>
      <c r="G171" s="146"/>
    </row>
    <row r="172" ht="15.75">
      <c r="E172" s="144"/>
      <c r="G172" s="146"/>
    </row>
    <row r="173" ht="15.75">
      <c r="E173" s="144"/>
      <c r="G173" s="146"/>
    </row>
    <row r="174" ht="15.75">
      <c r="E174" s="144"/>
      <c r="G174" s="146"/>
    </row>
    <row r="175" ht="15.75">
      <c r="E175" s="144"/>
      <c r="G175" s="146"/>
    </row>
    <row r="176" ht="15.75">
      <c r="E176" s="144"/>
      <c r="G176" s="146"/>
    </row>
    <row r="177" ht="15.75">
      <c r="E177" s="144"/>
      <c r="G177" s="146"/>
    </row>
    <row r="178" ht="15.75">
      <c r="E178" s="144"/>
      <c r="G178" s="146"/>
    </row>
    <row r="179" ht="15.75">
      <c r="E179" s="144"/>
      <c r="G179" s="146"/>
    </row>
    <row r="180" ht="15.75">
      <c r="E180" s="144"/>
      <c r="G180" s="146"/>
    </row>
    <row r="181" ht="15.75">
      <c r="E181" s="144"/>
      <c r="G181" s="146"/>
    </row>
    <row r="182" ht="15.75">
      <c r="E182" s="144"/>
      <c r="G182" s="146"/>
    </row>
    <row r="183" ht="15.75">
      <c r="E183" s="144"/>
      <c r="G183" s="146"/>
    </row>
    <row r="184" ht="15.75">
      <c r="E184" s="144"/>
      <c r="G184" s="146"/>
    </row>
    <row r="185" ht="15.75">
      <c r="E185" s="144"/>
      <c r="G185" s="146"/>
    </row>
    <row r="186" ht="15.75">
      <c r="E186" s="144"/>
      <c r="G186" s="146"/>
    </row>
    <row r="187" ht="15.75">
      <c r="E187" s="144"/>
      <c r="G187" s="146"/>
    </row>
    <row r="188" ht="15.75">
      <c r="E188" s="144"/>
      <c r="G188" s="146"/>
    </row>
    <row r="189" ht="15.75">
      <c r="E189" s="144"/>
      <c r="G189" s="146"/>
    </row>
    <row r="190" ht="15.75">
      <c r="E190" s="144"/>
      <c r="G190" s="146"/>
    </row>
    <row r="191" ht="15.75">
      <c r="E191" s="144"/>
      <c r="G191" s="146"/>
    </row>
    <row r="192" ht="15.75">
      <c r="E192" s="144"/>
      <c r="G192" s="146"/>
    </row>
    <row r="193" ht="15.75">
      <c r="E193" s="144"/>
      <c r="G193" s="146"/>
    </row>
    <row r="194" ht="15.75">
      <c r="E194" s="144"/>
      <c r="G194" s="146"/>
    </row>
    <row r="195" ht="15.75">
      <c r="E195" s="144"/>
      <c r="G195" s="146"/>
    </row>
    <row r="196" ht="15.75">
      <c r="E196" s="144"/>
      <c r="G196" s="146"/>
    </row>
    <row r="197" ht="15.75">
      <c r="E197" s="144"/>
      <c r="G197" s="146"/>
    </row>
    <row r="198" ht="15.75">
      <c r="E198" s="144"/>
      <c r="G198" s="146"/>
    </row>
    <row r="199" ht="15.75">
      <c r="E199" s="144"/>
      <c r="G199" s="146"/>
    </row>
    <row r="200" ht="15.75">
      <c r="E200" s="144"/>
      <c r="G200" s="146"/>
    </row>
    <row r="201" ht="15.75">
      <c r="E201" s="144"/>
      <c r="G201" s="146"/>
    </row>
    <row r="202" ht="15.75">
      <c r="E202" s="144"/>
      <c r="G202" s="146"/>
    </row>
    <row r="203" ht="15.75">
      <c r="E203" s="144"/>
      <c r="G203" s="146"/>
    </row>
    <row r="204" ht="15.75">
      <c r="E204" s="144"/>
      <c r="G204" s="146"/>
    </row>
    <row r="205" ht="15.75">
      <c r="E205" s="144"/>
      <c r="G205" s="146"/>
    </row>
    <row r="206" ht="15.75">
      <c r="E206" s="144"/>
      <c r="G206" s="146"/>
    </row>
    <row r="207" ht="15.75">
      <c r="E207" s="144"/>
      <c r="G207" s="146"/>
    </row>
    <row r="208" ht="15.75">
      <c r="E208" s="144"/>
      <c r="G208" s="146"/>
    </row>
    <row r="209" ht="15.75">
      <c r="E209" s="144"/>
      <c r="G209" s="146"/>
    </row>
    <row r="210" ht="15.75">
      <c r="E210" s="144"/>
      <c r="G210" s="146"/>
    </row>
    <row r="211" ht="15.75">
      <c r="E211" s="144"/>
      <c r="G211" s="146"/>
    </row>
    <row r="212" ht="15.75">
      <c r="E212" s="144"/>
      <c r="G212" s="146"/>
    </row>
    <row r="213" ht="15.75">
      <c r="E213" s="144"/>
      <c r="G213" s="146"/>
    </row>
    <row r="214" ht="15.75">
      <c r="E214" s="144"/>
      <c r="G214" s="146"/>
    </row>
    <row r="215" ht="15.75">
      <c r="E215" s="144"/>
      <c r="G215" s="146"/>
    </row>
    <row r="216" ht="15.75">
      <c r="E216" s="144"/>
      <c r="G216" s="146"/>
    </row>
    <row r="217" ht="15.75">
      <c r="E217" s="144"/>
      <c r="G217" s="146"/>
    </row>
    <row r="218" ht="15.75">
      <c r="E218" s="144"/>
      <c r="G218" s="146"/>
    </row>
    <row r="219" ht="15.75">
      <c r="E219" s="144"/>
      <c r="G219" s="146"/>
    </row>
    <row r="220" ht="15.75">
      <c r="E220" s="144"/>
      <c r="G220" s="146"/>
    </row>
    <row r="221" ht="15.75">
      <c r="E221" s="144"/>
      <c r="G221" s="146"/>
    </row>
    <row r="222" ht="15.75">
      <c r="E222" s="144"/>
      <c r="G222" s="146"/>
    </row>
    <row r="223" ht="15.75">
      <c r="E223" s="144"/>
      <c r="G223" s="146"/>
    </row>
    <row r="224" ht="15.75">
      <c r="E224" s="144"/>
      <c r="G224" s="146"/>
    </row>
    <row r="225" ht="15.75">
      <c r="E225" s="144"/>
      <c r="G225" s="146"/>
    </row>
    <row r="226" ht="15.75">
      <c r="E226" s="144"/>
      <c r="G226" s="146"/>
    </row>
    <row r="227" ht="15.75">
      <c r="E227" s="144"/>
      <c r="G227" s="146"/>
    </row>
    <row r="228" ht="15.75">
      <c r="E228" s="144"/>
      <c r="G228" s="146"/>
    </row>
    <row r="229" ht="15.75">
      <c r="E229" s="144"/>
      <c r="G229" s="146"/>
    </row>
    <row r="230" ht="15.75">
      <c r="E230" s="144"/>
      <c r="G230" s="146"/>
    </row>
    <row r="231" ht="15.75">
      <c r="E231" s="144"/>
      <c r="G231" s="146"/>
    </row>
    <row r="232" ht="15.75">
      <c r="E232" s="144"/>
      <c r="G232" s="146"/>
    </row>
    <row r="233" ht="15.75">
      <c r="E233" s="144"/>
      <c r="G233" s="146"/>
    </row>
    <row r="234" ht="15.75">
      <c r="E234" s="144"/>
      <c r="G234" s="146"/>
    </row>
    <row r="235" ht="15.75">
      <c r="E235" s="144"/>
      <c r="G235" s="146"/>
    </row>
    <row r="236" ht="15.75">
      <c r="E236" s="144"/>
      <c r="G236" s="146"/>
    </row>
    <row r="237" ht="15.75">
      <c r="E237" s="144"/>
      <c r="G237" s="146"/>
    </row>
    <row r="238" ht="15.75">
      <c r="E238" s="144"/>
      <c r="G238" s="146"/>
    </row>
    <row r="239" ht="15.75">
      <c r="E239" s="144"/>
      <c r="G239" s="146"/>
    </row>
    <row r="240" ht="15.75">
      <c r="E240" s="144"/>
      <c r="G240" s="146"/>
    </row>
    <row r="241" ht="15.75">
      <c r="E241" s="144"/>
      <c r="G241" s="146"/>
    </row>
    <row r="242" ht="15.75">
      <c r="E242" s="144"/>
      <c r="G242" s="146"/>
    </row>
    <row r="243" ht="15.75">
      <c r="E243" s="144"/>
      <c r="G243" s="146"/>
    </row>
    <row r="244" ht="15.75">
      <c r="E244" s="144"/>
      <c r="G244" s="146"/>
    </row>
    <row r="245" ht="15.75">
      <c r="E245" s="144"/>
      <c r="G245" s="146"/>
    </row>
    <row r="246" ht="15.75">
      <c r="E246" s="144"/>
      <c r="G246" s="146"/>
    </row>
    <row r="247" ht="15.75">
      <c r="E247" s="144"/>
      <c r="G247" s="146"/>
    </row>
    <row r="248" ht="15.75">
      <c r="E248" s="144"/>
      <c r="G248" s="146"/>
    </row>
    <row r="249" ht="15.75">
      <c r="E249" s="144"/>
      <c r="G249" s="146"/>
    </row>
    <row r="250" ht="15.75">
      <c r="E250" s="144"/>
      <c r="G250" s="146"/>
    </row>
    <row r="251" ht="15.75">
      <c r="E251" s="144"/>
      <c r="G251" s="146"/>
    </row>
    <row r="252" ht="15.75">
      <c r="E252" s="144"/>
      <c r="G252" s="146"/>
    </row>
    <row r="253" ht="15.75">
      <c r="E253" s="144"/>
      <c r="G253" s="146"/>
    </row>
    <row r="254" ht="15.75">
      <c r="E254" s="144"/>
      <c r="G254" s="146"/>
    </row>
    <row r="255" ht="15.75">
      <c r="E255" s="144"/>
      <c r="G255" s="146"/>
    </row>
    <row r="256" ht="15.75">
      <c r="E256" s="144"/>
      <c r="G256" s="146"/>
    </row>
    <row r="257" ht="15.75">
      <c r="E257" s="144"/>
      <c r="G257" s="146"/>
    </row>
    <row r="258" ht="15.75">
      <c r="E258" s="144"/>
      <c r="G258" s="146"/>
    </row>
    <row r="259" ht="15.75">
      <c r="E259" s="144"/>
      <c r="G259" s="146"/>
    </row>
    <row r="260" ht="15.75">
      <c r="E260" s="144"/>
      <c r="G260" s="146"/>
    </row>
    <row r="261" ht="15.75">
      <c r="E261" s="144"/>
      <c r="G261" s="146"/>
    </row>
    <row r="262" ht="15.75">
      <c r="E262" s="144"/>
      <c r="G262" s="146"/>
    </row>
    <row r="263" ht="15.75">
      <c r="E263" s="144"/>
      <c r="G263" s="146"/>
    </row>
    <row r="264" ht="15.75">
      <c r="E264" s="144"/>
      <c r="G264" s="146"/>
    </row>
    <row r="265" ht="15.75">
      <c r="E265" s="144"/>
      <c r="G265" s="146"/>
    </row>
    <row r="266" ht="15.75">
      <c r="E266" s="144"/>
      <c r="G266" s="146"/>
    </row>
    <row r="267" ht="15.75">
      <c r="E267" s="144"/>
      <c r="G267" s="146"/>
    </row>
    <row r="268" ht="15.75">
      <c r="E268" s="144"/>
      <c r="G268" s="146"/>
    </row>
    <row r="269" ht="15.75">
      <c r="E269" s="144"/>
      <c r="G269" s="146"/>
    </row>
    <row r="270" ht="15.75">
      <c r="E270" s="144"/>
      <c r="G270" s="146"/>
    </row>
    <row r="271" ht="15.75">
      <c r="E271" s="144"/>
      <c r="G271" s="146"/>
    </row>
    <row r="272" ht="15.75">
      <c r="E272" s="144"/>
      <c r="G272" s="146"/>
    </row>
    <row r="273" ht="15.75">
      <c r="E273" s="144"/>
      <c r="G273" s="146"/>
    </row>
    <row r="274" ht="15.75">
      <c r="E274" s="144"/>
      <c r="G274" s="146"/>
    </row>
    <row r="275" ht="15.75">
      <c r="E275" s="144"/>
      <c r="G275" s="146"/>
    </row>
    <row r="276" ht="15.75">
      <c r="E276" s="144"/>
      <c r="G276" s="146"/>
    </row>
    <row r="277" ht="15.75">
      <c r="E277" s="144"/>
      <c r="G277" s="146"/>
    </row>
    <row r="278" ht="15.75">
      <c r="E278" s="144"/>
      <c r="G278" s="146"/>
    </row>
    <row r="279" ht="15.75">
      <c r="E279" s="144"/>
      <c r="G279" s="146"/>
    </row>
    <row r="280" ht="15.75">
      <c r="E280" s="144"/>
      <c r="G280" s="146"/>
    </row>
    <row r="281" ht="15.75">
      <c r="E281" s="144"/>
      <c r="G281" s="146"/>
    </row>
    <row r="282" ht="15.75">
      <c r="E282" s="144"/>
      <c r="G282" s="146"/>
    </row>
    <row r="283" ht="15.75">
      <c r="E283" s="144"/>
      <c r="G283" s="146"/>
    </row>
    <row r="284" ht="15.75">
      <c r="E284" s="144"/>
      <c r="G284" s="146"/>
    </row>
    <row r="285" ht="15.75">
      <c r="E285" s="144"/>
      <c r="G285" s="146"/>
    </row>
    <row r="286" ht="15.75">
      <c r="E286" s="144"/>
      <c r="G286" s="146"/>
    </row>
    <row r="287" ht="15.75">
      <c r="E287" s="144"/>
      <c r="G287" s="146"/>
    </row>
    <row r="288" ht="15.75">
      <c r="E288" s="144"/>
      <c r="G288" s="146"/>
    </row>
    <row r="289" ht="15.75">
      <c r="E289" s="144"/>
      <c r="G289" s="146"/>
    </row>
    <row r="290" ht="15.75">
      <c r="E290" s="144"/>
      <c r="G290" s="146"/>
    </row>
    <row r="291" ht="15.75">
      <c r="E291" s="144"/>
      <c r="G291" s="146"/>
    </row>
    <row r="292" ht="15.75">
      <c r="E292" s="144"/>
      <c r="G292" s="146"/>
    </row>
    <row r="293" ht="15.75">
      <c r="E293" s="144"/>
      <c r="G293" s="146"/>
    </row>
    <row r="294" ht="15.75">
      <c r="E294" s="144"/>
      <c r="G294" s="146"/>
    </row>
    <row r="295" ht="15.75">
      <c r="E295" s="144"/>
      <c r="G295" s="146"/>
    </row>
    <row r="296" ht="15.75">
      <c r="E296" s="144"/>
      <c r="G296" s="146"/>
    </row>
    <row r="297" ht="15.75">
      <c r="E297" s="144"/>
      <c r="G297" s="146"/>
    </row>
    <row r="298" ht="15.75">
      <c r="E298" s="144"/>
      <c r="G298" s="146"/>
    </row>
    <row r="299" ht="15.75">
      <c r="E299" s="144"/>
      <c r="G299" s="146"/>
    </row>
    <row r="300" ht="15.75">
      <c r="E300" s="144"/>
      <c r="G300" s="146"/>
    </row>
    <row r="301" ht="15.75">
      <c r="E301" s="144"/>
      <c r="G301" s="146"/>
    </row>
    <row r="302" ht="15.75">
      <c r="E302" s="144"/>
      <c r="G302" s="146"/>
    </row>
    <row r="303" ht="15.75">
      <c r="E303" s="144"/>
      <c r="G303" s="146"/>
    </row>
    <row r="304" ht="15.75">
      <c r="E304" s="144"/>
      <c r="G304" s="146"/>
    </row>
    <row r="305" ht="15.75">
      <c r="E305" s="144"/>
      <c r="G305" s="146"/>
    </row>
    <row r="306" ht="15.75">
      <c r="E306" s="144"/>
      <c r="G306" s="146"/>
    </row>
    <row r="307" ht="15.75">
      <c r="E307" s="144"/>
      <c r="G307" s="146"/>
    </row>
    <row r="308" ht="15.75">
      <c r="E308" s="144"/>
      <c r="G308" s="146"/>
    </row>
    <row r="309" ht="15.75">
      <c r="E309" s="144"/>
      <c r="G309" s="146"/>
    </row>
    <row r="310" ht="15.75">
      <c r="E310" s="144"/>
      <c r="G310" s="146"/>
    </row>
    <row r="311" ht="15.75">
      <c r="E311" s="144"/>
      <c r="G311" s="146"/>
    </row>
    <row r="312" ht="15.75">
      <c r="E312" s="144"/>
      <c r="G312" s="146"/>
    </row>
    <row r="313" ht="15.75">
      <c r="E313" s="144"/>
      <c r="G313" s="146"/>
    </row>
    <row r="314" ht="15.75">
      <c r="E314" s="144"/>
      <c r="G314" s="146"/>
    </row>
    <row r="315" ht="15.75">
      <c r="E315" s="144"/>
      <c r="G315" s="146"/>
    </row>
    <row r="316" ht="15.75">
      <c r="E316" s="144"/>
      <c r="G316" s="146"/>
    </row>
    <row r="317" ht="15.75">
      <c r="E317" s="144"/>
      <c r="G317" s="146"/>
    </row>
    <row r="318" ht="15.75">
      <c r="E318" s="144"/>
      <c r="G318" s="146"/>
    </row>
    <row r="319" ht="15.75">
      <c r="E319" s="144"/>
      <c r="G319" s="146"/>
    </row>
    <row r="320" ht="15.75">
      <c r="E320" s="144"/>
      <c r="G320" s="146"/>
    </row>
    <row r="321" ht="15.75">
      <c r="E321" s="144"/>
      <c r="G321" s="146"/>
    </row>
    <row r="322" ht="15.75">
      <c r="E322" s="144"/>
      <c r="G322" s="146"/>
    </row>
    <row r="323" ht="15.75">
      <c r="E323" s="144"/>
      <c r="G323" s="146"/>
    </row>
    <row r="324" ht="15.75">
      <c r="E324" s="144"/>
      <c r="G324" s="146"/>
    </row>
    <row r="325" ht="15.75">
      <c r="E325" s="144"/>
      <c r="G325" s="146"/>
    </row>
    <row r="326" ht="15.75">
      <c r="E326" s="144"/>
      <c r="G326" s="146"/>
    </row>
    <row r="327" ht="15.75">
      <c r="E327" s="144"/>
      <c r="G327" s="146"/>
    </row>
    <row r="328" ht="15.75">
      <c r="E328" s="144"/>
      <c r="G328" s="146"/>
    </row>
    <row r="329" ht="15.75">
      <c r="E329" s="144"/>
      <c r="G329" s="146"/>
    </row>
    <row r="330" ht="15.75">
      <c r="E330" s="144"/>
      <c r="G330" s="146"/>
    </row>
    <row r="331" ht="15.75">
      <c r="E331" s="144"/>
      <c r="G331" s="146"/>
    </row>
    <row r="332" ht="15.75">
      <c r="E332" s="144"/>
      <c r="G332" s="146"/>
    </row>
    <row r="333" ht="15.75">
      <c r="E333" s="144"/>
      <c r="G333" s="146"/>
    </row>
    <row r="334" ht="15.75">
      <c r="E334" s="144"/>
      <c r="G334" s="146"/>
    </row>
    <row r="335" ht="15.75">
      <c r="E335" s="144"/>
      <c r="G335" s="146"/>
    </row>
    <row r="336" ht="15.75">
      <c r="E336" s="144"/>
      <c r="G336" s="146"/>
    </row>
    <row r="337" ht="15.75">
      <c r="E337" s="144"/>
      <c r="G337" s="146"/>
    </row>
    <row r="338" ht="15.75">
      <c r="E338" s="144"/>
      <c r="G338" s="146"/>
    </row>
    <row r="339" ht="15.75">
      <c r="E339" s="144"/>
      <c r="G339" s="146"/>
    </row>
    <row r="340" ht="15.75">
      <c r="E340" s="144"/>
      <c r="G340" s="146"/>
    </row>
    <row r="341" ht="15.75">
      <c r="E341" s="144"/>
      <c r="G341" s="146"/>
    </row>
    <row r="342" ht="15.75">
      <c r="E342" s="144"/>
      <c r="G342" s="146"/>
    </row>
    <row r="343" ht="15.75">
      <c r="E343" s="144"/>
      <c r="G343" s="146"/>
    </row>
    <row r="344" ht="15.75">
      <c r="E344" s="144"/>
      <c r="G344" s="146"/>
    </row>
    <row r="345" ht="15.75">
      <c r="E345" s="144"/>
      <c r="G345" s="146"/>
    </row>
    <row r="346" ht="15.75">
      <c r="E346" s="144"/>
      <c r="G346" s="146"/>
    </row>
    <row r="347" ht="15.75">
      <c r="E347" s="144"/>
      <c r="G347" s="146"/>
    </row>
    <row r="348" ht="15.75">
      <c r="E348" s="144"/>
      <c r="G348" s="146"/>
    </row>
    <row r="349" ht="15.75">
      <c r="E349" s="144"/>
      <c r="G349" s="146"/>
    </row>
    <row r="350" ht="15.75">
      <c r="E350" s="144"/>
      <c r="G350" s="146"/>
    </row>
    <row r="351" ht="15.75">
      <c r="E351" s="144"/>
      <c r="G351" s="146"/>
    </row>
    <row r="352" ht="15.75">
      <c r="E352" s="144"/>
      <c r="G352" s="146"/>
    </row>
    <row r="353" ht="15.75">
      <c r="E353" s="144"/>
      <c r="G353" s="146"/>
    </row>
    <row r="354" ht="15.75">
      <c r="E354" s="144"/>
      <c r="G354" s="146"/>
    </row>
    <row r="355" ht="15.75">
      <c r="E355" s="144"/>
      <c r="G355" s="146"/>
    </row>
    <row r="356" ht="15.75">
      <c r="E356" s="144"/>
      <c r="G356" s="146"/>
    </row>
    <row r="357" ht="15.75">
      <c r="E357" s="144"/>
      <c r="G357" s="146"/>
    </row>
    <row r="358" ht="15.75">
      <c r="E358" s="144"/>
      <c r="G358" s="146"/>
    </row>
    <row r="359" ht="15.75">
      <c r="E359" s="144"/>
      <c r="G359" s="146"/>
    </row>
    <row r="360" ht="15.75">
      <c r="E360" s="144"/>
      <c r="G360" s="146"/>
    </row>
    <row r="361" ht="15.75">
      <c r="E361" s="144"/>
      <c r="G361" s="146"/>
    </row>
    <row r="362" ht="15.75">
      <c r="E362" s="144"/>
      <c r="G362" s="146"/>
    </row>
    <row r="363" ht="15.75">
      <c r="E363" s="144"/>
      <c r="G363" s="146"/>
    </row>
    <row r="364" ht="15.75">
      <c r="E364" s="144"/>
      <c r="G364" s="146"/>
    </row>
    <row r="365" ht="15.75">
      <c r="E365" s="144"/>
      <c r="G365" s="146"/>
    </row>
    <row r="366" ht="15.75">
      <c r="E366" s="144"/>
      <c r="G366" s="146"/>
    </row>
    <row r="367" ht="15.75">
      <c r="E367" s="144"/>
      <c r="G367" s="146"/>
    </row>
    <row r="368" ht="15.75">
      <c r="E368" s="144"/>
      <c r="G368" s="146"/>
    </row>
    <row r="369" ht="15.75">
      <c r="E369" s="144"/>
      <c r="G369" s="146"/>
    </row>
    <row r="370" ht="15.75">
      <c r="E370" s="144"/>
      <c r="G370" s="146"/>
    </row>
    <row r="371" ht="15.75">
      <c r="E371" s="144"/>
      <c r="G371" s="146"/>
    </row>
    <row r="372" ht="15.75">
      <c r="E372" s="144"/>
      <c r="G372" s="146"/>
    </row>
    <row r="373" ht="15.75">
      <c r="E373" s="144"/>
      <c r="G373" s="146"/>
    </row>
    <row r="374" ht="15.75">
      <c r="E374" s="144"/>
      <c r="G374" s="146"/>
    </row>
    <row r="375" ht="15.75">
      <c r="E375" s="144"/>
      <c r="G375" s="146"/>
    </row>
    <row r="376" ht="15.75">
      <c r="E376" s="144"/>
      <c r="G376" s="146"/>
    </row>
    <row r="377" ht="15.75">
      <c r="E377" s="144"/>
      <c r="G377" s="146"/>
    </row>
    <row r="378" ht="15.75">
      <c r="E378" s="144"/>
      <c r="G378" s="146"/>
    </row>
    <row r="379" ht="15.75">
      <c r="E379" s="144"/>
      <c r="G379" s="146"/>
    </row>
    <row r="380" ht="15.75">
      <c r="E380" s="144"/>
      <c r="G380" s="146"/>
    </row>
    <row r="381" ht="15.75">
      <c r="E381" s="144"/>
      <c r="G381" s="146"/>
    </row>
    <row r="382" ht="15.75">
      <c r="E382" s="144"/>
      <c r="G382" s="146"/>
    </row>
    <row r="383" ht="15.75">
      <c r="E383" s="144"/>
      <c r="G383" s="146"/>
    </row>
    <row r="384" ht="15.75">
      <c r="E384" s="144"/>
      <c r="G384" s="146"/>
    </row>
    <row r="385" ht="15.75">
      <c r="E385" s="144"/>
      <c r="G385" s="146"/>
    </row>
    <row r="386" ht="15.75">
      <c r="E386" s="144"/>
      <c r="G386" s="146"/>
    </row>
    <row r="387" ht="15.75">
      <c r="E387" s="144"/>
      <c r="G387" s="146"/>
    </row>
    <row r="388" ht="15.75">
      <c r="E388" s="144"/>
      <c r="G388" s="146"/>
    </row>
    <row r="389" ht="15.75">
      <c r="E389" s="144"/>
      <c r="G389" s="146"/>
    </row>
    <row r="390" ht="15.75">
      <c r="E390" s="144"/>
      <c r="G390" s="146"/>
    </row>
    <row r="391" ht="15.75">
      <c r="E391" s="144"/>
      <c r="G391" s="146"/>
    </row>
    <row r="392" ht="15.75">
      <c r="E392" s="144"/>
      <c r="G392" s="146"/>
    </row>
    <row r="393" ht="15.75">
      <c r="E393" s="144"/>
      <c r="G393" s="146"/>
    </row>
    <row r="394" ht="15.75">
      <c r="E394" s="144"/>
      <c r="G394" s="146"/>
    </row>
    <row r="395" ht="15.75">
      <c r="E395" s="144"/>
      <c r="G395" s="146"/>
    </row>
    <row r="396" ht="15.75">
      <c r="E396" s="144"/>
      <c r="G396" s="146"/>
    </row>
    <row r="397" ht="15.75">
      <c r="E397" s="144"/>
      <c r="G397" s="146"/>
    </row>
    <row r="398" ht="15.75">
      <c r="E398" s="144"/>
      <c r="G398" s="146"/>
    </row>
    <row r="399" ht="15.75">
      <c r="E399" s="144"/>
      <c r="G399" s="146"/>
    </row>
    <row r="400" ht="15.75">
      <c r="E400" s="144"/>
      <c r="G400" s="146"/>
    </row>
    <row r="401" ht="15.75">
      <c r="E401" s="144"/>
      <c r="G401" s="146"/>
    </row>
    <row r="402" ht="15.75">
      <c r="E402" s="144"/>
      <c r="G402" s="146"/>
    </row>
    <row r="403" ht="15.75">
      <c r="E403" s="144"/>
      <c r="G403" s="146"/>
    </row>
    <row r="404" ht="15.75">
      <c r="E404" s="144"/>
      <c r="G404" s="146"/>
    </row>
    <row r="405" ht="15.75">
      <c r="E405" s="144"/>
      <c r="G405" s="146"/>
    </row>
    <row r="406" ht="15.75">
      <c r="E406" s="144"/>
      <c r="G406" s="146"/>
    </row>
    <row r="407" ht="15.75">
      <c r="E407" s="144"/>
      <c r="G407" s="146"/>
    </row>
    <row r="408" ht="15.75">
      <c r="E408" s="144"/>
      <c r="G408" s="146"/>
    </row>
    <row r="409" ht="15.75">
      <c r="E409" s="144"/>
      <c r="G409" s="146"/>
    </row>
    <row r="410" ht="15.75">
      <c r="E410" s="144"/>
      <c r="G410" s="146"/>
    </row>
    <row r="411" ht="15.75">
      <c r="E411" s="144"/>
      <c r="G411" s="146"/>
    </row>
    <row r="412" ht="15.75">
      <c r="E412" s="144"/>
      <c r="G412" s="146"/>
    </row>
    <row r="413" ht="15.75">
      <c r="E413" s="144"/>
      <c r="G413" s="146"/>
    </row>
    <row r="414" ht="15.75">
      <c r="E414" s="144"/>
      <c r="G414" s="146"/>
    </row>
    <row r="415" ht="15.75">
      <c r="E415" s="144"/>
      <c r="G415" s="146"/>
    </row>
    <row r="416" ht="15.75">
      <c r="E416" s="144"/>
      <c r="G416" s="146"/>
    </row>
    <row r="417" ht="15.75">
      <c r="E417" s="144"/>
      <c r="G417" s="146"/>
    </row>
    <row r="418" ht="15.75">
      <c r="E418" s="144"/>
      <c r="G418" s="146"/>
    </row>
    <row r="419" ht="15.75">
      <c r="E419" s="144"/>
      <c r="G419" s="146"/>
    </row>
    <row r="420" ht="15.75">
      <c r="E420" s="144"/>
      <c r="G420" s="146"/>
    </row>
    <row r="421" ht="15.75">
      <c r="E421" s="144"/>
      <c r="G421" s="146"/>
    </row>
    <row r="422" ht="15.75">
      <c r="E422" s="144"/>
      <c r="G422" s="146"/>
    </row>
    <row r="423" ht="15.75">
      <c r="E423" s="144"/>
      <c r="G423" s="146"/>
    </row>
    <row r="424" ht="15.75">
      <c r="E424" s="144"/>
      <c r="G424" s="146"/>
    </row>
    <row r="425" ht="15.75">
      <c r="E425" s="144"/>
      <c r="G425" s="146"/>
    </row>
    <row r="426" ht="15.75">
      <c r="E426" s="144"/>
      <c r="G426" s="146"/>
    </row>
    <row r="427" ht="15.75">
      <c r="E427" s="144"/>
      <c r="G427" s="146"/>
    </row>
    <row r="428" ht="15.75">
      <c r="E428" s="144"/>
      <c r="G428" s="146"/>
    </row>
    <row r="429" ht="15.75">
      <c r="E429" s="144"/>
      <c r="G429" s="146"/>
    </row>
    <row r="430" ht="15.75">
      <c r="E430" s="144"/>
      <c r="G430" s="146"/>
    </row>
    <row r="431" ht="15.75">
      <c r="E431" s="144"/>
      <c r="G431" s="146"/>
    </row>
    <row r="432" ht="15.75">
      <c r="E432" s="144"/>
      <c r="G432" s="146"/>
    </row>
    <row r="433" ht="15.75">
      <c r="E433" s="144"/>
      <c r="G433" s="146"/>
    </row>
    <row r="434" ht="15.75">
      <c r="E434" s="144"/>
      <c r="G434" s="146"/>
    </row>
    <row r="435" ht="15.75">
      <c r="E435" s="144"/>
      <c r="G435" s="146"/>
    </row>
    <row r="436" ht="15.75">
      <c r="E436" s="144"/>
      <c r="G436" s="146"/>
    </row>
    <row r="437" ht="15.75">
      <c r="E437" s="144"/>
      <c r="G437" s="146"/>
    </row>
    <row r="438" ht="15.75">
      <c r="E438" s="144"/>
      <c r="G438" s="146"/>
    </row>
    <row r="439" ht="15.75">
      <c r="E439" s="144"/>
      <c r="G439" s="146"/>
    </row>
    <row r="440" ht="15.75">
      <c r="E440" s="144"/>
      <c r="G440" s="146"/>
    </row>
    <row r="441" ht="15.75">
      <c r="E441" s="144"/>
      <c r="G441" s="146"/>
    </row>
    <row r="442" ht="15.75">
      <c r="E442" s="144"/>
      <c r="G442" s="146"/>
    </row>
    <row r="443" ht="15.75">
      <c r="E443" s="144"/>
      <c r="G443" s="146"/>
    </row>
    <row r="444" ht="15.75">
      <c r="E444" s="144"/>
      <c r="G444" s="146"/>
    </row>
    <row r="445" ht="15.75">
      <c r="E445" s="144"/>
      <c r="G445" s="146"/>
    </row>
    <row r="446" ht="15.75">
      <c r="E446" s="144"/>
      <c r="G446" s="146"/>
    </row>
    <row r="447" ht="15.75">
      <c r="E447" s="144"/>
      <c r="G447" s="146"/>
    </row>
    <row r="448" ht="15.75">
      <c r="E448" s="144"/>
      <c r="G448" s="146"/>
    </row>
    <row r="449" ht="15.75">
      <c r="E449" s="144"/>
      <c r="G449" s="146"/>
    </row>
    <row r="450" ht="15.75">
      <c r="E450" s="144"/>
      <c r="G450" s="146"/>
    </row>
    <row r="451" ht="15.75">
      <c r="E451" s="144"/>
      <c r="G451" s="146"/>
    </row>
    <row r="452" ht="15.75">
      <c r="E452" s="144"/>
      <c r="G452" s="146"/>
    </row>
    <row r="453" ht="15.75">
      <c r="E453" s="144"/>
      <c r="G453" s="146"/>
    </row>
    <row r="454" ht="15.75">
      <c r="E454" s="144"/>
      <c r="G454" s="146"/>
    </row>
    <row r="455" ht="15.75">
      <c r="E455" s="144"/>
      <c r="G455" s="146"/>
    </row>
    <row r="456" ht="15.75">
      <c r="E456" s="144"/>
      <c r="G456" s="146"/>
    </row>
    <row r="457" ht="15.75">
      <c r="E457" s="144"/>
      <c r="G457" s="146"/>
    </row>
    <row r="458" ht="15.75">
      <c r="E458" s="144"/>
      <c r="G458" s="146"/>
    </row>
    <row r="459" ht="15.75">
      <c r="E459" s="144"/>
      <c r="G459" s="146"/>
    </row>
    <row r="460" ht="15.75">
      <c r="E460" s="144"/>
      <c r="G460" s="146"/>
    </row>
    <row r="461" ht="15.75">
      <c r="E461" s="144"/>
      <c r="G461" s="146"/>
    </row>
    <row r="462" ht="15.75">
      <c r="E462" s="144"/>
      <c r="G462" s="146"/>
    </row>
    <row r="463" ht="15.75">
      <c r="E463" s="144"/>
      <c r="G463" s="146"/>
    </row>
    <row r="464" ht="15.75">
      <c r="E464" s="144"/>
      <c r="G464" s="146"/>
    </row>
    <row r="465" ht="15.75">
      <c r="E465" s="144"/>
      <c r="G465" s="146"/>
    </row>
    <row r="466" ht="15.75">
      <c r="E466" s="144"/>
      <c r="G466" s="146"/>
    </row>
    <row r="467" ht="15.75">
      <c r="E467" s="144"/>
      <c r="G467" s="146"/>
    </row>
    <row r="468" ht="15.75">
      <c r="E468" s="144"/>
      <c r="G468" s="146"/>
    </row>
    <row r="469" ht="15.75">
      <c r="E469" s="144"/>
      <c r="G469" s="146"/>
    </row>
    <row r="470" ht="15.75">
      <c r="E470" s="144"/>
      <c r="G470" s="146"/>
    </row>
    <row r="471" ht="15.75">
      <c r="E471" s="144"/>
      <c r="G471" s="146"/>
    </row>
    <row r="472" ht="15.75">
      <c r="E472" s="144"/>
      <c r="G472" s="146"/>
    </row>
    <row r="473" ht="15.75">
      <c r="E473" s="144"/>
      <c r="G473" s="146"/>
    </row>
    <row r="474" ht="15.75">
      <c r="E474" s="144"/>
      <c r="G474" s="146"/>
    </row>
    <row r="475" ht="15.75">
      <c r="E475" s="144"/>
      <c r="G475" s="146"/>
    </row>
    <row r="476" ht="15.75">
      <c r="E476" s="144"/>
      <c r="G476" s="146"/>
    </row>
    <row r="477" ht="15.75">
      <c r="E477" s="144"/>
      <c r="G477" s="146"/>
    </row>
    <row r="478" ht="15.75">
      <c r="E478" s="144"/>
      <c r="G478" s="146"/>
    </row>
    <row r="479" ht="15.75">
      <c r="E479" s="144"/>
      <c r="G479" s="146"/>
    </row>
    <row r="480" ht="15.75">
      <c r="E480" s="144"/>
      <c r="G480" s="146"/>
    </row>
    <row r="481" ht="15.75">
      <c r="E481" s="144"/>
      <c r="G481" s="146"/>
    </row>
    <row r="482" ht="15.75">
      <c r="E482" s="144"/>
      <c r="G482" s="146"/>
    </row>
    <row r="483" ht="15.75">
      <c r="E483" s="144"/>
      <c r="G483" s="146"/>
    </row>
    <row r="484" ht="15.75">
      <c r="E484" s="144"/>
      <c r="G484" s="146"/>
    </row>
    <row r="485" ht="15.75">
      <c r="E485" s="144"/>
      <c r="G485" s="146"/>
    </row>
    <row r="486" ht="15.75">
      <c r="E486" s="144"/>
      <c r="G486" s="146"/>
    </row>
    <row r="487" ht="15.75">
      <c r="E487" s="144"/>
      <c r="G487" s="146"/>
    </row>
    <row r="488" ht="15.75">
      <c r="E488" s="144"/>
      <c r="G488" s="146"/>
    </row>
    <row r="489" ht="15.75">
      <c r="E489" s="144"/>
      <c r="G489" s="146"/>
    </row>
    <row r="490" ht="15.75">
      <c r="E490" s="144"/>
      <c r="G490" s="146"/>
    </row>
    <row r="491" ht="15.75">
      <c r="E491" s="144"/>
      <c r="G491" s="146"/>
    </row>
    <row r="492" ht="15.75">
      <c r="E492" s="144"/>
      <c r="G492" s="146"/>
    </row>
    <row r="493" ht="15.75">
      <c r="E493" s="144"/>
      <c r="G493" s="146"/>
    </row>
    <row r="494" ht="15.75">
      <c r="E494" s="144"/>
      <c r="G494" s="146"/>
    </row>
    <row r="495" ht="15.75">
      <c r="E495" s="144"/>
      <c r="G495" s="146"/>
    </row>
    <row r="496" ht="15.75">
      <c r="E496" s="144"/>
      <c r="G496" s="146"/>
    </row>
    <row r="497" ht="15.75">
      <c r="E497" s="144"/>
      <c r="G497" s="146"/>
    </row>
    <row r="498" ht="15.75">
      <c r="E498" s="144"/>
      <c r="G498" s="146"/>
    </row>
    <row r="499" ht="15.75">
      <c r="E499" s="144"/>
      <c r="G499" s="146"/>
    </row>
    <row r="500" ht="15.75">
      <c r="E500" s="144"/>
      <c r="G500" s="146"/>
    </row>
    <row r="501" ht="15.75">
      <c r="E501" s="144"/>
      <c r="G501" s="146"/>
    </row>
    <row r="502" ht="15.75">
      <c r="E502" s="144"/>
      <c r="G502" s="146"/>
    </row>
    <row r="503" ht="15.75">
      <c r="E503" s="144"/>
      <c r="G503" s="146"/>
    </row>
    <row r="504" ht="15.75">
      <c r="E504" s="144"/>
      <c r="G504" s="146"/>
    </row>
    <row r="505" ht="15.75">
      <c r="E505" s="144"/>
      <c r="G505" s="146"/>
    </row>
    <row r="506" ht="15.75">
      <c r="E506" s="144"/>
      <c r="G506" s="146"/>
    </row>
    <row r="507" ht="15.75">
      <c r="E507" s="144"/>
      <c r="G507" s="146"/>
    </row>
    <row r="508" ht="15.75">
      <c r="E508" s="144"/>
      <c r="G508" s="146"/>
    </row>
    <row r="509" ht="15.75">
      <c r="E509" s="144"/>
      <c r="G509" s="146"/>
    </row>
    <row r="510" ht="15.75">
      <c r="E510" s="144"/>
      <c r="G510" s="146"/>
    </row>
    <row r="511" ht="15.75">
      <c r="E511" s="144"/>
      <c r="G511" s="146"/>
    </row>
    <row r="512" ht="15.75">
      <c r="E512" s="144"/>
      <c r="G512" s="146"/>
    </row>
    <row r="513" ht="15.75">
      <c r="E513" s="144"/>
      <c r="G513" s="146"/>
    </row>
    <row r="514" ht="15.75">
      <c r="E514" s="144"/>
      <c r="G514" s="146"/>
    </row>
    <row r="515" ht="15.75">
      <c r="E515" s="144"/>
      <c r="G515" s="146"/>
    </row>
    <row r="516" ht="15.75">
      <c r="E516" s="144"/>
      <c r="G516" s="146"/>
    </row>
    <row r="517" ht="15.75">
      <c r="E517" s="144"/>
      <c r="G517" s="146"/>
    </row>
    <row r="518" ht="15.75">
      <c r="E518" s="144"/>
      <c r="G518" s="146"/>
    </row>
    <row r="519" ht="15.75">
      <c r="E519" s="144"/>
      <c r="G519" s="146"/>
    </row>
    <row r="520" ht="15.75">
      <c r="E520" s="144"/>
      <c r="G520" s="146"/>
    </row>
    <row r="521" ht="15.75">
      <c r="E521" s="144"/>
      <c r="G521" s="146"/>
    </row>
    <row r="522" ht="15.75">
      <c r="E522" s="144"/>
      <c r="G522" s="146"/>
    </row>
    <row r="523" ht="15.75">
      <c r="E523" s="144"/>
      <c r="G523" s="146"/>
    </row>
    <row r="524" ht="15.75">
      <c r="E524" s="144"/>
      <c r="G524" s="146"/>
    </row>
    <row r="525" ht="15.75">
      <c r="E525" s="144"/>
      <c r="G525" s="146"/>
    </row>
    <row r="526" ht="15.75">
      <c r="E526" s="144"/>
      <c r="G526" s="146"/>
    </row>
    <row r="527" ht="15.75">
      <c r="E527" s="144"/>
      <c r="G527" s="146"/>
    </row>
    <row r="528" ht="15.75">
      <c r="E528" s="144"/>
      <c r="G528" s="146"/>
    </row>
    <row r="529" ht="15.75">
      <c r="E529" s="144"/>
      <c r="G529" s="146"/>
    </row>
    <row r="530" ht="15.75">
      <c r="E530" s="144"/>
      <c r="G530" s="146"/>
    </row>
    <row r="531" ht="15.75">
      <c r="E531" s="144"/>
      <c r="G531" s="146"/>
    </row>
    <row r="532" ht="15.75">
      <c r="E532" s="144"/>
      <c r="G532" s="146"/>
    </row>
    <row r="533" ht="15.75">
      <c r="E533" s="144"/>
      <c r="G533" s="146"/>
    </row>
    <row r="534" ht="15.75">
      <c r="E534" s="144"/>
      <c r="G534" s="146"/>
    </row>
    <row r="535" ht="15.75">
      <c r="E535" s="144"/>
      <c r="G535" s="146"/>
    </row>
    <row r="536" ht="15.75">
      <c r="E536" s="144"/>
      <c r="G536" s="146"/>
    </row>
    <row r="537" ht="15.75">
      <c r="E537" s="144"/>
      <c r="G537" s="146"/>
    </row>
    <row r="538" ht="15.75">
      <c r="E538" s="144"/>
      <c r="G538" s="146"/>
    </row>
    <row r="539" ht="15.75">
      <c r="E539" s="144"/>
      <c r="G539" s="146"/>
    </row>
    <row r="540" ht="15.75">
      <c r="E540" s="144"/>
      <c r="G540" s="146"/>
    </row>
    <row r="541" ht="15.75">
      <c r="E541" s="144"/>
      <c r="G541" s="146"/>
    </row>
    <row r="542" ht="15.75">
      <c r="E542" s="144"/>
      <c r="G542" s="146"/>
    </row>
    <row r="543" ht="15.75">
      <c r="E543" s="144"/>
      <c r="G543" s="146"/>
    </row>
    <row r="544" ht="15.75">
      <c r="E544" s="144"/>
      <c r="G544" s="146"/>
    </row>
    <row r="545" ht="15.75">
      <c r="E545" s="144"/>
      <c r="G545" s="146"/>
    </row>
    <row r="546" ht="15.75">
      <c r="E546" s="144"/>
      <c r="G546" s="146"/>
    </row>
    <row r="547" ht="15.75">
      <c r="E547" s="144"/>
      <c r="G547" s="146"/>
    </row>
    <row r="548" ht="15.75">
      <c r="E548" s="144"/>
      <c r="G548" s="146"/>
    </row>
    <row r="549" ht="15.75">
      <c r="E549" s="144"/>
      <c r="G549" s="146"/>
    </row>
    <row r="550" ht="15.75">
      <c r="E550" s="144"/>
      <c r="G550" s="146"/>
    </row>
    <row r="551" ht="15.75">
      <c r="E551" s="144"/>
      <c r="G551" s="146"/>
    </row>
    <row r="552" ht="15.75">
      <c r="E552" s="144"/>
      <c r="G552" s="146"/>
    </row>
    <row r="553" ht="15.75">
      <c r="E553" s="144"/>
      <c r="G553" s="146"/>
    </row>
    <row r="554" ht="15.75">
      <c r="E554" s="144"/>
      <c r="G554" s="146"/>
    </row>
    <row r="555" ht="15.75">
      <c r="E555" s="144"/>
      <c r="G555" s="146"/>
    </row>
    <row r="556" ht="15.75">
      <c r="E556" s="144"/>
      <c r="G556" s="146"/>
    </row>
    <row r="557" ht="15.75">
      <c r="E557" s="144"/>
      <c r="G557" s="146"/>
    </row>
    <row r="558" ht="15.75">
      <c r="E558" s="144"/>
      <c r="G558" s="146"/>
    </row>
    <row r="559" ht="15.75">
      <c r="E559" s="144"/>
      <c r="G559" s="146"/>
    </row>
    <row r="560" ht="15.75">
      <c r="E560" s="144"/>
      <c r="G560" s="146"/>
    </row>
    <row r="561" ht="15.75">
      <c r="E561" s="144"/>
      <c r="G561" s="146"/>
    </row>
    <row r="562" ht="15.75">
      <c r="E562" s="144"/>
      <c r="G562" s="146"/>
    </row>
    <row r="563" ht="15.75">
      <c r="E563" s="144"/>
      <c r="G563" s="146"/>
    </row>
    <row r="564" ht="15.75">
      <c r="E564" s="144"/>
      <c r="G564" s="146"/>
    </row>
    <row r="565" ht="15.75">
      <c r="E565" s="144"/>
      <c r="G565" s="146"/>
    </row>
    <row r="566" ht="15.75">
      <c r="E566" s="144"/>
      <c r="G566" s="146"/>
    </row>
    <row r="567" ht="15.75">
      <c r="E567" s="144"/>
      <c r="G567" s="146"/>
    </row>
    <row r="568" ht="15.75">
      <c r="E568" s="144"/>
      <c r="G568" s="146"/>
    </row>
    <row r="569" ht="15.75">
      <c r="E569" s="144"/>
      <c r="G569" s="146"/>
    </row>
    <row r="570" ht="15.75">
      <c r="E570" s="144"/>
      <c r="G570" s="146"/>
    </row>
    <row r="571" ht="15.75">
      <c r="E571" s="144"/>
      <c r="G571" s="146"/>
    </row>
    <row r="572" ht="15.75">
      <c r="E572" s="144"/>
      <c r="G572" s="146"/>
    </row>
    <row r="573" ht="15.75">
      <c r="E573" s="144"/>
      <c r="G573" s="146"/>
    </row>
    <row r="574" ht="15.75">
      <c r="E574" s="144"/>
      <c r="G574" s="146"/>
    </row>
    <row r="575" ht="15.75">
      <c r="E575" s="144"/>
      <c r="G575" s="146"/>
    </row>
    <row r="576" ht="15.75">
      <c r="E576" s="144"/>
      <c r="G576" s="146"/>
    </row>
    <row r="577" ht="15.75">
      <c r="E577" s="144"/>
      <c r="G577" s="146"/>
    </row>
    <row r="578" ht="15.75">
      <c r="E578" s="144"/>
      <c r="G578" s="146"/>
    </row>
    <row r="579" ht="15.75">
      <c r="E579" s="144"/>
      <c r="G579" s="146"/>
    </row>
    <row r="580" ht="15.75">
      <c r="E580" s="144"/>
      <c r="G580" s="146"/>
    </row>
    <row r="581" ht="15.75">
      <c r="E581" s="144"/>
      <c r="G581" s="146"/>
    </row>
    <row r="582" ht="15.75">
      <c r="E582" s="144"/>
      <c r="G582" s="146"/>
    </row>
    <row r="583" ht="15.75">
      <c r="E583" s="144"/>
      <c r="G583" s="146"/>
    </row>
    <row r="584" ht="15.75">
      <c r="E584" s="144"/>
      <c r="G584" s="146"/>
    </row>
    <row r="585" ht="15.75">
      <c r="E585" s="144"/>
      <c r="G585" s="146"/>
    </row>
    <row r="586" ht="15.75">
      <c r="E586" s="144"/>
      <c r="G586" s="146"/>
    </row>
    <row r="587" ht="15.75">
      <c r="E587" s="144"/>
      <c r="G587" s="146"/>
    </row>
    <row r="588" ht="15.75">
      <c r="E588" s="144"/>
      <c r="G588" s="146"/>
    </row>
    <row r="589" ht="15.75">
      <c r="E589" s="144"/>
      <c r="G589" s="146"/>
    </row>
    <row r="590" ht="15.75">
      <c r="E590" s="144"/>
      <c r="G590" s="146"/>
    </row>
    <row r="591" ht="15.75">
      <c r="E591" s="144"/>
      <c r="G591" s="146"/>
    </row>
    <row r="592" ht="15.75">
      <c r="E592" s="144"/>
      <c r="G592" s="146"/>
    </row>
    <row r="593" ht="15.75">
      <c r="E593" s="144"/>
      <c r="G593" s="146"/>
    </row>
    <row r="594" ht="15.75">
      <c r="E594" s="144"/>
      <c r="G594" s="146"/>
    </row>
    <row r="595" ht="15.75">
      <c r="E595" s="144"/>
      <c r="G595" s="146"/>
    </row>
    <row r="596" ht="15.75">
      <c r="E596" s="144"/>
      <c r="G596" s="146"/>
    </row>
    <row r="597" ht="15.75">
      <c r="E597" s="144"/>
      <c r="G597" s="146"/>
    </row>
    <row r="598" ht="15.75">
      <c r="E598" s="144"/>
      <c r="G598" s="146"/>
    </row>
    <row r="599" ht="15.75">
      <c r="E599" s="144"/>
      <c r="G599" s="146"/>
    </row>
    <row r="600" ht="15.75">
      <c r="E600" s="144"/>
      <c r="G600" s="146"/>
    </row>
    <row r="601" ht="15.75">
      <c r="E601" s="144"/>
      <c r="G601" s="146"/>
    </row>
    <row r="602" ht="15.75">
      <c r="E602" s="144"/>
      <c r="G602" s="146"/>
    </row>
    <row r="603" ht="15.75">
      <c r="E603" s="144"/>
      <c r="G603" s="146"/>
    </row>
    <row r="604" ht="15.75">
      <c r="E604" s="144"/>
      <c r="G604" s="146"/>
    </row>
    <row r="605" ht="15.75">
      <c r="E605" s="144"/>
      <c r="G605" s="146"/>
    </row>
    <row r="606" ht="15.75">
      <c r="E606" s="144"/>
      <c r="G606" s="146"/>
    </row>
    <row r="607" ht="15.75">
      <c r="E607" s="144"/>
      <c r="G607" s="146"/>
    </row>
    <row r="608" ht="15.75">
      <c r="E608" s="144"/>
      <c r="G608" s="146"/>
    </row>
    <row r="609" ht="15.75">
      <c r="E609" s="144"/>
      <c r="G609" s="146"/>
    </row>
    <row r="610" ht="15.75">
      <c r="E610" s="144"/>
      <c r="G610" s="146"/>
    </row>
    <row r="611" ht="15.75">
      <c r="E611" s="144"/>
      <c r="G611" s="146"/>
    </row>
    <row r="612" ht="15.75">
      <c r="E612" s="144"/>
      <c r="G612" s="146"/>
    </row>
    <row r="613" ht="15.75">
      <c r="E613" s="144"/>
      <c r="G613" s="146"/>
    </row>
    <row r="614" ht="15.75">
      <c r="E614" s="144"/>
      <c r="G614" s="146"/>
    </row>
    <row r="615" ht="15.75">
      <c r="E615" s="144"/>
      <c r="G615" s="146"/>
    </row>
    <row r="616" ht="15.75">
      <c r="E616" s="144"/>
      <c r="G616" s="146"/>
    </row>
    <row r="617" ht="15.75">
      <c r="E617" s="144"/>
      <c r="G617" s="146"/>
    </row>
    <row r="618" ht="15.75">
      <c r="E618" s="144"/>
      <c r="G618" s="146"/>
    </row>
    <row r="619" ht="15.75">
      <c r="E619" s="144"/>
      <c r="G619" s="146"/>
    </row>
    <row r="620" ht="15.75">
      <c r="E620" s="144"/>
      <c r="G620" s="146"/>
    </row>
    <row r="621" ht="15.75">
      <c r="E621" s="144"/>
      <c r="G621" s="146"/>
    </row>
    <row r="622" ht="15.75">
      <c r="E622" s="144"/>
      <c r="G622" s="146"/>
    </row>
    <row r="623" ht="15.75">
      <c r="E623" s="144"/>
      <c r="G623" s="146"/>
    </row>
    <row r="624" ht="15.75">
      <c r="E624" s="144"/>
      <c r="G624" s="146"/>
    </row>
    <row r="625" ht="15.75">
      <c r="E625" s="144"/>
      <c r="G625" s="146"/>
    </row>
    <row r="626" ht="15.75">
      <c r="E626" s="144"/>
      <c r="G626" s="146"/>
    </row>
    <row r="627" ht="15.75">
      <c r="E627" s="144"/>
      <c r="G627" s="146"/>
    </row>
    <row r="628" ht="15.75">
      <c r="E628" s="144"/>
      <c r="G628" s="146"/>
    </row>
    <row r="629" ht="15.75">
      <c r="E629" s="144"/>
      <c r="G629" s="146"/>
    </row>
    <row r="630" ht="15.75">
      <c r="E630" s="144"/>
      <c r="G630" s="146"/>
    </row>
    <row r="631" ht="15.75">
      <c r="E631" s="144"/>
      <c r="G631" s="146"/>
    </row>
    <row r="632" ht="15.75">
      <c r="E632" s="144"/>
      <c r="G632" s="146"/>
    </row>
    <row r="633" ht="15.75">
      <c r="E633" s="144"/>
      <c r="G633" s="146"/>
    </row>
    <row r="634" ht="15.75">
      <c r="E634" s="144"/>
      <c r="G634" s="146"/>
    </row>
    <row r="635" ht="15.75">
      <c r="E635" s="144"/>
      <c r="G635" s="146"/>
    </row>
    <row r="636" ht="15.75">
      <c r="E636" s="144"/>
      <c r="G636" s="146"/>
    </row>
    <row r="637" ht="15.75">
      <c r="E637" s="144"/>
      <c r="G637" s="146"/>
    </row>
    <row r="638" ht="15.75">
      <c r="E638" s="144"/>
      <c r="G638" s="146"/>
    </row>
    <row r="639" ht="15.75">
      <c r="E639" s="144"/>
      <c r="G639" s="146"/>
    </row>
    <row r="640" ht="15.75">
      <c r="E640" s="144"/>
      <c r="G640" s="146"/>
    </row>
    <row r="641" ht="15.75">
      <c r="E641" s="144"/>
      <c r="G641" s="146"/>
    </row>
    <row r="642" ht="15.75">
      <c r="E642" s="144"/>
      <c r="G642" s="146"/>
    </row>
    <row r="643" ht="15.75">
      <c r="E643" s="144"/>
      <c r="G643" s="146"/>
    </row>
    <row r="644" ht="15.75">
      <c r="E644" s="144"/>
      <c r="G644" s="146"/>
    </row>
    <row r="645" ht="15.75">
      <c r="E645" s="144"/>
      <c r="G645" s="146"/>
    </row>
    <row r="646" ht="15.75">
      <c r="E646" s="144"/>
      <c r="G646" s="146"/>
    </row>
    <row r="647" ht="15.75">
      <c r="E647" s="144"/>
      <c r="G647" s="146"/>
    </row>
    <row r="648" ht="15.75">
      <c r="E648" s="144"/>
      <c r="G648" s="146"/>
    </row>
    <row r="649" ht="15.75">
      <c r="E649" s="144"/>
      <c r="G649" s="146"/>
    </row>
    <row r="650" ht="15.75">
      <c r="E650" s="144"/>
      <c r="G650" s="146"/>
    </row>
    <row r="651" ht="15.75">
      <c r="E651" s="144"/>
      <c r="G651" s="146"/>
    </row>
    <row r="652" ht="15.75">
      <c r="E652" s="144"/>
      <c r="G652" s="146"/>
    </row>
    <row r="653" ht="15.75">
      <c r="E653" s="144"/>
      <c r="G653" s="146"/>
    </row>
    <row r="654" ht="15.75">
      <c r="E654" s="144"/>
      <c r="G654" s="146"/>
    </row>
    <row r="655" ht="15.75">
      <c r="E655" s="144"/>
      <c r="G655" s="146"/>
    </row>
    <row r="656" ht="15.75">
      <c r="E656" s="144"/>
      <c r="G656" s="146"/>
    </row>
    <row r="657" ht="15.75">
      <c r="E657" s="144"/>
      <c r="G657" s="146"/>
    </row>
    <row r="658" ht="15.75">
      <c r="E658" s="144"/>
      <c r="G658" s="146"/>
    </row>
    <row r="659" ht="15.75">
      <c r="E659" s="144"/>
      <c r="G659" s="146"/>
    </row>
    <row r="660" ht="15.75">
      <c r="E660" s="144"/>
      <c r="G660" s="146"/>
    </row>
    <row r="661" ht="15.75">
      <c r="E661" s="144"/>
      <c r="G661" s="146"/>
    </row>
    <row r="662" ht="15.75">
      <c r="E662" s="144"/>
      <c r="G662" s="146"/>
    </row>
    <row r="663" ht="15.75">
      <c r="E663" s="144"/>
      <c r="G663" s="146"/>
    </row>
    <row r="664" ht="15.75">
      <c r="E664" s="144"/>
      <c r="G664" s="146"/>
    </row>
    <row r="665" ht="15.75">
      <c r="E665" s="144"/>
      <c r="G665" s="146"/>
    </row>
    <row r="666" ht="15.75">
      <c r="E666" s="144"/>
      <c r="G666" s="146"/>
    </row>
    <row r="667" ht="15.75">
      <c r="E667" s="144"/>
      <c r="G667" s="146"/>
    </row>
    <row r="668" ht="15.75">
      <c r="E668" s="144"/>
      <c r="G668" s="146"/>
    </row>
    <row r="669" ht="15.75">
      <c r="E669" s="144"/>
      <c r="G669" s="146"/>
    </row>
    <row r="670" ht="15.75">
      <c r="E670" s="144"/>
      <c r="G670" s="146"/>
    </row>
    <row r="671" ht="15.75">
      <c r="E671" s="144"/>
      <c r="G671" s="146"/>
    </row>
    <row r="672" ht="15.75">
      <c r="E672" s="144"/>
      <c r="G672" s="146"/>
    </row>
    <row r="673" ht="15.75">
      <c r="E673" s="144"/>
      <c r="G673" s="146"/>
    </row>
    <row r="674" ht="15.75">
      <c r="E674" s="144"/>
      <c r="G674" s="146"/>
    </row>
    <row r="675" ht="15.75">
      <c r="E675" s="144"/>
      <c r="G675" s="146"/>
    </row>
    <row r="676" ht="15.75">
      <c r="E676" s="144"/>
      <c r="G676" s="146"/>
    </row>
    <row r="677" ht="15.75">
      <c r="E677" s="144"/>
      <c r="G677" s="146"/>
    </row>
    <row r="678" ht="15.75">
      <c r="E678" s="144"/>
      <c r="G678" s="146"/>
    </row>
    <row r="679" ht="15.75">
      <c r="E679" s="144"/>
      <c r="G679" s="146"/>
    </row>
    <row r="680" ht="15.75">
      <c r="E680" s="144"/>
      <c r="G680" s="146"/>
    </row>
    <row r="681" ht="15.75">
      <c r="E681" s="144"/>
      <c r="G681" s="146"/>
    </row>
    <row r="682" ht="15.75">
      <c r="E682" s="144"/>
      <c r="G682" s="146"/>
    </row>
    <row r="683" ht="15.75">
      <c r="E683" s="144"/>
      <c r="G683" s="146"/>
    </row>
    <row r="684" ht="15.75">
      <c r="E684" s="144"/>
      <c r="G684" s="146"/>
    </row>
    <row r="685" ht="15.75">
      <c r="E685" s="144"/>
      <c r="G685" s="146"/>
    </row>
    <row r="686" ht="15.75">
      <c r="E686" s="144"/>
      <c r="G686" s="146"/>
    </row>
    <row r="687" ht="15.75">
      <c r="E687" s="144"/>
      <c r="G687" s="146"/>
    </row>
    <row r="688" ht="15.75">
      <c r="E688" s="144"/>
      <c r="G688" s="146"/>
    </row>
    <row r="689" ht="15.75">
      <c r="E689" s="144"/>
      <c r="G689" s="146"/>
    </row>
    <row r="690" ht="15.75">
      <c r="E690" s="144"/>
      <c r="G690" s="146"/>
    </row>
    <row r="691" ht="15.75">
      <c r="E691" s="144"/>
      <c r="G691" s="146"/>
    </row>
    <row r="692" ht="15.75">
      <c r="E692" s="144"/>
      <c r="G692" s="146"/>
    </row>
    <row r="693" ht="15.75">
      <c r="E693" s="144"/>
      <c r="G693" s="146"/>
    </row>
    <row r="694" ht="15.75">
      <c r="E694" s="144"/>
      <c r="G694" s="146"/>
    </row>
    <row r="695" ht="15.75">
      <c r="E695" s="144"/>
      <c r="G695" s="146"/>
    </row>
    <row r="696" ht="15.75">
      <c r="E696" s="144"/>
      <c r="G696" s="146"/>
    </row>
    <row r="697" ht="15.75">
      <c r="E697" s="144"/>
      <c r="G697" s="146"/>
    </row>
    <row r="698" ht="15.75">
      <c r="E698" s="144"/>
      <c r="G698" s="146"/>
    </row>
    <row r="699" ht="15.75">
      <c r="E699" s="144"/>
      <c r="G699" s="146"/>
    </row>
    <row r="700" ht="15.75">
      <c r="E700" s="144"/>
      <c r="G700" s="146"/>
    </row>
    <row r="701" ht="15.75">
      <c r="E701" s="144"/>
      <c r="G701" s="146"/>
    </row>
    <row r="702" ht="15.75">
      <c r="E702" s="144"/>
      <c r="G702" s="146"/>
    </row>
    <row r="703" ht="15.75">
      <c r="E703" s="144"/>
      <c r="G703" s="146"/>
    </row>
    <row r="704" ht="15.75">
      <c r="E704" s="144"/>
      <c r="G704" s="146"/>
    </row>
    <row r="705" ht="15.75">
      <c r="E705" s="144"/>
      <c r="G705" s="146"/>
    </row>
    <row r="706" ht="15.75">
      <c r="E706" s="144"/>
      <c r="G706" s="146"/>
    </row>
    <row r="707" ht="15.75">
      <c r="E707" s="144"/>
      <c r="G707" s="146"/>
    </row>
    <row r="708" ht="15.75">
      <c r="E708" s="144"/>
      <c r="G708" s="146"/>
    </row>
    <row r="709" ht="15.75">
      <c r="E709" s="144"/>
      <c r="G709" s="146"/>
    </row>
    <row r="710" ht="15.75">
      <c r="E710" s="144"/>
      <c r="G710" s="146"/>
    </row>
    <row r="711" ht="15.75">
      <c r="E711" s="144"/>
      <c r="G711" s="146"/>
    </row>
    <row r="712" ht="15.75">
      <c r="E712" s="144"/>
      <c r="G712" s="146"/>
    </row>
    <row r="713" ht="15.75">
      <c r="E713" s="144"/>
      <c r="G713" s="146"/>
    </row>
    <row r="714" ht="15.75">
      <c r="E714" s="144"/>
      <c r="G714" s="146"/>
    </row>
    <row r="715" ht="15.75">
      <c r="E715" s="144"/>
      <c r="G715" s="146"/>
    </row>
    <row r="716" ht="15.75">
      <c r="E716" s="144"/>
      <c r="G716" s="146"/>
    </row>
    <row r="717" ht="15.75">
      <c r="E717" s="144"/>
      <c r="G717" s="146"/>
    </row>
    <row r="718" ht="15.75">
      <c r="E718" s="144"/>
      <c r="G718" s="146"/>
    </row>
    <row r="719" ht="15.75">
      <c r="E719" s="144"/>
      <c r="G719" s="146"/>
    </row>
    <row r="720" ht="15.75">
      <c r="E720" s="144"/>
      <c r="G720" s="146"/>
    </row>
    <row r="721" ht="15.75">
      <c r="E721" s="144"/>
      <c r="G721" s="146"/>
    </row>
    <row r="722" ht="15.75">
      <c r="E722" s="144"/>
      <c r="G722" s="146"/>
    </row>
    <row r="723" ht="15.75">
      <c r="E723" s="144"/>
      <c r="G723" s="146"/>
    </row>
    <row r="724" ht="15.75">
      <c r="E724" s="144"/>
      <c r="G724" s="146"/>
    </row>
    <row r="725" ht="15.75">
      <c r="E725" s="144"/>
      <c r="G725" s="146"/>
    </row>
    <row r="726" ht="15.75">
      <c r="E726" s="144"/>
      <c r="G726" s="146"/>
    </row>
    <row r="727" ht="15.75">
      <c r="E727" s="144"/>
      <c r="G727" s="146"/>
    </row>
    <row r="728" ht="15.75">
      <c r="E728" s="144"/>
      <c r="G728" s="146"/>
    </row>
    <row r="729" ht="15.75">
      <c r="E729" s="144"/>
      <c r="G729" s="146"/>
    </row>
    <row r="730" ht="15.75">
      <c r="E730" s="144"/>
      <c r="G730" s="146"/>
    </row>
    <row r="731" ht="15.75">
      <c r="E731" s="144"/>
      <c r="G731" s="146"/>
    </row>
    <row r="732" ht="15.75">
      <c r="E732" s="144"/>
      <c r="G732" s="146"/>
    </row>
    <row r="733" ht="15.75">
      <c r="E733" s="144"/>
      <c r="G733" s="146"/>
    </row>
    <row r="734" ht="15.75">
      <c r="E734" s="144"/>
      <c r="G734" s="146"/>
    </row>
    <row r="735" ht="15.75">
      <c r="E735" s="144"/>
      <c r="G735" s="146"/>
    </row>
    <row r="736" ht="15.75">
      <c r="E736" s="144"/>
      <c r="G736" s="146"/>
    </row>
    <row r="737" ht="15.75">
      <c r="E737" s="144"/>
      <c r="G737" s="146"/>
    </row>
    <row r="738" ht="15.75">
      <c r="E738" s="144"/>
      <c r="G738" s="146"/>
    </row>
    <row r="739" ht="15.75">
      <c r="E739" s="144"/>
      <c r="G739" s="146"/>
    </row>
    <row r="740" ht="15.75">
      <c r="E740" s="144"/>
      <c r="G740" s="146"/>
    </row>
    <row r="741" ht="15.75">
      <c r="E741" s="144"/>
      <c r="G741" s="146"/>
    </row>
    <row r="742" ht="15.75">
      <c r="E742" s="144"/>
      <c r="G742" s="146"/>
    </row>
    <row r="743" ht="15.75">
      <c r="E743" s="144"/>
      <c r="G743" s="146"/>
    </row>
    <row r="744" ht="15.75">
      <c r="E744" s="144"/>
      <c r="G744" s="146"/>
    </row>
    <row r="745" ht="15.75">
      <c r="E745" s="144"/>
      <c r="G745" s="146"/>
    </row>
    <row r="746" ht="15.75">
      <c r="E746" s="144"/>
      <c r="G746" s="146"/>
    </row>
    <row r="747" ht="15.75">
      <c r="E747" s="144"/>
      <c r="G747" s="146"/>
    </row>
    <row r="748" ht="15.75">
      <c r="E748" s="144"/>
      <c r="G748" s="146"/>
    </row>
    <row r="749" ht="15.75">
      <c r="E749" s="144"/>
      <c r="G749" s="146"/>
    </row>
    <row r="750" ht="15.75">
      <c r="E750" s="144"/>
      <c r="G750" s="146"/>
    </row>
    <row r="751" ht="15.75">
      <c r="E751" s="144"/>
      <c r="G751" s="146"/>
    </row>
    <row r="752" ht="15.75">
      <c r="E752" s="144"/>
      <c r="G752" s="146"/>
    </row>
    <row r="753" ht="15.75">
      <c r="E753" s="144"/>
      <c r="G753" s="146"/>
    </row>
    <row r="754" ht="15.75">
      <c r="E754" s="144"/>
      <c r="G754" s="146"/>
    </row>
    <row r="755" ht="15.75">
      <c r="E755" s="144"/>
      <c r="G755" s="146"/>
    </row>
    <row r="756" ht="15.75">
      <c r="E756" s="144"/>
      <c r="G756" s="146"/>
    </row>
    <row r="757" ht="15.75">
      <c r="E757" s="144"/>
      <c r="G757" s="146"/>
    </row>
    <row r="758" ht="15.75">
      <c r="E758" s="144"/>
      <c r="G758" s="146"/>
    </row>
    <row r="759" ht="15.75">
      <c r="E759" s="144"/>
      <c r="G759" s="146"/>
    </row>
    <row r="760" ht="15.75">
      <c r="E760" s="144"/>
      <c r="G760" s="146"/>
    </row>
    <row r="761" ht="15.75">
      <c r="E761" s="144"/>
      <c r="G761" s="146"/>
    </row>
    <row r="762" ht="15.75">
      <c r="E762" s="144"/>
      <c r="G762" s="146"/>
    </row>
    <row r="763" ht="15.75">
      <c r="E763" s="144"/>
      <c r="G763" s="146"/>
    </row>
    <row r="764" ht="15.75">
      <c r="E764" s="144"/>
      <c r="G764" s="146"/>
    </row>
    <row r="765" ht="15.75">
      <c r="E765" s="144"/>
      <c r="G765" s="146"/>
    </row>
    <row r="766" ht="15.75">
      <c r="E766" s="144"/>
      <c r="G766" s="146"/>
    </row>
    <row r="767" ht="15.75">
      <c r="E767" s="144"/>
      <c r="G767" s="146"/>
    </row>
    <row r="768" ht="15.75">
      <c r="E768" s="144"/>
      <c r="G768" s="146"/>
    </row>
    <row r="769" ht="15.75">
      <c r="E769" s="144"/>
      <c r="G769" s="146"/>
    </row>
    <row r="770" ht="15.75">
      <c r="E770" s="144"/>
      <c r="G770" s="146"/>
    </row>
    <row r="771" ht="15.75">
      <c r="E771" s="144"/>
      <c r="G771" s="146"/>
    </row>
    <row r="772" ht="15.75">
      <c r="E772" s="144"/>
      <c r="G772" s="146"/>
    </row>
    <row r="773" ht="15.75">
      <c r="E773" s="144"/>
      <c r="G773" s="146"/>
    </row>
    <row r="774" ht="15.75">
      <c r="E774" s="144"/>
      <c r="G774" s="146"/>
    </row>
    <row r="775" ht="15.75">
      <c r="E775" s="144"/>
      <c r="G775" s="146"/>
    </row>
    <row r="776" ht="15.75">
      <c r="E776" s="144"/>
      <c r="G776" s="146"/>
    </row>
    <row r="777" ht="15.75">
      <c r="E777" s="144"/>
      <c r="G777" s="146"/>
    </row>
    <row r="778" ht="15.75">
      <c r="E778" s="144"/>
      <c r="G778" s="146"/>
    </row>
    <row r="779" ht="15.75">
      <c r="E779" s="144"/>
      <c r="G779" s="146"/>
    </row>
    <row r="780" ht="15.75">
      <c r="E780" s="144"/>
      <c r="G780" s="146"/>
    </row>
    <row r="781" ht="15.75">
      <c r="E781" s="144"/>
      <c r="G781" s="146"/>
    </row>
    <row r="782" ht="15.75">
      <c r="E782" s="144"/>
      <c r="G782" s="146"/>
    </row>
    <row r="783" ht="15.75">
      <c r="E783" s="144"/>
      <c r="G783" s="146"/>
    </row>
    <row r="784" ht="15.75">
      <c r="E784" s="144"/>
      <c r="G784" s="146"/>
    </row>
    <row r="785" ht="15.75">
      <c r="E785" s="144"/>
      <c r="G785" s="146"/>
    </row>
    <row r="786" ht="15.75">
      <c r="E786" s="144"/>
      <c r="G786" s="146"/>
    </row>
    <row r="787" ht="15.75">
      <c r="E787" s="144"/>
      <c r="G787" s="146"/>
    </row>
    <row r="788" ht="15.75">
      <c r="E788" s="144"/>
      <c r="G788" s="146"/>
    </row>
    <row r="789" ht="15.75">
      <c r="E789" s="144"/>
      <c r="G789" s="146"/>
    </row>
    <row r="790" ht="15.75">
      <c r="E790" s="144"/>
      <c r="G790" s="146"/>
    </row>
    <row r="791" ht="15.75">
      <c r="E791" s="144"/>
      <c r="G791" s="146"/>
    </row>
    <row r="792" ht="15.75">
      <c r="E792" s="144"/>
      <c r="G792" s="146"/>
    </row>
    <row r="793" ht="15.75">
      <c r="E793" s="144"/>
      <c r="G793" s="146"/>
    </row>
    <row r="794" ht="15.75">
      <c r="E794" s="144"/>
      <c r="G794" s="146"/>
    </row>
    <row r="795" ht="15.75">
      <c r="E795" s="144"/>
      <c r="G795" s="146"/>
    </row>
    <row r="796" ht="15.75">
      <c r="E796" s="144"/>
      <c r="G796" s="146"/>
    </row>
    <row r="797" ht="15.75">
      <c r="E797" s="144"/>
      <c r="G797" s="146"/>
    </row>
    <row r="798" ht="15.75">
      <c r="E798" s="144"/>
      <c r="G798" s="146"/>
    </row>
    <row r="799" ht="15.75">
      <c r="E799" s="144"/>
      <c r="G799" s="146"/>
    </row>
    <row r="800" ht="15.75">
      <c r="E800" s="144"/>
      <c r="G800" s="146"/>
    </row>
    <row r="801" ht="15.75">
      <c r="E801" s="144"/>
      <c r="G801" s="146"/>
    </row>
    <row r="802" ht="15.75">
      <c r="E802" s="144"/>
      <c r="G802" s="146"/>
    </row>
    <row r="803" ht="15.75">
      <c r="E803" s="144"/>
      <c r="G803" s="146"/>
    </row>
    <row r="804" ht="15.75">
      <c r="E804" s="144"/>
      <c r="G804" s="146"/>
    </row>
    <row r="805" ht="15.75">
      <c r="E805" s="144"/>
      <c r="G805" s="146"/>
    </row>
    <row r="806" ht="15.75">
      <c r="E806" s="144"/>
      <c r="G806" s="146"/>
    </row>
    <row r="807" ht="15.75">
      <c r="E807" s="144"/>
      <c r="G807" s="146"/>
    </row>
    <row r="808" ht="15.75">
      <c r="E808" s="144"/>
      <c r="G808" s="146"/>
    </row>
    <row r="809" ht="15.75">
      <c r="E809" s="144"/>
      <c r="G809" s="146"/>
    </row>
    <row r="810" ht="15.75">
      <c r="E810" s="144"/>
      <c r="G810" s="146"/>
    </row>
    <row r="811" ht="15.75">
      <c r="E811" s="144"/>
      <c r="G811" s="146"/>
    </row>
    <row r="812" ht="15.75">
      <c r="E812" s="144"/>
      <c r="G812" s="146"/>
    </row>
    <row r="813" ht="15.75">
      <c r="E813" s="144"/>
      <c r="G813" s="146"/>
    </row>
    <row r="814" ht="15.75">
      <c r="E814" s="144"/>
      <c r="G814" s="146"/>
    </row>
    <row r="815" ht="15.75">
      <c r="E815" s="144"/>
      <c r="G815" s="146"/>
    </row>
    <row r="816" ht="15.75">
      <c r="E816" s="144"/>
      <c r="G816" s="146"/>
    </row>
    <row r="817" ht="15.75">
      <c r="E817" s="144"/>
      <c r="G817" s="146"/>
    </row>
    <row r="818" ht="15.75">
      <c r="E818" s="144"/>
      <c r="G818" s="146"/>
    </row>
    <row r="819" ht="15.75">
      <c r="E819" s="144"/>
      <c r="G819" s="146"/>
    </row>
    <row r="820" ht="15.75">
      <c r="E820" s="144"/>
      <c r="G820" s="146"/>
    </row>
    <row r="821" ht="15.75">
      <c r="E821" s="144"/>
      <c r="G821" s="146"/>
    </row>
    <row r="822" ht="15.75">
      <c r="E822" s="144"/>
      <c r="G822" s="146"/>
    </row>
    <row r="823" ht="15.75">
      <c r="E823" s="144"/>
      <c r="G823" s="146"/>
    </row>
    <row r="824" ht="15.75">
      <c r="E824" s="144"/>
      <c r="G824" s="146"/>
    </row>
    <row r="825" ht="15.75">
      <c r="E825" s="144"/>
      <c r="G825" s="146"/>
    </row>
    <row r="826" ht="15.75">
      <c r="E826" s="144"/>
      <c r="G826" s="146"/>
    </row>
    <row r="827" ht="15.75">
      <c r="E827" s="144"/>
      <c r="G827" s="146"/>
    </row>
    <row r="828" ht="15.75">
      <c r="E828" s="144"/>
      <c r="G828" s="146"/>
    </row>
    <row r="829" ht="15.75">
      <c r="E829" s="144"/>
      <c r="G829" s="146"/>
    </row>
    <row r="830" ht="15.75">
      <c r="E830" s="144"/>
      <c r="G830" s="146"/>
    </row>
    <row r="831" ht="15.75">
      <c r="E831" s="144"/>
      <c r="G831" s="146"/>
    </row>
    <row r="832" ht="15.75">
      <c r="E832" s="144"/>
      <c r="G832" s="146"/>
    </row>
    <row r="833" ht="15.75">
      <c r="E833" s="144"/>
      <c r="G833" s="146"/>
    </row>
    <row r="834" ht="15.75">
      <c r="E834" s="144"/>
      <c r="G834" s="146"/>
    </row>
    <row r="835" ht="15.75">
      <c r="E835" s="144"/>
      <c r="G835" s="146"/>
    </row>
    <row r="836" ht="15.75">
      <c r="E836" s="144"/>
      <c r="G836" s="146"/>
    </row>
    <row r="837" ht="15.75">
      <c r="E837" s="144"/>
      <c r="G837" s="146"/>
    </row>
    <row r="838" ht="15.75">
      <c r="E838" s="144"/>
      <c r="G838" s="146"/>
    </row>
    <row r="839" ht="15.75">
      <c r="E839" s="144"/>
      <c r="G839" s="146"/>
    </row>
    <row r="840" ht="15.75">
      <c r="E840" s="144"/>
      <c r="G840" s="146"/>
    </row>
    <row r="841" ht="15.75">
      <c r="E841" s="144"/>
      <c r="G841" s="146"/>
    </row>
    <row r="842" ht="15.75">
      <c r="E842" s="144"/>
      <c r="G842" s="146"/>
    </row>
    <row r="843" ht="15.75">
      <c r="E843" s="144"/>
      <c r="G843" s="146"/>
    </row>
    <row r="844" ht="15.75">
      <c r="E844" s="144"/>
      <c r="G844" s="146"/>
    </row>
    <row r="845" ht="15.75">
      <c r="E845" s="144"/>
      <c r="G845" s="146"/>
    </row>
    <row r="846" ht="15.75">
      <c r="E846" s="144"/>
      <c r="G846" s="146"/>
    </row>
    <row r="847" ht="15.75">
      <c r="E847" s="144"/>
      <c r="G847" s="146"/>
    </row>
    <row r="848" ht="15.75">
      <c r="E848" s="144"/>
      <c r="G848" s="146"/>
    </row>
    <row r="849" ht="15.75">
      <c r="E849" s="144"/>
      <c r="G849" s="146"/>
    </row>
    <row r="850" ht="15.75">
      <c r="E850" s="144"/>
      <c r="G850" s="146"/>
    </row>
    <row r="851" ht="15.75">
      <c r="E851" s="144"/>
      <c r="G851" s="146"/>
    </row>
    <row r="852" ht="15.75">
      <c r="E852" s="144"/>
      <c r="G852" s="146"/>
    </row>
    <row r="853" ht="15.75">
      <c r="E853" s="144"/>
      <c r="G853" s="146"/>
    </row>
    <row r="854" ht="15.75">
      <c r="E854" s="144"/>
      <c r="G854" s="146"/>
    </row>
    <row r="855" ht="15.75">
      <c r="E855" s="144"/>
      <c r="G855" s="146"/>
    </row>
    <row r="856" ht="15.75">
      <c r="E856" s="144"/>
      <c r="G856" s="146"/>
    </row>
    <row r="857" ht="15.75">
      <c r="E857" s="144"/>
      <c r="G857" s="146"/>
    </row>
    <row r="858" ht="15.75">
      <c r="E858" s="144"/>
      <c r="G858" s="146"/>
    </row>
    <row r="859" ht="15.75">
      <c r="E859" s="144"/>
      <c r="G859" s="146"/>
    </row>
    <row r="860" ht="15.75">
      <c r="E860" s="144"/>
      <c r="G860" s="146"/>
    </row>
    <row r="861" ht="15.75">
      <c r="E861" s="144"/>
      <c r="G861" s="146"/>
    </row>
    <row r="862" ht="15.75">
      <c r="E862" s="144"/>
      <c r="G862" s="146"/>
    </row>
    <row r="863" ht="15.75">
      <c r="E863" s="144"/>
      <c r="G863" s="146"/>
    </row>
    <row r="864" ht="15.75">
      <c r="E864" s="144"/>
      <c r="G864" s="146"/>
    </row>
    <row r="865" ht="15.75">
      <c r="E865" s="144"/>
      <c r="G865" s="146"/>
    </row>
    <row r="866" ht="15.75">
      <c r="E866" s="144"/>
      <c r="G866" s="146"/>
    </row>
    <row r="867" ht="15.75">
      <c r="E867" s="144"/>
      <c r="G867" s="146"/>
    </row>
    <row r="868" ht="15.75">
      <c r="E868" s="144"/>
      <c r="G868" s="146"/>
    </row>
    <row r="869" ht="15.75">
      <c r="E869" s="144"/>
      <c r="G869" s="146"/>
    </row>
    <row r="870" ht="15.75">
      <c r="E870" s="144"/>
      <c r="G870" s="146"/>
    </row>
    <row r="871" ht="15.75">
      <c r="E871" s="144"/>
      <c r="G871" s="146"/>
    </row>
    <row r="872" ht="15.75">
      <c r="E872" s="144"/>
      <c r="G872" s="146"/>
    </row>
    <row r="873" ht="15.75">
      <c r="E873" s="144"/>
      <c r="G873" s="146"/>
    </row>
    <row r="874" ht="15.75">
      <c r="E874" s="144"/>
      <c r="G874" s="146"/>
    </row>
    <row r="875" ht="15.75">
      <c r="E875" s="144"/>
      <c r="G875" s="146"/>
    </row>
    <row r="876" ht="15.75">
      <c r="E876" s="144"/>
      <c r="G876" s="146"/>
    </row>
    <row r="877" ht="15.75">
      <c r="E877" s="144"/>
      <c r="G877" s="146"/>
    </row>
    <row r="878" ht="15.75">
      <c r="E878" s="144"/>
      <c r="G878" s="146"/>
    </row>
    <row r="879" ht="15.75">
      <c r="E879" s="144"/>
      <c r="G879" s="146"/>
    </row>
    <row r="880" ht="15.75">
      <c r="E880" s="144"/>
      <c r="G880" s="146"/>
    </row>
    <row r="881" ht="15.75">
      <c r="E881" s="144"/>
      <c r="G881" s="146"/>
    </row>
    <row r="882" ht="15.75">
      <c r="E882" s="144"/>
      <c r="G882" s="146"/>
    </row>
    <row r="883" ht="15.75">
      <c r="E883" s="144"/>
      <c r="G883" s="146"/>
    </row>
    <row r="884" ht="15.75">
      <c r="E884" s="144"/>
      <c r="G884" s="146"/>
    </row>
    <row r="885" ht="15.75">
      <c r="E885" s="144"/>
      <c r="G885" s="146"/>
    </row>
    <row r="886" ht="15.75">
      <c r="E886" s="144"/>
      <c r="G886" s="146"/>
    </row>
    <row r="887" ht="15.75">
      <c r="E887" s="144"/>
      <c r="G887" s="146"/>
    </row>
    <row r="888" ht="15.75">
      <c r="E888" s="144"/>
      <c r="G888" s="146"/>
    </row>
    <row r="889" ht="15.75">
      <c r="E889" s="144"/>
      <c r="G889" s="146"/>
    </row>
    <row r="890" ht="15.75">
      <c r="E890" s="144"/>
      <c r="G890" s="146"/>
    </row>
    <row r="891" ht="15.75">
      <c r="E891" s="144"/>
      <c r="G891" s="146"/>
    </row>
    <row r="892" ht="15.75">
      <c r="E892" s="144"/>
      <c r="G892" s="146"/>
    </row>
    <row r="893" ht="15.75">
      <c r="E893" s="144"/>
      <c r="G893" s="146"/>
    </row>
    <row r="894" ht="15.75">
      <c r="E894" s="144"/>
      <c r="G894" s="146"/>
    </row>
    <row r="895" ht="15.75">
      <c r="E895" s="144"/>
      <c r="G895" s="146"/>
    </row>
    <row r="896" ht="15.75">
      <c r="E896" s="144"/>
      <c r="G896" s="146"/>
    </row>
    <row r="897" ht="15.75">
      <c r="E897" s="144"/>
      <c r="G897" s="146"/>
    </row>
    <row r="898" ht="15.75">
      <c r="E898" s="144"/>
      <c r="G898" s="146"/>
    </row>
    <row r="899" ht="15.75">
      <c r="E899" s="144"/>
      <c r="G899" s="146"/>
    </row>
    <row r="900" ht="15.75">
      <c r="E900" s="144"/>
      <c r="G900" s="146"/>
    </row>
    <row r="901" ht="15.75">
      <c r="E901" s="144"/>
      <c r="G901" s="146"/>
    </row>
    <row r="902" ht="15.75">
      <c r="E902" s="144"/>
      <c r="G902" s="146"/>
    </row>
    <row r="903" ht="15.75">
      <c r="E903" s="144"/>
      <c r="G903" s="146"/>
    </row>
    <row r="904" ht="15.75">
      <c r="E904" s="144"/>
      <c r="G904" s="146"/>
    </row>
    <row r="905" ht="15.75">
      <c r="E905" s="144"/>
      <c r="G905" s="146"/>
    </row>
    <row r="906" ht="15.75">
      <c r="E906" s="144"/>
      <c r="G906" s="146"/>
    </row>
    <row r="907" ht="15.75">
      <c r="E907" s="144"/>
      <c r="G907" s="146"/>
    </row>
    <row r="908" ht="15.75">
      <c r="E908" s="144"/>
      <c r="G908" s="146"/>
    </row>
    <row r="909" ht="15.75">
      <c r="E909" s="144"/>
      <c r="G909" s="146"/>
    </row>
    <row r="910" ht="15.75">
      <c r="E910" s="144"/>
      <c r="G910" s="146"/>
    </row>
    <row r="911" ht="15.75">
      <c r="E911" s="144"/>
      <c r="G911" s="146"/>
    </row>
    <row r="912" ht="15.75">
      <c r="E912" s="144"/>
      <c r="G912" s="146"/>
    </row>
    <row r="913" ht="15.75">
      <c r="E913" s="144"/>
      <c r="G913" s="146"/>
    </row>
    <row r="914" ht="15.75">
      <c r="E914" s="144"/>
      <c r="G914" s="146"/>
    </row>
    <row r="915" ht="15.75">
      <c r="E915" s="144"/>
      <c r="G915" s="146"/>
    </row>
    <row r="916" ht="15.75">
      <c r="E916" s="144"/>
      <c r="G916" s="146"/>
    </row>
    <row r="917" ht="15.75">
      <c r="E917" s="144"/>
      <c r="G917" s="146"/>
    </row>
    <row r="918" ht="15.75">
      <c r="E918" s="144"/>
      <c r="G918" s="146"/>
    </row>
    <row r="919" ht="15.75">
      <c r="E919" s="144"/>
      <c r="G919" s="146"/>
    </row>
    <row r="920" ht="15.75">
      <c r="E920" s="144"/>
      <c r="G920" s="146"/>
    </row>
    <row r="921" ht="15.75">
      <c r="E921" s="144"/>
      <c r="G921" s="146"/>
    </row>
    <row r="922" ht="15.75">
      <c r="E922" s="144"/>
      <c r="G922" s="146"/>
    </row>
    <row r="923" ht="15.75">
      <c r="E923" s="144"/>
      <c r="G923" s="146"/>
    </row>
    <row r="924" ht="15.75">
      <c r="E924" s="144"/>
      <c r="G924" s="146"/>
    </row>
    <row r="925" ht="15.75">
      <c r="E925" s="144"/>
      <c r="G925" s="146"/>
    </row>
    <row r="926" ht="15.75">
      <c r="E926" s="144"/>
      <c r="G926" s="146"/>
    </row>
    <row r="927" ht="15.75">
      <c r="E927" s="144"/>
      <c r="G927" s="146"/>
    </row>
    <row r="928" ht="15.75">
      <c r="E928" s="144"/>
      <c r="G928" s="146"/>
    </row>
    <row r="929" ht="15.75">
      <c r="E929" s="144"/>
      <c r="G929" s="146"/>
    </row>
    <row r="930" ht="15.75">
      <c r="E930" s="144"/>
      <c r="G930" s="146"/>
    </row>
    <row r="931" ht="15.75">
      <c r="E931" s="144"/>
      <c r="G931" s="146"/>
    </row>
    <row r="932" ht="15.75">
      <c r="E932" s="144"/>
      <c r="G932" s="146"/>
    </row>
    <row r="933" ht="15.75">
      <c r="E933" s="144"/>
      <c r="G933" s="146"/>
    </row>
    <row r="934" ht="15.75">
      <c r="E934" s="144"/>
      <c r="G934" s="146"/>
    </row>
    <row r="935" ht="15.75">
      <c r="E935" s="144"/>
      <c r="G935" s="146"/>
    </row>
    <row r="936" ht="15.75">
      <c r="E936" s="144"/>
      <c r="G936" s="146"/>
    </row>
    <row r="937" ht="15.75">
      <c r="E937" s="144"/>
      <c r="G937" s="146"/>
    </row>
    <row r="938" ht="15.75">
      <c r="E938" s="144"/>
      <c r="G938" s="146"/>
    </row>
    <row r="939" ht="15.75">
      <c r="E939" s="144"/>
      <c r="G939" s="146"/>
    </row>
    <row r="940" ht="15.75">
      <c r="E940" s="144"/>
      <c r="G940" s="146"/>
    </row>
    <row r="941" ht="15.75">
      <c r="E941" s="144"/>
      <c r="G941" s="146"/>
    </row>
    <row r="942" ht="15.75">
      <c r="E942" s="144"/>
      <c r="G942" s="146"/>
    </row>
    <row r="943" ht="15.75">
      <c r="E943" s="144"/>
      <c r="G943" s="146"/>
    </row>
    <row r="944" ht="15.75">
      <c r="E944" s="144"/>
      <c r="G944" s="146"/>
    </row>
    <row r="945" ht="15.75">
      <c r="E945" s="144"/>
      <c r="G945" s="146"/>
    </row>
    <row r="946" ht="15.75">
      <c r="E946" s="144"/>
      <c r="G946" s="146"/>
    </row>
    <row r="947" ht="15.75">
      <c r="E947" s="144"/>
      <c r="G947" s="146"/>
    </row>
    <row r="948" ht="15.75">
      <c r="E948" s="144"/>
      <c r="G948" s="146"/>
    </row>
    <row r="949" ht="15.75">
      <c r="E949" s="144"/>
      <c r="G949" s="146"/>
    </row>
    <row r="950" ht="15.75">
      <c r="E950" s="144"/>
      <c r="G950" s="146"/>
    </row>
    <row r="951" ht="15.75">
      <c r="E951" s="144"/>
      <c r="G951" s="146"/>
    </row>
    <row r="952" ht="15.75">
      <c r="E952" s="144"/>
      <c r="G952" s="146"/>
    </row>
    <row r="953" ht="15.75">
      <c r="E953" s="144"/>
      <c r="G953" s="146"/>
    </row>
    <row r="954" ht="15.75">
      <c r="E954" s="144"/>
      <c r="G954" s="146"/>
    </row>
    <row r="955" ht="15.75">
      <c r="E955" s="144"/>
      <c r="G955" s="146"/>
    </row>
    <row r="956" ht="15.75">
      <c r="E956" s="144"/>
      <c r="G956" s="146"/>
    </row>
    <row r="957" ht="15.75">
      <c r="E957" s="144"/>
      <c r="G957" s="146"/>
    </row>
    <row r="958" ht="15.75">
      <c r="E958" s="144"/>
      <c r="G958" s="146"/>
    </row>
    <row r="959" ht="15.75">
      <c r="E959" s="144"/>
      <c r="G959" s="146"/>
    </row>
    <row r="960" ht="15.75">
      <c r="E960" s="144"/>
      <c r="G960" s="146"/>
    </row>
    <row r="961" ht="15.75">
      <c r="E961" s="144"/>
      <c r="G961" s="146"/>
    </row>
    <row r="962" ht="15.75">
      <c r="E962" s="144"/>
      <c r="G962" s="146"/>
    </row>
    <row r="963" ht="15.75">
      <c r="E963" s="144"/>
      <c r="G963" s="146"/>
    </row>
    <row r="964" ht="15.75">
      <c r="E964" s="144"/>
      <c r="G964" s="146"/>
    </row>
    <row r="965" ht="15.75">
      <c r="E965" s="144"/>
      <c r="G965" s="146"/>
    </row>
    <row r="966" ht="15.75">
      <c r="E966" s="144"/>
      <c r="G966" s="146"/>
    </row>
    <row r="967" ht="15.75">
      <c r="E967" s="144"/>
      <c r="G967" s="146"/>
    </row>
    <row r="968" ht="15.75">
      <c r="E968" s="144"/>
      <c r="G968" s="146"/>
    </row>
    <row r="969" ht="15.75">
      <c r="E969" s="144"/>
      <c r="G969" s="146"/>
    </row>
    <row r="970" ht="15.75">
      <c r="E970" s="144"/>
      <c r="G970" s="146"/>
    </row>
    <row r="971" ht="15.75">
      <c r="E971" s="144"/>
      <c r="G971" s="146"/>
    </row>
    <row r="972" ht="15.75">
      <c r="E972" s="144"/>
      <c r="G972" s="146"/>
    </row>
    <row r="973" ht="15.75">
      <c r="E973" s="144"/>
      <c r="G973" s="146"/>
    </row>
    <row r="974" ht="15.75">
      <c r="E974" s="144"/>
      <c r="G974" s="146"/>
    </row>
    <row r="975" ht="15.75">
      <c r="E975" s="144"/>
      <c r="G975" s="146"/>
    </row>
    <row r="976" ht="15.75">
      <c r="E976" s="144"/>
      <c r="G976" s="146"/>
    </row>
    <row r="977" ht="15.75">
      <c r="E977" s="144"/>
      <c r="G977" s="146"/>
    </row>
    <row r="978" ht="15.75">
      <c r="E978" s="144"/>
      <c r="G978" s="146"/>
    </row>
    <row r="979" ht="15.75">
      <c r="E979" s="144"/>
      <c r="G979" s="146"/>
    </row>
    <row r="980" ht="15.75">
      <c r="E980" s="144"/>
      <c r="G980" s="146"/>
    </row>
    <row r="981" ht="15.75">
      <c r="E981" s="144"/>
      <c r="G981" s="146"/>
    </row>
    <row r="982" ht="15.75">
      <c r="E982" s="144"/>
      <c r="G982" s="146"/>
    </row>
    <row r="983" ht="15.75">
      <c r="E983" s="144"/>
      <c r="G983" s="146"/>
    </row>
    <row r="984" ht="15.75">
      <c r="E984" s="144"/>
      <c r="G984" s="146"/>
    </row>
    <row r="985" ht="15.75">
      <c r="E985" s="144"/>
      <c r="G985" s="146"/>
    </row>
    <row r="986" ht="15.75">
      <c r="E986" s="144"/>
      <c r="G986" s="146"/>
    </row>
    <row r="987" ht="15.75">
      <c r="E987" s="144"/>
      <c r="G987" s="146"/>
    </row>
    <row r="988" ht="15.75">
      <c r="E988" s="144"/>
      <c r="G988" s="146"/>
    </row>
    <row r="989" ht="15.75">
      <c r="E989" s="144"/>
      <c r="G989" s="146"/>
    </row>
    <row r="990" ht="15.75">
      <c r="E990" s="144"/>
      <c r="G990" s="146"/>
    </row>
    <row r="991" ht="15.75">
      <c r="E991" s="144"/>
      <c r="G991" s="146"/>
    </row>
    <row r="992" ht="15.75">
      <c r="E992" s="144"/>
      <c r="G992" s="146"/>
    </row>
    <row r="993" ht="15.75">
      <c r="E993" s="144"/>
      <c r="G993" s="146"/>
    </row>
    <row r="994" ht="15.75">
      <c r="E994" s="144"/>
      <c r="G994" s="146"/>
    </row>
    <row r="995" ht="15.75">
      <c r="E995" s="144"/>
      <c r="G995" s="146"/>
    </row>
    <row r="996" ht="15.75">
      <c r="E996" s="144"/>
      <c r="G996" s="146"/>
    </row>
    <row r="997" ht="15.75">
      <c r="E997" s="144"/>
      <c r="G997" s="146"/>
    </row>
    <row r="998" ht="15.75">
      <c r="E998" s="144"/>
      <c r="G998" s="146"/>
    </row>
    <row r="999" ht="15.75">
      <c r="E999" s="144"/>
      <c r="G999" s="146"/>
    </row>
    <row r="1000" ht="15.75">
      <c r="E1000" s="144"/>
      <c r="G1000" s="146"/>
    </row>
    <row r="1001" ht="15.75">
      <c r="E1001" s="144"/>
      <c r="G1001" s="146"/>
    </row>
    <row r="1002" ht="15.75">
      <c r="E1002" s="144"/>
      <c r="G1002" s="146"/>
    </row>
    <row r="1003" ht="15.75">
      <c r="E1003" s="144"/>
      <c r="G1003" s="146"/>
    </row>
    <row r="1004" ht="15.75">
      <c r="E1004" s="144"/>
      <c r="G1004" s="146"/>
    </row>
    <row r="1005" ht="15.75">
      <c r="E1005" s="144"/>
      <c r="G1005" s="146"/>
    </row>
    <row r="1006" ht="15.75">
      <c r="E1006" s="144"/>
      <c r="G1006" s="146"/>
    </row>
    <row r="1007" ht="15.75">
      <c r="E1007" s="144"/>
      <c r="G1007" s="146"/>
    </row>
    <row r="1008" ht="15.75">
      <c r="E1008" s="144"/>
      <c r="G1008" s="146"/>
    </row>
    <row r="1009" ht="15.75">
      <c r="E1009" s="144"/>
      <c r="G1009" s="146"/>
    </row>
    <row r="1010" ht="15.75">
      <c r="E1010" s="144"/>
      <c r="G1010" s="146"/>
    </row>
    <row r="1011" ht="15.75">
      <c r="E1011" s="144"/>
      <c r="G1011" s="146"/>
    </row>
    <row r="1012" ht="15.75">
      <c r="E1012" s="144"/>
      <c r="G1012" s="146"/>
    </row>
    <row r="1013" ht="15.75">
      <c r="E1013" s="144"/>
      <c r="G1013" s="146"/>
    </row>
    <row r="1014" ht="15.75">
      <c r="E1014" s="144"/>
      <c r="G1014" s="146"/>
    </row>
    <row r="1015" ht="15.75">
      <c r="E1015" s="144"/>
      <c r="G1015" s="146"/>
    </row>
    <row r="1016" ht="15.75">
      <c r="E1016" s="144"/>
      <c r="G1016" s="146"/>
    </row>
    <row r="1017" ht="15.75">
      <c r="E1017" s="144"/>
      <c r="G1017" s="146"/>
    </row>
    <row r="1018" ht="15.75">
      <c r="E1018" s="144"/>
      <c r="G1018" s="146"/>
    </row>
    <row r="1019" ht="15.75">
      <c r="E1019" s="144"/>
      <c r="G1019" s="146"/>
    </row>
    <row r="1020" ht="15.75">
      <c r="E1020" s="144"/>
      <c r="G1020" s="146"/>
    </row>
    <row r="1021" ht="15.75">
      <c r="E1021" s="144"/>
      <c r="G1021" s="146"/>
    </row>
    <row r="1022" ht="15.75">
      <c r="E1022" s="144"/>
      <c r="G1022" s="146"/>
    </row>
    <row r="1023" ht="15.75">
      <c r="E1023" s="144"/>
      <c r="G1023" s="146"/>
    </row>
    <row r="1024" ht="15.75">
      <c r="E1024" s="144"/>
      <c r="G1024" s="146"/>
    </row>
    <row r="1025" ht="15.75">
      <c r="E1025" s="144"/>
      <c r="G1025" s="146"/>
    </row>
    <row r="1026" ht="15.75">
      <c r="E1026" s="144"/>
      <c r="G1026" s="146"/>
    </row>
    <row r="1027" ht="15.75">
      <c r="E1027" s="144"/>
      <c r="G1027" s="146"/>
    </row>
    <row r="1028" ht="15.75">
      <c r="E1028" s="144"/>
      <c r="G1028" s="146"/>
    </row>
    <row r="1029" ht="15.75">
      <c r="E1029" s="144"/>
      <c r="G1029" s="146"/>
    </row>
    <row r="1030" ht="15.75">
      <c r="E1030" s="144"/>
      <c r="G1030" s="146"/>
    </row>
    <row r="1031" ht="15.75">
      <c r="E1031" s="144"/>
      <c r="G1031" s="146"/>
    </row>
    <row r="1032" ht="15.75">
      <c r="E1032" s="144"/>
      <c r="G1032" s="146"/>
    </row>
    <row r="1033" ht="15.75">
      <c r="E1033" s="144"/>
      <c r="G1033" s="146"/>
    </row>
    <row r="1034" ht="15.75">
      <c r="E1034" s="144"/>
      <c r="G1034" s="146"/>
    </row>
    <row r="1035" ht="15.75">
      <c r="E1035" s="144"/>
      <c r="G1035" s="146"/>
    </row>
    <row r="1036" ht="15.75">
      <c r="E1036" s="144"/>
      <c r="G1036" s="146"/>
    </row>
    <row r="1037" ht="15.75">
      <c r="E1037" s="144"/>
      <c r="G1037" s="146"/>
    </row>
    <row r="1038" ht="15.75">
      <c r="E1038" s="144"/>
      <c r="G1038" s="146"/>
    </row>
    <row r="1039" ht="15.75">
      <c r="E1039" s="144"/>
      <c r="G1039" s="146"/>
    </row>
    <row r="1040" ht="15.75">
      <c r="E1040" s="144"/>
      <c r="G1040" s="146"/>
    </row>
    <row r="1041" ht="15.75">
      <c r="E1041" s="144"/>
      <c r="G1041" s="146"/>
    </row>
    <row r="1042" ht="15.75">
      <c r="E1042" s="144"/>
      <c r="G1042" s="146"/>
    </row>
    <row r="1043" ht="15.75">
      <c r="E1043" s="144"/>
      <c r="G1043" s="146"/>
    </row>
    <row r="1044" ht="15.75">
      <c r="E1044" s="144"/>
      <c r="G1044" s="146"/>
    </row>
    <row r="1045" ht="15.75">
      <c r="E1045" s="144"/>
      <c r="G1045" s="146"/>
    </row>
    <row r="1046" ht="15.75">
      <c r="E1046" s="144"/>
      <c r="G1046" s="146"/>
    </row>
    <row r="1047" ht="15.75">
      <c r="E1047" s="144"/>
      <c r="G1047" s="146"/>
    </row>
    <row r="1048" ht="15.75">
      <c r="E1048" s="144"/>
      <c r="G1048" s="146"/>
    </row>
    <row r="1049" ht="15.75">
      <c r="E1049" s="144"/>
      <c r="G1049" s="146"/>
    </row>
    <row r="1050" ht="15.75">
      <c r="E1050" s="144"/>
      <c r="G1050" s="146"/>
    </row>
    <row r="1051" ht="15.75">
      <c r="E1051" s="144"/>
      <c r="G1051" s="146"/>
    </row>
    <row r="1052" ht="15.75">
      <c r="E1052" s="144"/>
      <c r="G1052" s="146"/>
    </row>
    <row r="1053" ht="15.75">
      <c r="E1053" s="144"/>
      <c r="G1053" s="146"/>
    </row>
    <row r="1054" ht="15.75">
      <c r="E1054" s="144"/>
      <c r="G1054" s="146"/>
    </row>
    <row r="1055" ht="15.75">
      <c r="E1055" s="144"/>
      <c r="G1055" s="146"/>
    </row>
    <row r="1056" ht="15.75">
      <c r="E1056" s="144"/>
      <c r="G1056" s="146"/>
    </row>
    <row r="1057" ht="15.75">
      <c r="E1057" s="144"/>
      <c r="G1057" s="146"/>
    </row>
    <row r="1058" ht="15.75">
      <c r="E1058" s="144"/>
      <c r="G1058" s="146"/>
    </row>
    <row r="1059" ht="15.75">
      <c r="E1059" s="144"/>
      <c r="G1059" s="146"/>
    </row>
    <row r="1060" ht="15.75">
      <c r="E1060" s="144"/>
      <c r="G1060" s="146"/>
    </row>
    <row r="1061" ht="15.75">
      <c r="E1061" s="144"/>
      <c r="G1061" s="146"/>
    </row>
    <row r="1062" ht="15.75">
      <c r="E1062" s="144"/>
      <c r="G1062" s="146"/>
    </row>
    <row r="1063" ht="15.75">
      <c r="E1063" s="144"/>
      <c r="G1063" s="146"/>
    </row>
    <row r="1064" ht="15.75">
      <c r="E1064" s="144"/>
      <c r="G1064" s="146"/>
    </row>
    <row r="1065" ht="15.75">
      <c r="E1065" s="144"/>
      <c r="G1065" s="146"/>
    </row>
    <row r="1066" ht="15.75">
      <c r="E1066" s="144"/>
      <c r="G1066" s="146"/>
    </row>
    <row r="1067" ht="15.75">
      <c r="E1067" s="144"/>
      <c r="G1067" s="146"/>
    </row>
    <row r="1068" ht="15.75">
      <c r="E1068" s="144"/>
      <c r="G1068" s="146"/>
    </row>
    <row r="1069" ht="15.75">
      <c r="E1069" s="144"/>
      <c r="G1069" s="146"/>
    </row>
    <row r="1070" ht="15.75">
      <c r="E1070" s="144"/>
      <c r="G1070" s="146"/>
    </row>
    <row r="1071" ht="15.75">
      <c r="E1071" s="144"/>
      <c r="G1071" s="146"/>
    </row>
    <row r="1072" ht="15.75">
      <c r="E1072" s="144"/>
      <c r="G1072" s="146"/>
    </row>
    <row r="1073" ht="15.75">
      <c r="E1073" s="144"/>
      <c r="G1073" s="146"/>
    </row>
    <row r="1074" ht="15.75">
      <c r="E1074" s="144"/>
      <c r="G1074" s="146"/>
    </row>
    <row r="1075" ht="15.75">
      <c r="E1075" s="144"/>
      <c r="G1075" s="146"/>
    </row>
    <row r="1076" ht="15.75">
      <c r="E1076" s="144"/>
      <c r="G1076" s="146"/>
    </row>
    <row r="1077" ht="15.75">
      <c r="E1077" s="144"/>
      <c r="G1077" s="146"/>
    </row>
    <row r="1078" ht="15.75">
      <c r="E1078" s="144"/>
      <c r="G1078" s="146"/>
    </row>
    <row r="1079" ht="15.75">
      <c r="E1079" s="144"/>
      <c r="G1079" s="146"/>
    </row>
    <row r="1080" ht="15.75">
      <c r="E1080" s="144"/>
      <c r="G1080" s="146"/>
    </row>
    <row r="1081" ht="15.75">
      <c r="E1081" s="144"/>
      <c r="G1081" s="146"/>
    </row>
    <row r="1082" ht="15.75">
      <c r="E1082" s="144"/>
      <c r="G1082" s="146"/>
    </row>
    <row r="1083" ht="15.75">
      <c r="E1083" s="144"/>
      <c r="G1083" s="146"/>
    </row>
    <row r="1084" ht="15.75">
      <c r="E1084" s="144"/>
      <c r="G1084" s="146"/>
    </row>
    <row r="1085" ht="15.75">
      <c r="E1085" s="144"/>
      <c r="G1085" s="146"/>
    </row>
    <row r="1086" ht="15.75">
      <c r="E1086" s="144"/>
      <c r="G1086" s="146"/>
    </row>
    <row r="1087" ht="15.75">
      <c r="E1087" s="144"/>
      <c r="G1087" s="146"/>
    </row>
    <row r="1088" ht="15.75">
      <c r="E1088" s="144"/>
      <c r="G1088" s="146"/>
    </row>
    <row r="1089" ht="15.75">
      <c r="E1089" s="144"/>
      <c r="G1089" s="146"/>
    </row>
    <row r="1090" ht="15.75">
      <c r="E1090" s="144"/>
      <c r="G1090" s="146"/>
    </row>
    <row r="1091" ht="15.75">
      <c r="E1091" s="144"/>
      <c r="G1091" s="146"/>
    </row>
    <row r="1092" ht="15.75">
      <c r="E1092" s="144"/>
      <c r="G1092" s="146"/>
    </row>
    <row r="1093" ht="15.75">
      <c r="E1093" s="144"/>
      <c r="G1093" s="146"/>
    </row>
    <row r="1094" ht="15.75">
      <c r="E1094" s="144"/>
      <c r="G1094" s="146"/>
    </row>
    <row r="1095" ht="15.75">
      <c r="E1095" s="144"/>
      <c r="G1095" s="146"/>
    </row>
    <row r="1096" ht="15.75">
      <c r="E1096" s="144"/>
      <c r="G1096" s="146"/>
    </row>
    <row r="1097" ht="15.75">
      <c r="E1097" s="144"/>
      <c r="G1097" s="146"/>
    </row>
    <row r="1098" ht="15.75">
      <c r="E1098" s="144"/>
      <c r="G1098" s="146"/>
    </row>
    <row r="1099" ht="15.75">
      <c r="E1099" s="144"/>
      <c r="G1099" s="146"/>
    </row>
    <row r="1100" ht="15.75">
      <c r="E1100" s="144"/>
      <c r="G1100" s="146"/>
    </row>
    <row r="1101" ht="15.75">
      <c r="E1101" s="144"/>
      <c r="G1101" s="146"/>
    </row>
    <row r="1102" ht="15.75">
      <c r="E1102" s="144"/>
      <c r="G1102" s="146"/>
    </row>
    <row r="1103" ht="15.75">
      <c r="E1103" s="144"/>
      <c r="G1103" s="146"/>
    </row>
    <row r="1104" ht="15.75">
      <c r="E1104" s="144"/>
      <c r="G1104" s="146"/>
    </row>
    <row r="1105" ht="15.75">
      <c r="E1105" s="144"/>
      <c r="G1105" s="146"/>
    </row>
    <row r="1106" ht="15.75">
      <c r="E1106" s="144"/>
      <c r="G1106" s="146"/>
    </row>
    <row r="1107" ht="15.75">
      <c r="E1107" s="144"/>
      <c r="G1107" s="146"/>
    </row>
    <row r="1108" ht="15.75">
      <c r="E1108" s="144"/>
      <c r="G1108" s="146"/>
    </row>
    <row r="1109" ht="15.75">
      <c r="E1109" s="144"/>
      <c r="G1109" s="146"/>
    </row>
    <row r="1110" ht="15.75">
      <c r="E1110" s="144"/>
      <c r="G1110" s="146"/>
    </row>
    <row r="1111" ht="15.75">
      <c r="E1111" s="144"/>
      <c r="G1111" s="146"/>
    </row>
    <row r="1112" ht="15.75">
      <c r="E1112" s="144"/>
      <c r="G1112" s="146"/>
    </row>
    <row r="1113" ht="15.75">
      <c r="E1113" s="144"/>
      <c r="G1113" s="146"/>
    </row>
    <row r="1114" ht="15.75">
      <c r="E1114" s="144"/>
      <c r="G1114" s="146"/>
    </row>
    <row r="1115" ht="15.75">
      <c r="E1115" s="144"/>
      <c r="G1115" s="146"/>
    </row>
    <row r="1116" ht="15.75">
      <c r="E1116" s="144"/>
      <c r="G1116" s="146"/>
    </row>
    <row r="1117" ht="15.75">
      <c r="E1117" s="144"/>
      <c r="G1117" s="146"/>
    </row>
    <row r="1118" ht="15.75">
      <c r="E1118" s="144"/>
      <c r="G1118" s="146"/>
    </row>
    <row r="1119" ht="15.75">
      <c r="E1119" s="144"/>
      <c r="G1119" s="146"/>
    </row>
    <row r="1120" ht="15.75">
      <c r="E1120" s="144"/>
      <c r="G1120" s="146"/>
    </row>
    <row r="1121" ht="15.75">
      <c r="E1121" s="144"/>
      <c r="G1121" s="146"/>
    </row>
    <row r="1122" ht="15.75">
      <c r="E1122" s="144"/>
      <c r="G1122" s="146"/>
    </row>
    <row r="1123" ht="15.75">
      <c r="E1123" s="144"/>
      <c r="G1123" s="146"/>
    </row>
    <row r="1124" ht="15.75">
      <c r="E1124" s="144"/>
      <c r="G1124" s="146"/>
    </row>
    <row r="1125" ht="15.75">
      <c r="E1125" s="144"/>
      <c r="G1125" s="146"/>
    </row>
    <row r="1126" ht="15.75">
      <c r="E1126" s="144"/>
      <c r="G1126" s="146"/>
    </row>
    <row r="1127" ht="15.75">
      <c r="E1127" s="144"/>
      <c r="G1127" s="146"/>
    </row>
    <row r="1128" ht="15.75">
      <c r="E1128" s="144"/>
      <c r="G1128" s="146"/>
    </row>
    <row r="1129" ht="15.75">
      <c r="E1129" s="144"/>
      <c r="G1129" s="146"/>
    </row>
    <row r="1130" ht="15.75">
      <c r="E1130" s="144"/>
      <c r="G1130" s="146"/>
    </row>
    <row r="1131" ht="15.75">
      <c r="E1131" s="144"/>
      <c r="G1131" s="146"/>
    </row>
    <row r="1132" ht="15.75">
      <c r="E1132" s="144"/>
      <c r="G1132" s="146"/>
    </row>
    <row r="1133" ht="15.75">
      <c r="E1133" s="144"/>
      <c r="G1133" s="146"/>
    </row>
    <row r="1134" ht="15.75">
      <c r="E1134" s="144"/>
      <c r="G1134" s="146"/>
    </row>
    <row r="1135" ht="15.75">
      <c r="E1135" s="144"/>
      <c r="G1135" s="146"/>
    </row>
    <row r="1136" ht="15.75">
      <c r="E1136" s="144"/>
      <c r="G1136" s="146"/>
    </row>
    <row r="1137" ht="15.75">
      <c r="E1137" s="144"/>
      <c r="G1137" s="146"/>
    </row>
    <row r="1138" ht="15.75">
      <c r="E1138" s="144"/>
      <c r="G1138" s="146"/>
    </row>
    <row r="1139" ht="15.75">
      <c r="E1139" s="144"/>
      <c r="G1139" s="146"/>
    </row>
    <row r="1140" ht="15.75">
      <c r="E1140" s="144"/>
      <c r="G1140" s="146"/>
    </row>
    <row r="1141" ht="15.75">
      <c r="E1141" s="144"/>
      <c r="G1141" s="146"/>
    </row>
    <row r="1142" ht="15.75">
      <c r="E1142" s="144"/>
      <c r="G1142" s="146"/>
    </row>
    <row r="1143" ht="15.75">
      <c r="E1143" s="144"/>
      <c r="G1143" s="146"/>
    </row>
    <row r="1144" ht="15.75">
      <c r="E1144" s="144"/>
      <c r="G1144" s="146"/>
    </row>
    <row r="1145" ht="15.75">
      <c r="E1145" s="144"/>
      <c r="G1145" s="146"/>
    </row>
    <row r="1146" ht="15.75">
      <c r="E1146" s="144"/>
      <c r="G1146" s="146"/>
    </row>
    <row r="1147" ht="15.75">
      <c r="E1147" s="144"/>
      <c r="G1147" s="146"/>
    </row>
    <row r="1148" ht="15.75">
      <c r="E1148" s="144"/>
      <c r="G1148" s="146"/>
    </row>
    <row r="1149" ht="15.75">
      <c r="E1149" s="144"/>
      <c r="G1149" s="146"/>
    </row>
    <row r="1150" ht="15.75">
      <c r="E1150" s="144"/>
      <c r="G1150" s="146"/>
    </row>
    <row r="1151" ht="15.75">
      <c r="E1151" s="144"/>
      <c r="G1151" s="146"/>
    </row>
    <row r="1152" ht="15.75">
      <c r="E1152" s="144"/>
      <c r="G1152" s="146"/>
    </row>
    <row r="1153" ht="15.75">
      <c r="E1153" s="144"/>
      <c r="G1153" s="146"/>
    </row>
    <row r="1154" ht="15.75">
      <c r="E1154" s="144"/>
      <c r="G1154" s="146"/>
    </row>
    <row r="1155" ht="15.75">
      <c r="E1155" s="144"/>
      <c r="G1155" s="146"/>
    </row>
    <row r="1156" ht="15.75">
      <c r="E1156" s="144"/>
      <c r="G1156" s="146"/>
    </row>
    <row r="1157" ht="15.75">
      <c r="E1157" s="144"/>
      <c r="G1157" s="146"/>
    </row>
    <row r="1158" ht="15.75">
      <c r="E1158" s="144"/>
      <c r="G1158" s="146"/>
    </row>
    <row r="1159" ht="15.75">
      <c r="E1159" s="144"/>
      <c r="G1159" s="146"/>
    </row>
    <row r="1160" ht="15.75">
      <c r="E1160" s="144"/>
      <c r="G1160" s="146"/>
    </row>
    <row r="1161" ht="15.75">
      <c r="E1161" s="144"/>
      <c r="G1161" s="146"/>
    </row>
    <row r="1162" ht="15.75">
      <c r="E1162" s="144"/>
      <c r="G1162" s="146"/>
    </row>
    <row r="1163" ht="15.75">
      <c r="E1163" s="144"/>
      <c r="G1163" s="146"/>
    </row>
    <row r="1164" ht="15.75">
      <c r="E1164" s="144"/>
      <c r="G1164" s="146"/>
    </row>
    <row r="1165" ht="15.75">
      <c r="E1165" s="144"/>
      <c r="G1165" s="146"/>
    </row>
    <row r="1166" ht="15.75">
      <c r="E1166" s="144"/>
      <c r="G1166" s="146"/>
    </row>
    <row r="1167" ht="15.75">
      <c r="E1167" s="144"/>
      <c r="G1167" s="146"/>
    </row>
    <row r="1168" ht="15.75">
      <c r="E1168" s="144"/>
      <c r="G1168" s="146"/>
    </row>
    <row r="1169" ht="15.75">
      <c r="E1169" s="144"/>
      <c r="G1169" s="146"/>
    </row>
    <row r="1170" ht="15.75">
      <c r="E1170" s="144"/>
      <c r="G1170" s="146"/>
    </row>
    <row r="1171" ht="15.75">
      <c r="E1171" s="144"/>
      <c r="G1171" s="146"/>
    </row>
    <row r="1172" ht="15.75">
      <c r="E1172" s="144"/>
      <c r="G1172" s="146"/>
    </row>
    <row r="1173" ht="15.75">
      <c r="E1173" s="144"/>
      <c r="G1173" s="146"/>
    </row>
    <row r="1174" ht="15.75">
      <c r="E1174" s="144"/>
      <c r="G1174" s="146"/>
    </row>
    <row r="1175" ht="15.75">
      <c r="E1175" s="144"/>
      <c r="G1175" s="146"/>
    </row>
    <row r="1176" ht="15.75">
      <c r="E1176" s="144"/>
      <c r="G1176" s="146"/>
    </row>
    <row r="1177" ht="15.75">
      <c r="E1177" s="144"/>
      <c r="G1177" s="146"/>
    </row>
    <row r="1178" ht="15.75">
      <c r="E1178" s="144"/>
      <c r="G1178" s="146"/>
    </row>
    <row r="1179" ht="15.75">
      <c r="E1179" s="144"/>
      <c r="G1179" s="146"/>
    </row>
    <row r="1180" ht="15.75">
      <c r="E1180" s="144"/>
      <c r="G1180" s="146"/>
    </row>
    <row r="1181" ht="15.75">
      <c r="E1181" s="144"/>
      <c r="G1181" s="146"/>
    </row>
    <row r="1182" ht="15.75">
      <c r="E1182" s="144"/>
      <c r="G1182" s="146"/>
    </row>
    <row r="1183" ht="15.75">
      <c r="E1183" s="144"/>
      <c r="G1183" s="146"/>
    </row>
    <row r="1184" ht="15.75">
      <c r="E1184" s="144"/>
      <c r="G1184" s="146"/>
    </row>
    <row r="1185" ht="15.75">
      <c r="E1185" s="144"/>
      <c r="G1185" s="146"/>
    </row>
    <row r="1186" ht="15.75">
      <c r="E1186" s="144"/>
      <c r="G1186" s="146"/>
    </row>
    <row r="1187" ht="15.75">
      <c r="E1187" s="144"/>
      <c r="G1187" s="146"/>
    </row>
    <row r="1188" ht="15.75">
      <c r="E1188" s="144"/>
      <c r="G1188" s="146"/>
    </row>
    <row r="1189" ht="15.75">
      <c r="E1189" s="144"/>
      <c r="G1189" s="146"/>
    </row>
    <row r="1190" ht="15.75">
      <c r="E1190" s="144"/>
      <c r="G1190" s="146"/>
    </row>
    <row r="1191" ht="15.75">
      <c r="E1191" s="144"/>
      <c r="G1191" s="146"/>
    </row>
    <row r="1192" ht="15.75">
      <c r="E1192" s="144"/>
      <c r="G1192" s="146"/>
    </row>
    <row r="1193" ht="15.75">
      <c r="E1193" s="144"/>
      <c r="G1193" s="146"/>
    </row>
    <row r="1194" ht="15.75">
      <c r="E1194" s="144"/>
      <c r="G1194" s="146"/>
    </row>
    <row r="1195" ht="15.75">
      <c r="E1195" s="144"/>
      <c r="G1195" s="146"/>
    </row>
    <row r="1196" ht="15.75">
      <c r="E1196" s="144"/>
      <c r="G1196" s="146"/>
    </row>
    <row r="1197" ht="15.75">
      <c r="E1197" s="144"/>
      <c r="G1197" s="146"/>
    </row>
    <row r="1198" ht="15.75">
      <c r="E1198" s="144"/>
      <c r="G1198" s="146"/>
    </row>
    <row r="1199" ht="15.75">
      <c r="E1199" s="144"/>
      <c r="G1199" s="146"/>
    </row>
    <row r="1200" ht="15.75">
      <c r="E1200" s="144"/>
      <c r="G1200" s="146"/>
    </row>
    <row r="1201" ht="15.75">
      <c r="E1201" s="144"/>
      <c r="G1201" s="146"/>
    </row>
    <row r="1202" ht="15.75">
      <c r="E1202" s="144"/>
      <c r="G1202" s="146"/>
    </row>
    <row r="1203" ht="15.75">
      <c r="E1203" s="144"/>
      <c r="G1203" s="146"/>
    </row>
    <row r="1204" ht="15.75">
      <c r="E1204" s="144"/>
      <c r="G1204" s="146"/>
    </row>
    <row r="1205" ht="15.75">
      <c r="E1205" s="144"/>
      <c r="G1205" s="146"/>
    </row>
    <row r="1206" ht="15.75">
      <c r="E1206" s="144"/>
      <c r="G1206" s="146"/>
    </row>
    <row r="1207" ht="15.75">
      <c r="E1207" s="144"/>
      <c r="G1207" s="146"/>
    </row>
    <row r="1208" ht="15.75">
      <c r="E1208" s="144"/>
      <c r="G1208" s="146"/>
    </row>
    <row r="1209" ht="15.75">
      <c r="E1209" s="144"/>
      <c r="G1209" s="146"/>
    </row>
    <row r="1210" ht="15.75">
      <c r="E1210" s="144"/>
      <c r="G1210" s="146"/>
    </row>
    <row r="1211" ht="15.75">
      <c r="E1211" s="144"/>
      <c r="G1211" s="146"/>
    </row>
    <row r="1212" ht="15.75">
      <c r="E1212" s="144"/>
      <c r="G1212" s="146"/>
    </row>
    <row r="1213" ht="15.75">
      <c r="E1213" s="144"/>
      <c r="G1213" s="146"/>
    </row>
    <row r="1214" ht="15.75">
      <c r="E1214" s="144"/>
      <c r="G1214" s="146"/>
    </row>
    <row r="1215" ht="15.75">
      <c r="E1215" s="144"/>
      <c r="G1215" s="146"/>
    </row>
    <row r="1216" ht="15.75">
      <c r="E1216" s="144"/>
      <c r="G1216" s="146"/>
    </row>
    <row r="1217" ht="15.75">
      <c r="E1217" s="144"/>
      <c r="G1217" s="146"/>
    </row>
    <row r="1218" ht="15.75">
      <c r="E1218" s="144"/>
      <c r="G1218" s="146"/>
    </row>
    <row r="1219" ht="15.75">
      <c r="E1219" s="144"/>
      <c r="G1219" s="146"/>
    </row>
    <row r="1220" ht="15.75">
      <c r="E1220" s="144"/>
      <c r="G1220" s="146"/>
    </row>
    <row r="1221" ht="15.75">
      <c r="E1221" s="144"/>
      <c r="G1221" s="146"/>
    </row>
    <row r="1222" ht="15.75">
      <c r="E1222" s="144"/>
      <c r="G1222" s="146"/>
    </row>
    <row r="1223" ht="15.75">
      <c r="E1223" s="144"/>
      <c r="G1223" s="146"/>
    </row>
    <row r="1224" ht="15.75">
      <c r="E1224" s="144"/>
      <c r="G1224" s="146"/>
    </row>
    <row r="1225" ht="15.75">
      <c r="E1225" s="144"/>
      <c r="G1225" s="146"/>
    </row>
    <row r="1226" ht="15.75">
      <c r="E1226" s="144"/>
      <c r="G1226" s="146"/>
    </row>
    <row r="1227" ht="15.75">
      <c r="E1227" s="144"/>
      <c r="G1227" s="146"/>
    </row>
    <row r="1228" ht="15.75">
      <c r="E1228" s="144"/>
      <c r="G1228" s="146"/>
    </row>
    <row r="1229" ht="15.75">
      <c r="E1229" s="144"/>
      <c r="G1229" s="146"/>
    </row>
    <row r="1230" ht="15.75">
      <c r="E1230" s="144"/>
      <c r="G1230" s="146"/>
    </row>
    <row r="1231" ht="15.75">
      <c r="E1231" s="144"/>
      <c r="G1231" s="146"/>
    </row>
    <row r="1232" ht="15.75">
      <c r="E1232" s="144"/>
      <c r="G1232" s="146"/>
    </row>
    <row r="1233" ht="15.75">
      <c r="E1233" s="144"/>
      <c r="G1233" s="146"/>
    </row>
    <row r="1234" ht="15.75">
      <c r="E1234" s="144"/>
      <c r="G1234" s="146"/>
    </row>
    <row r="1235" ht="15.75">
      <c r="E1235" s="144"/>
      <c r="G1235" s="146"/>
    </row>
    <row r="1236" ht="15.75">
      <c r="E1236" s="144"/>
      <c r="G1236" s="146"/>
    </row>
    <row r="1237" ht="15.75">
      <c r="E1237" s="144"/>
      <c r="G1237" s="146"/>
    </row>
    <row r="1238" ht="15.75">
      <c r="E1238" s="144"/>
      <c r="G1238" s="146"/>
    </row>
    <row r="1239" ht="15.75">
      <c r="E1239" s="144"/>
      <c r="G1239" s="146"/>
    </row>
    <row r="1240" ht="15.75">
      <c r="E1240" s="144"/>
      <c r="G1240" s="146"/>
    </row>
    <row r="1241" ht="15.75">
      <c r="E1241" s="144"/>
      <c r="G1241" s="146"/>
    </row>
    <row r="1242" ht="15.75">
      <c r="E1242" s="144"/>
      <c r="G1242" s="146"/>
    </row>
    <row r="1243" ht="15.75">
      <c r="E1243" s="144"/>
      <c r="G1243" s="146"/>
    </row>
    <row r="1244" ht="15.75">
      <c r="E1244" s="144"/>
      <c r="G1244" s="146"/>
    </row>
    <row r="1245" ht="15.75">
      <c r="E1245" s="144"/>
      <c r="G1245" s="146"/>
    </row>
    <row r="1246" ht="15.75">
      <c r="E1246" s="144"/>
      <c r="G1246" s="146"/>
    </row>
    <row r="1247" ht="15.75">
      <c r="E1247" s="144"/>
      <c r="G1247" s="146"/>
    </row>
    <row r="1248" ht="15.75">
      <c r="E1248" s="144"/>
      <c r="G1248" s="146"/>
    </row>
    <row r="1249" ht="15.75">
      <c r="E1249" s="144"/>
      <c r="G1249" s="146"/>
    </row>
    <row r="1250" ht="15.75">
      <c r="E1250" s="144"/>
      <c r="G1250" s="146"/>
    </row>
    <row r="1251" ht="15.75">
      <c r="E1251" s="144"/>
      <c r="G1251" s="146"/>
    </row>
    <row r="1252" ht="15.75">
      <c r="E1252" s="144"/>
      <c r="G1252" s="146"/>
    </row>
    <row r="1253" ht="15.75">
      <c r="E1253" s="144"/>
      <c r="G1253" s="146"/>
    </row>
    <row r="1254" ht="15.75">
      <c r="E1254" s="144"/>
      <c r="G1254" s="146"/>
    </row>
    <row r="1255" ht="15.75">
      <c r="E1255" s="144"/>
      <c r="G1255" s="146"/>
    </row>
    <row r="1256" ht="15.75">
      <c r="E1256" s="144"/>
      <c r="G1256" s="146"/>
    </row>
    <row r="1257" ht="15.75">
      <c r="E1257" s="144"/>
      <c r="G1257" s="146"/>
    </row>
    <row r="1258" ht="15.75">
      <c r="E1258" s="144"/>
      <c r="G1258" s="146"/>
    </row>
    <row r="1259" ht="15.75">
      <c r="E1259" s="144"/>
      <c r="G1259" s="146"/>
    </row>
    <row r="1260" ht="15.75">
      <c r="E1260" s="144"/>
      <c r="G1260" s="146"/>
    </row>
    <row r="1261" ht="15.75">
      <c r="E1261" s="144"/>
      <c r="G1261" s="146"/>
    </row>
    <row r="1262" ht="15.75">
      <c r="E1262" s="144"/>
      <c r="G1262" s="146"/>
    </row>
    <row r="1263" ht="15.75">
      <c r="E1263" s="144"/>
      <c r="G1263" s="146"/>
    </row>
    <row r="1264" ht="15.75">
      <c r="E1264" s="144"/>
      <c r="G1264" s="146"/>
    </row>
    <row r="1265" ht="15.75">
      <c r="E1265" s="144"/>
      <c r="G1265" s="146"/>
    </row>
    <row r="1266" ht="15.75">
      <c r="E1266" s="144"/>
      <c r="G1266" s="146"/>
    </row>
    <row r="1267" ht="15.75">
      <c r="E1267" s="144"/>
      <c r="G1267" s="146"/>
    </row>
    <row r="1268" ht="15.75">
      <c r="E1268" s="144"/>
      <c r="G1268" s="146"/>
    </row>
    <row r="1269" ht="15.75">
      <c r="E1269" s="144"/>
      <c r="G1269" s="146"/>
    </row>
    <row r="1270" ht="15.75">
      <c r="E1270" s="144"/>
      <c r="G1270" s="146"/>
    </row>
    <row r="1271" ht="15.75">
      <c r="E1271" s="144"/>
      <c r="G1271" s="146"/>
    </row>
    <row r="1272" ht="15.75">
      <c r="E1272" s="144"/>
      <c r="G1272" s="146"/>
    </row>
    <row r="1273" ht="15.75">
      <c r="E1273" s="144"/>
      <c r="G1273" s="146"/>
    </row>
    <row r="1274" ht="15.75">
      <c r="E1274" s="144"/>
      <c r="G1274" s="146"/>
    </row>
    <row r="1275" ht="15.75">
      <c r="E1275" s="144"/>
      <c r="G1275" s="146"/>
    </row>
    <row r="1276" ht="15.75">
      <c r="E1276" s="144"/>
      <c r="G1276" s="146"/>
    </row>
    <row r="1277" ht="15.75">
      <c r="E1277" s="144"/>
      <c r="G1277" s="146"/>
    </row>
    <row r="1278" ht="15.75">
      <c r="E1278" s="144"/>
      <c r="G1278" s="146"/>
    </row>
    <row r="1279" ht="15.75">
      <c r="E1279" s="144"/>
      <c r="G1279" s="146"/>
    </row>
    <row r="1280" ht="15.75">
      <c r="E1280" s="144"/>
      <c r="G1280" s="146"/>
    </row>
    <row r="1281" ht="15.75">
      <c r="E1281" s="144"/>
      <c r="G1281" s="146"/>
    </row>
    <row r="1282" ht="15.75">
      <c r="E1282" s="144"/>
      <c r="G1282" s="146"/>
    </row>
    <row r="1283" ht="15.75">
      <c r="E1283" s="144"/>
      <c r="G1283" s="146"/>
    </row>
    <row r="1284" ht="15.75">
      <c r="E1284" s="144"/>
      <c r="G1284" s="146"/>
    </row>
    <row r="1285" ht="15.75">
      <c r="E1285" s="144"/>
      <c r="G1285" s="146"/>
    </row>
    <row r="1286" ht="15.75">
      <c r="E1286" s="144"/>
      <c r="G1286" s="146"/>
    </row>
    <row r="1287" ht="15.75">
      <c r="E1287" s="144"/>
      <c r="G1287" s="146"/>
    </row>
    <row r="1288" ht="15.75">
      <c r="E1288" s="144"/>
      <c r="G1288" s="146"/>
    </row>
    <row r="1289" ht="15.75">
      <c r="E1289" s="144"/>
      <c r="G1289" s="146"/>
    </row>
    <row r="1290" ht="15.75">
      <c r="E1290" s="144"/>
      <c r="G1290" s="146"/>
    </row>
    <row r="1291" ht="15.75">
      <c r="E1291" s="144"/>
      <c r="G1291" s="146"/>
    </row>
    <row r="1292" ht="15.75">
      <c r="E1292" s="144"/>
      <c r="G1292" s="146"/>
    </row>
    <row r="1293" ht="15.75">
      <c r="E1293" s="144"/>
      <c r="G1293" s="146"/>
    </row>
    <row r="1294" ht="15.75">
      <c r="E1294" s="144"/>
      <c r="G1294" s="146"/>
    </row>
    <row r="1295" ht="15.75">
      <c r="E1295" s="144"/>
      <c r="G1295" s="146"/>
    </row>
    <row r="1296" ht="15.75">
      <c r="E1296" s="144"/>
      <c r="G1296" s="146"/>
    </row>
    <row r="1297" ht="15.75">
      <c r="E1297" s="144"/>
      <c r="G1297" s="146"/>
    </row>
    <row r="1298" ht="15.75">
      <c r="E1298" s="144"/>
      <c r="G1298" s="146"/>
    </row>
    <row r="1299" ht="15.75">
      <c r="E1299" s="144"/>
      <c r="G1299" s="146"/>
    </row>
    <row r="1300" ht="15.75">
      <c r="E1300" s="144"/>
      <c r="G1300" s="146"/>
    </row>
    <row r="1301" ht="15.75">
      <c r="E1301" s="144"/>
      <c r="G1301" s="146"/>
    </row>
    <row r="1302" ht="15.75">
      <c r="E1302" s="144"/>
      <c r="G1302" s="146"/>
    </row>
    <row r="1303" ht="15.75">
      <c r="E1303" s="144"/>
      <c r="G1303" s="146"/>
    </row>
    <row r="1304" ht="15.75">
      <c r="E1304" s="144"/>
      <c r="G1304" s="146"/>
    </row>
    <row r="1305" ht="15.75">
      <c r="E1305" s="144"/>
      <c r="G1305" s="146"/>
    </row>
    <row r="1306" ht="15.75">
      <c r="E1306" s="144"/>
      <c r="G1306" s="146"/>
    </row>
    <row r="1307" ht="15.75">
      <c r="E1307" s="144"/>
      <c r="G1307" s="146"/>
    </row>
    <row r="1308" ht="15.75">
      <c r="E1308" s="144"/>
      <c r="G1308" s="146"/>
    </row>
    <row r="1309" ht="15.75">
      <c r="E1309" s="144"/>
      <c r="G1309" s="146"/>
    </row>
    <row r="1310" ht="15.75">
      <c r="E1310" s="144"/>
      <c r="G1310" s="146"/>
    </row>
    <row r="1311" ht="15.75">
      <c r="E1311" s="144"/>
      <c r="G1311" s="146"/>
    </row>
    <row r="1312" ht="15.75">
      <c r="E1312" s="144"/>
      <c r="G1312" s="146"/>
    </row>
    <row r="1313" ht="15.75">
      <c r="E1313" s="144"/>
      <c r="G1313" s="146"/>
    </row>
    <row r="1314" ht="15.75">
      <c r="E1314" s="144"/>
      <c r="G1314" s="146"/>
    </row>
    <row r="1315" ht="15.75">
      <c r="E1315" s="144"/>
      <c r="G1315" s="146"/>
    </row>
    <row r="1316" ht="15.75">
      <c r="E1316" s="144"/>
      <c r="G1316" s="146"/>
    </row>
    <row r="1317" ht="15.75">
      <c r="E1317" s="144"/>
      <c r="G1317" s="146"/>
    </row>
    <row r="1318" ht="15.75">
      <c r="E1318" s="144"/>
      <c r="G1318" s="146"/>
    </row>
    <row r="1319" ht="15.75">
      <c r="E1319" s="144"/>
      <c r="G1319" s="146"/>
    </row>
    <row r="1320" ht="15.75">
      <c r="E1320" s="144"/>
      <c r="G1320" s="146"/>
    </row>
    <row r="1321" ht="15.75">
      <c r="E1321" s="144"/>
      <c r="G1321" s="146"/>
    </row>
    <row r="1322" ht="15.75">
      <c r="E1322" s="144"/>
      <c r="G1322" s="146"/>
    </row>
    <row r="1323" ht="15.75">
      <c r="E1323" s="144"/>
      <c r="G1323" s="146"/>
    </row>
    <row r="1324" ht="15.75">
      <c r="E1324" s="144"/>
      <c r="G1324" s="146"/>
    </row>
    <row r="1325" ht="15.75">
      <c r="E1325" s="144"/>
      <c r="G1325" s="146"/>
    </row>
    <row r="1326" ht="15.75">
      <c r="E1326" s="144"/>
      <c r="G1326" s="146"/>
    </row>
    <row r="1327" ht="15.75">
      <c r="E1327" s="144"/>
      <c r="G1327" s="146"/>
    </row>
    <row r="1328" ht="15.75">
      <c r="E1328" s="144"/>
      <c r="G1328" s="146"/>
    </row>
    <row r="1329" ht="15.75">
      <c r="E1329" s="144"/>
      <c r="G1329" s="146"/>
    </row>
    <row r="1330" ht="15.75">
      <c r="E1330" s="144"/>
      <c r="G1330" s="146"/>
    </row>
    <row r="1331" ht="15.75">
      <c r="E1331" s="144"/>
      <c r="G1331" s="146"/>
    </row>
    <row r="1332" ht="15.75">
      <c r="E1332" s="144"/>
      <c r="G1332" s="146"/>
    </row>
    <row r="1333" ht="15.75">
      <c r="E1333" s="144"/>
      <c r="G1333" s="146"/>
    </row>
    <row r="1334" ht="15.75">
      <c r="E1334" s="144"/>
      <c r="G1334" s="146"/>
    </row>
    <row r="1335" ht="15.75">
      <c r="E1335" s="144"/>
      <c r="G1335" s="146"/>
    </row>
    <row r="1336" ht="15.75">
      <c r="E1336" s="144"/>
      <c r="G1336" s="146"/>
    </row>
    <row r="1337" ht="15.75">
      <c r="E1337" s="144"/>
      <c r="G1337" s="146"/>
    </row>
    <row r="1338" ht="15.75">
      <c r="E1338" s="144"/>
      <c r="G1338" s="146"/>
    </row>
    <row r="1339" ht="15.75">
      <c r="E1339" s="144"/>
      <c r="G1339" s="146"/>
    </row>
    <row r="1340" ht="15.75">
      <c r="E1340" s="144"/>
      <c r="G1340" s="146"/>
    </row>
    <row r="1341" ht="15.75">
      <c r="E1341" s="144"/>
      <c r="G1341" s="146"/>
    </row>
    <row r="1342" ht="15.75">
      <c r="E1342" s="144"/>
      <c r="G1342" s="146"/>
    </row>
    <row r="1343" ht="15.75">
      <c r="E1343" s="144"/>
      <c r="G1343" s="146"/>
    </row>
    <row r="1344" ht="15.75">
      <c r="E1344" s="144"/>
      <c r="G1344" s="146"/>
    </row>
    <row r="1345" ht="15.75">
      <c r="E1345" s="144"/>
      <c r="G1345" s="146"/>
    </row>
    <row r="1346" ht="15.75">
      <c r="E1346" s="144"/>
      <c r="G1346" s="146"/>
    </row>
    <row r="1347" ht="15.75">
      <c r="E1347" s="144"/>
      <c r="G1347" s="146"/>
    </row>
    <row r="1348" ht="15.75">
      <c r="E1348" s="144"/>
      <c r="G1348" s="146"/>
    </row>
    <row r="1349" ht="15.75">
      <c r="E1349" s="144"/>
      <c r="G1349" s="146"/>
    </row>
    <row r="1350" ht="15.75">
      <c r="E1350" s="144"/>
      <c r="G1350" s="146"/>
    </row>
    <row r="1351" ht="15.75">
      <c r="E1351" s="144"/>
      <c r="G1351" s="146"/>
    </row>
    <row r="1352" ht="15.75">
      <c r="E1352" s="144"/>
      <c r="G1352" s="146"/>
    </row>
    <row r="1353" ht="15.75">
      <c r="E1353" s="144"/>
      <c r="G1353" s="146"/>
    </row>
    <row r="1354" ht="15.75">
      <c r="E1354" s="144"/>
      <c r="G1354" s="146"/>
    </row>
    <row r="1355" ht="15.75">
      <c r="E1355" s="144"/>
      <c r="G1355" s="146"/>
    </row>
    <row r="1356" ht="15.75">
      <c r="E1356" s="144"/>
      <c r="G1356" s="146"/>
    </row>
    <row r="1357" ht="15.75">
      <c r="E1357" s="144"/>
      <c r="G1357" s="146"/>
    </row>
    <row r="1358" ht="15.75">
      <c r="E1358" s="144"/>
      <c r="G1358" s="146"/>
    </row>
    <row r="1359" ht="15.75">
      <c r="E1359" s="144"/>
      <c r="G1359" s="146"/>
    </row>
    <row r="1360" ht="15.75">
      <c r="E1360" s="144"/>
      <c r="G1360" s="146"/>
    </row>
    <row r="1361" ht="15.75">
      <c r="E1361" s="144"/>
      <c r="G1361" s="146"/>
    </row>
    <row r="1362" ht="15.75">
      <c r="E1362" s="144"/>
      <c r="G1362" s="146"/>
    </row>
    <row r="1363" ht="15.75">
      <c r="E1363" s="144"/>
      <c r="G1363" s="146"/>
    </row>
    <row r="1364" ht="15.75">
      <c r="E1364" s="144"/>
      <c r="G1364" s="146"/>
    </row>
    <row r="1365" ht="15.75">
      <c r="E1365" s="144"/>
      <c r="G1365" s="146"/>
    </row>
    <row r="1366" ht="15.75">
      <c r="E1366" s="144"/>
      <c r="G1366" s="146"/>
    </row>
    <row r="1367" ht="15.75">
      <c r="E1367" s="144"/>
      <c r="G1367" s="146"/>
    </row>
    <row r="1368" ht="15.75">
      <c r="E1368" s="144"/>
      <c r="G1368" s="146"/>
    </row>
    <row r="1369" ht="15.75">
      <c r="E1369" s="144"/>
      <c r="G1369" s="146"/>
    </row>
    <row r="1370" ht="15.75">
      <c r="E1370" s="144"/>
      <c r="G1370" s="146"/>
    </row>
    <row r="1371" ht="15.75">
      <c r="E1371" s="144"/>
      <c r="G1371" s="146"/>
    </row>
    <row r="1372" ht="15.75">
      <c r="E1372" s="144"/>
      <c r="G1372" s="146"/>
    </row>
    <row r="1373" ht="15.75">
      <c r="E1373" s="144"/>
      <c r="G1373" s="146"/>
    </row>
    <row r="1374" ht="15.75">
      <c r="E1374" s="144"/>
      <c r="G1374" s="146"/>
    </row>
    <row r="1375" ht="15.75">
      <c r="E1375" s="144"/>
      <c r="G1375" s="146"/>
    </row>
    <row r="1376" ht="15.75">
      <c r="E1376" s="144"/>
      <c r="G1376" s="146"/>
    </row>
    <row r="1377" ht="15.75">
      <c r="E1377" s="144"/>
      <c r="G1377" s="146"/>
    </row>
    <row r="1378" ht="15.75">
      <c r="E1378" s="144"/>
      <c r="G1378" s="146"/>
    </row>
    <row r="1379" ht="15.75">
      <c r="E1379" s="144"/>
      <c r="G1379" s="146"/>
    </row>
    <row r="1380" ht="15.75">
      <c r="E1380" s="144"/>
      <c r="G1380" s="146"/>
    </row>
    <row r="1381" ht="15.75">
      <c r="E1381" s="144"/>
      <c r="G1381" s="146"/>
    </row>
    <row r="1382" ht="15.75">
      <c r="E1382" s="144"/>
      <c r="G1382" s="146"/>
    </row>
    <row r="1383" ht="15.75">
      <c r="E1383" s="144"/>
      <c r="G1383" s="146"/>
    </row>
    <row r="1384" ht="15.75">
      <c r="E1384" s="144"/>
      <c r="G1384" s="146"/>
    </row>
    <row r="1385" ht="15.75">
      <c r="E1385" s="144"/>
      <c r="G1385" s="146"/>
    </row>
    <row r="1386" ht="15.75">
      <c r="E1386" s="144"/>
      <c r="G1386" s="146"/>
    </row>
    <row r="1387" ht="15.75">
      <c r="E1387" s="144"/>
      <c r="G1387" s="146"/>
    </row>
    <row r="1388" ht="15.75">
      <c r="E1388" s="144"/>
      <c r="G1388" s="146"/>
    </row>
    <row r="1389" ht="15.75">
      <c r="E1389" s="144"/>
      <c r="G1389" s="146"/>
    </row>
    <row r="1390" ht="15.75">
      <c r="E1390" s="144"/>
      <c r="G1390" s="146"/>
    </row>
    <row r="1391" ht="15.75">
      <c r="E1391" s="144"/>
      <c r="G1391" s="146"/>
    </row>
    <row r="1392" ht="15.75">
      <c r="E1392" s="144"/>
      <c r="G1392" s="146"/>
    </row>
    <row r="1393" ht="15.75">
      <c r="E1393" s="144"/>
      <c r="G1393" s="146"/>
    </row>
    <row r="1394" ht="15.75">
      <c r="E1394" s="144"/>
      <c r="G1394" s="146"/>
    </row>
    <row r="1395" ht="15.75">
      <c r="E1395" s="144"/>
      <c r="G1395" s="146"/>
    </row>
    <row r="1396" ht="15.75">
      <c r="E1396" s="144"/>
      <c r="G1396" s="146"/>
    </row>
    <row r="1397" ht="15.75">
      <c r="E1397" s="144"/>
      <c r="G1397" s="146"/>
    </row>
    <row r="1398" ht="15.75">
      <c r="E1398" s="144"/>
      <c r="G1398" s="146"/>
    </row>
    <row r="1399" ht="15.75">
      <c r="E1399" s="144"/>
      <c r="G1399" s="146"/>
    </row>
    <row r="1400" ht="15.75">
      <c r="E1400" s="144"/>
      <c r="G1400" s="146"/>
    </row>
    <row r="1401" ht="15.75">
      <c r="E1401" s="144"/>
      <c r="G1401" s="146"/>
    </row>
    <row r="1402" ht="15.75">
      <c r="E1402" s="144"/>
      <c r="G1402" s="146"/>
    </row>
    <row r="1403" ht="15.75">
      <c r="E1403" s="144"/>
      <c r="G1403" s="146"/>
    </row>
    <row r="1404" ht="15.75">
      <c r="E1404" s="144"/>
      <c r="G1404" s="146"/>
    </row>
    <row r="1405" ht="15.75">
      <c r="E1405" s="144"/>
      <c r="G1405" s="146"/>
    </row>
    <row r="1406" ht="15.75">
      <c r="E1406" s="144"/>
      <c r="G1406" s="146"/>
    </row>
    <row r="1407" ht="15.75">
      <c r="E1407" s="144"/>
      <c r="G1407" s="146"/>
    </row>
    <row r="1408" ht="15.75">
      <c r="E1408" s="144"/>
      <c r="G1408" s="146"/>
    </row>
    <row r="1409" ht="15.75">
      <c r="E1409" s="144"/>
      <c r="G1409" s="146"/>
    </row>
    <row r="1410" ht="15.75">
      <c r="E1410" s="144"/>
      <c r="G1410" s="146"/>
    </row>
    <row r="1411" ht="15.75">
      <c r="E1411" s="144"/>
      <c r="G1411" s="146"/>
    </row>
    <row r="1412" ht="15.75">
      <c r="E1412" s="144"/>
      <c r="G1412" s="146"/>
    </row>
    <row r="1413" ht="15.75">
      <c r="E1413" s="144"/>
      <c r="G1413" s="146"/>
    </row>
    <row r="1414" ht="15.75">
      <c r="E1414" s="144"/>
      <c r="G1414" s="146"/>
    </row>
    <row r="1415" ht="15.75">
      <c r="E1415" s="144"/>
      <c r="G1415" s="146"/>
    </row>
    <row r="1416" ht="15.75">
      <c r="E1416" s="144"/>
      <c r="G1416" s="146"/>
    </row>
    <row r="1417" ht="15.75">
      <c r="E1417" s="144"/>
      <c r="G1417" s="146"/>
    </row>
    <row r="1418" ht="15.75">
      <c r="E1418" s="144"/>
      <c r="G1418" s="146"/>
    </row>
    <row r="1419" ht="15.75">
      <c r="E1419" s="144"/>
      <c r="G1419" s="146"/>
    </row>
    <row r="1420" ht="15.75">
      <c r="E1420" s="144"/>
      <c r="G1420" s="146"/>
    </row>
    <row r="1421" ht="15.75">
      <c r="E1421" s="144"/>
      <c r="G1421" s="146"/>
    </row>
    <row r="1422" ht="15.75">
      <c r="E1422" s="144"/>
      <c r="G1422" s="146"/>
    </row>
    <row r="1423" ht="15.75">
      <c r="E1423" s="144"/>
      <c r="G1423" s="146"/>
    </row>
    <row r="1424" ht="15.75">
      <c r="E1424" s="144"/>
      <c r="G1424" s="146"/>
    </row>
    <row r="1425" ht="15.75">
      <c r="E1425" s="144"/>
      <c r="G1425" s="146"/>
    </row>
    <row r="1426" ht="15.75">
      <c r="E1426" s="144"/>
      <c r="G1426" s="146"/>
    </row>
    <row r="1427" ht="15.75">
      <c r="E1427" s="144"/>
      <c r="G1427" s="146"/>
    </row>
    <row r="1428" ht="15.75">
      <c r="E1428" s="144"/>
      <c r="G1428" s="146"/>
    </row>
    <row r="1429" ht="15.75">
      <c r="E1429" s="144"/>
      <c r="G1429" s="146"/>
    </row>
    <row r="1430" ht="15.75">
      <c r="E1430" s="144"/>
      <c r="G1430" s="146"/>
    </row>
    <row r="1431" ht="15.75">
      <c r="E1431" s="144"/>
      <c r="G1431" s="146"/>
    </row>
    <row r="1432" ht="15.75">
      <c r="E1432" s="144"/>
      <c r="G1432" s="146"/>
    </row>
    <row r="1433" ht="15.75">
      <c r="E1433" s="144"/>
      <c r="G1433" s="146"/>
    </row>
    <row r="1434" ht="15.75">
      <c r="E1434" s="144"/>
      <c r="G1434" s="146"/>
    </row>
    <row r="1435" ht="15.75">
      <c r="E1435" s="144"/>
      <c r="G1435" s="146"/>
    </row>
    <row r="1436" ht="15.75">
      <c r="E1436" s="144"/>
      <c r="G1436" s="146"/>
    </row>
    <row r="1437" ht="15.75">
      <c r="E1437" s="144"/>
      <c r="G1437" s="146"/>
    </row>
    <row r="1438" ht="15.75">
      <c r="E1438" s="144"/>
      <c r="G1438" s="146"/>
    </row>
    <row r="1439" ht="15.75">
      <c r="E1439" s="144"/>
      <c r="G1439" s="146"/>
    </row>
    <row r="1440" ht="15.75">
      <c r="E1440" s="144"/>
      <c r="G1440" s="146"/>
    </row>
    <row r="1441" ht="15.75">
      <c r="E1441" s="144"/>
      <c r="G1441" s="146"/>
    </row>
    <row r="1442" ht="15.75">
      <c r="E1442" s="144"/>
      <c r="G1442" s="146"/>
    </row>
    <row r="1443" ht="15.75">
      <c r="E1443" s="144"/>
      <c r="G1443" s="146"/>
    </row>
    <row r="1444" ht="15.75">
      <c r="E1444" s="144"/>
      <c r="G1444" s="146"/>
    </row>
    <row r="1445" ht="15.75">
      <c r="E1445" s="144"/>
      <c r="G1445" s="146"/>
    </row>
    <row r="1446" ht="15.75">
      <c r="E1446" s="144"/>
      <c r="G1446" s="146"/>
    </row>
    <row r="1447" ht="15.75">
      <c r="E1447" s="144"/>
      <c r="G1447" s="146"/>
    </row>
    <row r="1448" ht="15.75">
      <c r="E1448" s="144"/>
      <c r="G1448" s="146"/>
    </row>
    <row r="1449" ht="15.75">
      <c r="E1449" s="144"/>
      <c r="G1449" s="146"/>
    </row>
    <row r="1450" ht="15.75">
      <c r="E1450" s="144"/>
      <c r="G1450" s="146"/>
    </row>
    <row r="1451" ht="15.75">
      <c r="E1451" s="144"/>
      <c r="G1451" s="146"/>
    </row>
    <row r="1452" ht="15.75">
      <c r="E1452" s="144"/>
      <c r="G1452" s="146"/>
    </row>
    <row r="1453" ht="15.75">
      <c r="E1453" s="144"/>
      <c r="G1453" s="146"/>
    </row>
    <row r="1454" ht="15.75">
      <c r="E1454" s="144"/>
      <c r="G1454" s="146"/>
    </row>
    <row r="1455" ht="15.75">
      <c r="E1455" s="144"/>
      <c r="G1455" s="146"/>
    </row>
    <row r="1456" ht="15.75">
      <c r="E1456" s="144"/>
      <c r="G1456" s="146"/>
    </row>
    <row r="1457" ht="15.75">
      <c r="E1457" s="144"/>
      <c r="G1457" s="146"/>
    </row>
    <row r="1458" ht="15.75">
      <c r="E1458" s="144"/>
      <c r="G1458" s="146"/>
    </row>
    <row r="1459" ht="15.75">
      <c r="E1459" s="144"/>
      <c r="G1459" s="146"/>
    </row>
    <row r="1460" ht="15.75">
      <c r="E1460" s="144"/>
      <c r="G1460" s="146"/>
    </row>
    <row r="1461" ht="15.75">
      <c r="E1461" s="144"/>
      <c r="G1461" s="146"/>
    </row>
    <row r="1462" ht="15.75">
      <c r="E1462" s="144"/>
      <c r="G1462" s="146"/>
    </row>
    <row r="1463" ht="15.75">
      <c r="E1463" s="144"/>
      <c r="G1463" s="146"/>
    </row>
    <row r="1464" ht="15.75">
      <c r="E1464" s="144"/>
      <c r="G1464" s="146"/>
    </row>
    <row r="1465" ht="15.75">
      <c r="E1465" s="144"/>
      <c r="G1465" s="146"/>
    </row>
    <row r="1466" ht="15.75">
      <c r="E1466" s="144"/>
      <c r="G1466" s="146"/>
    </row>
    <row r="1467" ht="15.75">
      <c r="E1467" s="144"/>
      <c r="G1467" s="146"/>
    </row>
    <row r="1468" ht="15.75">
      <c r="E1468" s="144"/>
      <c r="G1468" s="146"/>
    </row>
    <row r="1469" ht="15.75">
      <c r="E1469" s="144"/>
      <c r="G1469" s="146"/>
    </row>
    <row r="1470" ht="15.75">
      <c r="E1470" s="144"/>
      <c r="G1470" s="146"/>
    </row>
    <row r="1471" ht="15.75">
      <c r="E1471" s="144"/>
      <c r="G1471" s="146"/>
    </row>
    <row r="1472" ht="15.75">
      <c r="E1472" s="144"/>
      <c r="G1472" s="146"/>
    </row>
    <row r="1473" ht="15.75">
      <c r="E1473" s="144"/>
      <c r="G1473" s="146"/>
    </row>
    <row r="1474" ht="15.75">
      <c r="E1474" s="144"/>
      <c r="G1474" s="146"/>
    </row>
    <row r="1475" ht="15.75">
      <c r="E1475" s="144"/>
      <c r="G1475" s="146"/>
    </row>
    <row r="1476" ht="15.75">
      <c r="E1476" s="144"/>
      <c r="G1476" s="146"/>
    </row>
    <row r="1477" ht="15.75">
      <c r="E1477" s="144"/>
      <c r="G1477" s="146"/>
    </row>
    <row r="1478" ht="15.75">
      <c r="E1478" s="144"/>
      <c r="G1478" s="146"/>
    </row>
    <row r="1479" ht="15.75">
      <c r="E1479" s="144"/>
      <c r="G1479" s="146"/>
    </row>
    <row r="1480" ht="15.75">
      <c r="E1480" s="144"/>
      <c r="G1480" s="146"/>
    </row>
    <row r="1481" ht="15.75">
      <c r="E1481" s="144"/>
      <c r="G1481" s="146"/>
    </row>
    <row r="1482" ht="15.75">
      <c r="E1482" s="144"/>
      <c r="G1482" s="146"/>
    </row>
    <row r="1483" ht="15.75">
      <c r="E1483" s="144"/>
      <c r="G1483" s="146"/>
    </row>
    <row r="1484" ht="15.75">
      <c r="E1484" s="144"/>
      <c r="G1484" s="146"/>
    </row>
    <row r="1485" ht="15.75">
      <c r="E1485" s="144"/>
      <c r="G1485" s="146"/>
    </row>
    <row r="1486" ht="15.75">
      <c r="E1486" s="144"/>
      <c r="G1486" s="146"/>
    </row>
    <row r="1487" ht="15.75">
      <c r="E1487" s="144"/>
      <c r="G1487" s="146"/>
    </row>
    <row r="1488" ht="15.75">
      <c r="E1488" s="144"/>
      <c r="G1488" s="146"/>
    </row>
    <row r="1489" ht="15.75">
      <c r="E1489" s="144"/>
      <c r="G1489" s="146"/>
    </row>
    <row r="1490" ht="15.75">
      <c r="E1490" s="144"/>
      <c r="G1490" s="146"/>
    </row>
    <row r="1491" ht="15.75">
      <c r="E1491" s="144"/>
      <c r="G1491" s="146"/>
    </row>
    <row r="1492" ht="15.75">
      <c r="E1492" s="144"/>
      <c r="G1492" s="146"/>
    </row>
    <row r="1493" ht="15.75">
      <c r="E1493" s="144"/>
      <c r="G1493" s="146"/>
    </row>
    <row r="1494" ht="15.75">
      <c r="E1494" s="144"/>
      <c r="G1494" s="146"/>
    </row>
    <row r="1495" ht="15.75">
      <c r="E1495" s="144"/>
      <c r="G1495" s="146"/>
    </row>
    <row r="1496" ht="15.75">
      <c r="E1496" s="144"/>
      <c r="G1496" s="146"/>
    </row>
    <row r="1497" ht="15.75">
      <c r="E1497" s="144"/>
      <c r="G1497" s="146"/>
    </row>
    <row r="1498" ht="15.75">
      <c r="E1498" s="144"/>
      <c r="G1498" s="146"/>
    </row>
    <row r="1499" ht="15.75">
      <c r="E1499" s="144"/>
      <c r="G1499" s="146"/>
    </row>
    <row r="1500" ht="15.75">
      <c r="E1500" s="144"/>
      <c r="G1500" s="146"/>
    </row>
    <row r="1501" ht="15.75">
      <c r="E1501" s="144"/>
      <c r="G1501" s="146"/>
    </row>
    <row r="1502" ht="15.75">
      <c r="E1502" s="144"/>
      <c r="G1502" s="146"/>
    </row>
    <row r="1503" ht="15.75">
      <c r="E1503" s="144"/>
      <c r="G1503" s="146"/>
    </row>
    <row r="1504" ht="15.75">
      <c r="E1504" s="144"/>
      <c r="G1504" s="146"/>
    </row>
    <row r="1505" ht="15.75">
      <c r="E1505" s="144"/>
      <c r="G1505" s="146"/>
    </row>
    <row r="1506" ht="15.75">
      <c r="E1506" s="144"/>
      <c r="G1506" s="146"/>
    </row>
    <row r="1507" ht="15.75">
      <c r="E1507" s="144"/>
      <c r="G1507" s="146"/>
    </row>
    <row r="1508" ht="15.75">
      <c r="E1508" s="144"/>
      <c r="G1508" s="146"/>
    </row>
    <row r="1509" ht="15.75">
      <c r="E1509" s="144"/>
      <c r="G1509" s="146"/>
    </row>
    <row r="1510" ht="15.75">
      <c r="E1510" s="144"/>
      <c r="G1510" s="146"/>
    </row>
    <row r="1511" ht="15.75">
      <c r="E1511" s="144"/>
      <c r="G1511" s="146"/>
    </row>
    <row r="1512" ht="15.75">
      <c r="E1512" s="144"/>
      <c r="G1512" s="146"/>
    </row>
    <row r="1513" ht="15.75">
      <c r="E1513" s="144"/>
      <c r="G1513" s="146"/>
    </row>
    <row r="1514" ht="15.75">
      <c r="E1514" s="144"/>
      <c r="G1514" s="146"/>
    </row>
    <row r="1515" ht="15.75">
      <c r="E1515" s="144"/>
      <c r="G1515" s="146"/>
    </row>
    <row r="1516" ht="15.75">
      <c r="E1516" s="144"/>
      <c r="G1516" s="146"/>
    </row>
    <row r="1517" ht="15.75">
      <c r="E1517" s="144"/>
      <c r="G1517" s="146"/>
    </row>
    <row r="1518" ht="15.75">
      <c r="E1518" s="144"/>
      <c r="G1518" s="146"/>
    </row>
    <row r="1519" ht="15.75">
      <c r="E1519" s="144"/>
      <c r="G1519" s="146"/>
    </row>
    <row r="1520" ht="15.75">
      <c r="E1520" s="144"/>
      <c r="G1520" s="146"/>
    </row>
    <row r="1521" ht="15.75">
      <c r="E1521" s="144"/>
      <c r="G1521" s="146"/>
    </row>
    <row r="1522" ht="15.75">
      <c r="E1522" s="144"/>
      <c r="G1522" s="146"/>
    </row>
    <row r="1523" ht="15.75">
      <c r="E1523" s="144"/>
      <c r="G1523" s="146"/>
    </row>
    <row r="1524" ht="15.75">
      <c r="E1524" s="144"/>
      <c r="G1524" s="146"/>
    </row>
    <row r="1525" ht="15.75">
      <c r="E1525" s="144"/>
      <c r="G1525" s="146"/>
    </row>
    <row r="1526" ht="15.75">
      <c r="E1526" s="144"/>
      <c r="G1526" s="146"/>
    </row>
    <row r="1527" ht="15.75">
      <c r="E1527" s="144"/>
      <c r="G1527" s="146"/>
    </row>
    <row r="1528" ht="15.75">
      <c r="E1528" s="144"/>
      <c r="G1528" s="146"/>
    </row>
    <row r="1529" ht="15.75">
      <c r="E1529" s="144"/>
      <c r="G1529" s="146"/>
    </row>
    <row r="1530" ht="15.75">
      <c r="E1530" s="144"/>
      <c r="G1530" s="146"/>
    </row>
    <row r="1531" ht="15.75">
      <c r="E1531" s="144"/>
      <c r="G1531" s="146"/>
    </row>
    <row r="1532" ht="15.75">
      <c r="E1532" s="144"/>
      <c r="G1532" s="146"/>
    </row>
    <row r="1533" ht="15.75">
      <c r="E1533" s="144"/>
      <c r="G1533" s="146"/>
    </row>
    <row r="1534" ht="15.75">
      <c r="E1534" s="144"/>
      <c r="G1534" s="146"/>
    </row>
    <row r="1535" ht="15.75">
      <c r="E1535" s="144"/>
      <c r="G1535" s="146"/>
    </row>
    <row r="1536" ht="15.75">
      <c r="E1536" s="144"/>
      <c r="G1536" s="146"/>
    </row>
    <row r="1537" ht="15.75">
      <c r="E1537" s="144"/>
      <c r="G1537" s="146"/>
    </row>
    <row r="1538" ht="15.75">
      <c r="E1538" s="144"/>
      <c r="G1538" s="146"/>
    </row>
    <row r="1539" ht="15.75">
      <c r="E1539" s="144"/>
      <c r="G1539" s="146"/>
    </row>
    <row r="1540" ht="15.75">
      <c r="E1540" s="144"/>
      <c r="G1540" s="146"/>
    </row>
    <row r="1541" ht="15.75">
      <c r="E1541" s="144"/>
      <c r="G1541" s="146"/>
    </row>
    <row r="1542" ht="15.75">
      <c r="E1542" s="144"/>
      <c r="G1542" s="146"/>
    </row>
    <row r="1543" ht="15.75">
      <c r="E1543" s="144"/>
      <c r="G1543" s="146"/>
    </row>
    <row r="1544" ht="15.75">
      <c r="E1544" s="144"/>
      <c r="G1544" s="146"/>
    </row>
    <row r="1545" ht="15.75">
      <c r="E1545" s="144"/>
      <c r="G1545" s="146"/>
    </row>
    <row r="1546" ht="15.75">
      <c r="E1546" s="144"/>
      <c r="G1546" s="146"/>
    </row>
    <row r="1547" ht="15.75">
      <c r="E1547" s="144"/>
      <c r="G1547" s="146"/>
    </row>
    <row r="1548" ht="15.75">
      <c r="E1548" s="144"/>
      <c r="G1548" s="146"/>
    </row>
    <row r="1549" ht="15.75">
      <c r="E1549" s="144"/>
      <c r="G1549" s="146"/>
    </row>
    <row r="1550" ht="15.75">
      <c r="E1550" s="144"/>
      <c r="G1550" s="146"/>
    </row>
    <row r="1551" ht="15.75">
      <c r="E1551" s="144"/>
      <c r="G1551" s="146"/>
    </row>
    <row r="1552" ht="15.75">
      <c r="E1552" s="144"/>
      <c r="G1552" s="146"/>
    </row>
    <row r="1553" ht="15.75">
      <c r="E1553" s="144"/>
      <c r="G1553" s="146"/>
    </row>
    <row r="1554" ht="15.75">
      <c r="E1554" s="144"/>
      <c r="G1554" s="146"/>
    </row>
    <row r="1555" ht="15.75">
      <c r="E1555" s="144"/>
      <c r="G1555" s="146"/>
    </row>
    <row r="1556" ht="15.75">
      <c r="E1556" s="144"/>
      <c r="G1556" s="146"/>
    </row>
    <row r="1557" ht="15.75">
      <c r="E1557" s="144"/>
      <c r="G1557" s="146"/>
    </row>
    <row r="1558" ht="15.75">
      <c r="E1558" s="144"/>
      <c r="G1558" s="146"/>
    </row>
    <row r="1559" ht="15.75">
      <c r="E1559" s="144"/>
      <c r="G1559" s="146"/>
    </row>
    <row r="1560" ht="15.75">
      <c r="E1560" s="144"/>
      <c r="G1560" s="146"/>
    </row>
    <row r="1561" ht="15.75">
      <c r="E1561" s="144"/>
      <c r="G1561" s="146"/>
    </row>
    <row r="1562" ht="15.75">
      <c r="E1562" s="144"/>
      <c r="G1562" s="146"/>
    </row>
    <row r="1563" ht="15.75">
      <c r="E1563" s="144"/>
      <c r="G1563" s="146"/>
    </row>
    <row r="1564" ht="15.75">
      <c r="E1564" s="144"/>
      <c r="G1564" s="146"/>
    </row>
    <row r="1565" ht="15.75">
      <c r="E1565" s="144"/>
      <c r="G1565" s="146"/>
    </row>
    <row r="1566" ht="15.75">
      <c r="E1566" s="144"/>
      <c r="G1566" s="146"/>
    </row>
    <row r="1567" ht="15.75">
      <c r="E1567" s="144"/>
      <c r="G1567" s="146"/>
    </row>
    <row r="1568" ht="15.75">
      <c r="E1568" s="144"/>
      <c r="G1568" s="146"/>
    </row>
    <row r="1569" ht="15.75">
      <c r="E1569" s="144"/>
      <c r="G1569" s="146"/>
    </row>
    <row r="1570" ht="15.75">
      <c r="E1570" s="144"/>
      <c r="G1570" s="146"/>
    </row>
    <row r="1571" ht="15.75">
      <c r="E1571" s="144"/>
      <c r="G1571" s="146"/>
    </row>
    <row r="1572" ht="15.75">
      <c r="E1572" s="144"/>
      <c r="G1572" s="146"/>
    </row>
    <row r="1573" ht="15.75">
      <c r="E1573" s="144"/>
      <c r="G1573" s="146"/>
    </row>
    <row r="1574" ht="15.75">
      <c r="E1574" s="144"/>
      <c r="G1574" s="146"/>
    </row>
    <row r="1575" ht="15.75">
      <c r="E1575" s="144"/>
      <c r="G1575" s="146"/>
    </row>
    <row r="1576" ht="15.75">
      <c r="E1576" s="144"/>
      <c r="G1576" s="146"/>
    </row>
    <row r="1577" ht="15.75">
      <c r="E1577" s="144"/>
      <c r="G1577" s="146"/>
    </row>
    <row r="1578" ht="15.75">
      <c r="E1578" s="144"/>
      <c r="G1578" s="146"/>
    </row>
    <row r="1579" ht="15.75">
      <c r="E1579" s="144"/>
      <c r="G1579" s="146"/>
    </row>
    <row r="1580" ht="15.75">
      <c r="E1580" s="144"/>
      <c r="G1580" s="146"/>
    </row>
    <row r="1581" ht="15.75">
      <c r="E1581" s="144"/>
      <c r="G1581" s="146"/>
    </row>
    <row r="1582" ht="15.75">
      <c r="E1582" s="144"/>
      <c r="G1582" s="146"/>
    </row>
    <row r="1583" ht="15.75">
      <c r="E1583" s="144"/>
      <c r="G1583" s="146"/>
    </row>
    <row r="1584" ht="15.75">
      <c r="E1584" s="144"/>
      <c r="G1584" s="146"/>
    </row>
    <row r="1585" ht="15.75">
      <c r="E1585" s="144"/>
      <c r="G1585" s="146"/>
    </row>
    <row r="1586" ht="15.75">
      <c r="E1586" s="144"/>
      <c r="G1586" s="146"/>
    </row>
    <row r="1587" ht="15.75">
      <c r="E1587" s="144"/>
      <c r="G1587" s="146"/>
    </row>
    <row r="1588" ht="15.75">
      <c r="E1588" s="144"/>
      <c r="G1588" s="146"/>
    </row>
    <row r="1589" ht="15.75">
      <c r="E1589" s="144"/>
      <c r="G1589" s="146"/>
    </row>
    <row r="1590" ht="15.75">
      <c r="E1590" s="144"/>
      <c r="G1590" s="146"/>
    </row>
    <row r="1591" ht="15.75">
      <c r="E1591" s="144"/>
      <c r="G1591" s="146"/>
    </row>
    <row r="1592" ht="15.75">
      <c r="E1592" s="144"/>
      <c r="G1592" s="146"/>
    </row>
    <row r="1593" ht="15.75">
      <c r="E1593" s="144"/>
      <c r="G1593" s="146"/>
    </row>
    <row r="1594" ht="15.75">
      <c r="E1594" s="144"/>
      <c r="G1594" s="146"/>
    </row>
    <row r="1595" ht="15.75">
      <c r="E1595" s="144"/>
      <c r="G1595" s="146"/>
    </row>
    <row r="1596" ht="15.75">
      <c r="E1596" s="144"/>
      <c r="G1596" s="146"/>
    </row>
    <row r="1597" ht="15.75">
      <c r="E1597" s="144"/>
      <c r="G1597" s="146"/>
    </row>
    <row r="1598" ht="15.75">
      <c r="E1598" s="144"/>
      <c r="G1598" s="146"/>
    </row>
    <row r="1599" ht="15.75">
      <c r="E1599" s="144"/>
      <c r="G1599" s="146"/>
    </row>
    <row r="1600" ht="15.75">
      <c r="E1600" s="144"/>
      <c r="G1600" s="146"/>
    </row>
    <row r="1601" ht="15.75">
      <c r="E1601" s="144"/>
      <c r="G1601" s="146"/>
    </row>
    <row r="1602" ht="15.75">
      <c r="E1602" s="144"/>
      <c r="G1602" s="146"/>
    </row>
    <row r="1603" ht="15.75">
      <c r="E1603" s="144"/>
      <c r="G1603" s="146"/>
    </row>
    <row r="1604" ht="15.75">
      <c r="E1604" s="144"/>
      <c r="G1604" s="146"/>
    </row>
    <row r="1605" ht="15.75">
      <c r="E1605" s="144"/>
      <c r="G1605" s="146"/>
    </row>
    <row r="1606" ht="15.75">
      <c r="E1606" s="144"/>
      <c r="G1606" s="146"/>
    </row>
    <row r="1607" ht="15.75">
      <c r="E1607" s="144"/>
      <c r="G1607" s="146"/>
    </row>
    <row r="1608" ht="15.75">
      <c r="E1608" s="144"/>
      <c r="G1608" s="146"/>
    </row>
    <row r="1609" ht="15.75">
      <c r="E1609" s="144"/>
      <c r="G1609" s="146"/>
    </row>
    <row r="1610" ht="15.75">
      <c r="E1610" s="144"/>
      <c r="G1610" s="146"/>
    </row>
    <row r="1611" ht="15.75">
      <c r="E1611" s="144"/>
      <c r="G1611" s="146"/>
    </row>
    <row r="1612" ht="15.75">
      <c r="E1612" s="144"/>
      <c r="G1612" s="146"/>
    </row>
    <row r="1613" ht="15.75">
      <c r="E1613" s="144"/>
      <c r="G1613" s="146"/>
    </row>
    <row r="1614" ht="15.75">
      <c r="E1614" s="144"/>
      <c r="G1614" s="146"/>
    </row>
    <row r="1615" ht="15.75">
      <c r="E1615" s="144"/>
      <c r="G1615" s="146"/>
    </row>
    <row r="1616" ht="15.75">
      <c r="E1616" s="144"/>
      <c r="G1616" s="146"/>
    </row>
    <row r="1617" ht="15.75">
      <c r="E1617" s="144"/>
      <c r="G1617" s="146"/>
    </row>
    <row r="1618" ht="15.75">
      <c r="E1618" s="144"/>
      <c r="G1618" s="146"/>
    </row>
    <row r="1619" ht="15.75">
      <c r="E1619" s="144"/>
      <c r="G1619" s="146"/>
    </row>
    <row r="1620" ht="15.75">
      <c r="E1620" s="144"/>
      <c r="G1620" s="146"/>
    </row>
    <row r="1621" ht="15.75">
      <c r="E1621" s="144"/>
      <c r="G1621" s="146"/>
    </row>
    <row r="1622" ht="15.75">
      <c r="E1622" s="144"/>
      <c r="G1622" s="146"/>
    </row>
    <row r="1623" ht="15.75">
      <c r="E1623" s="144"/>
      <c r="G1623" s="146"/>
    </row>
    <row r="1624" ht="15.75">
      <c r="E1624" s="144"/>
      <c r="G1624" s="146"/>
    </row>
    <row r="1625" ht="15.75">
      <c r="E1625" s="144"/>
      <c r="G1625" s="146"/>
    </row>
    <row r="1626" ht="15.75">
      <c r="E1626" s="144"/>
      <c r="G1626" s="146"/>
    </row>
    <row r="1627" ht="15.75">
      <c r="E1627" s="144"/>
      <c r="G1627" s="146"/>
    </row>
    <row r="1628" ht="15.75">
      <c r="E1628" s="144"/>
      <c r="G1628" s="146"/>
    </row>
    <row r="1629" ht="15.75">
      <c r="E1629" s="144"/>
      <c r="G1629" s="146"/>
    </row>
    <row r="1630" ht="15.75">
      <c r="E1630" s="144"/>
      <c r="G1630" s="146"/>
    </row>
    <row r="1631" ht="15.75">
      <c r="E1631" s="144"/>
      <c r="G1631" s="146"/>
    </row>
    <row r="1632" ht="15.75">
      <c r="E1632" s="144"/>
      <c r="G1632" s="146"/>
    </row>
    <row r="1633" ht="15.75">
      <c r="E1633" s="144"/>
      <c r="G1633" s="146"/>
    </row>
    <row r="1634" ht="15.75">
      <c r="E1634" s="144"/>
      <c r="G1634" s="146"/>
    </row>
    <row r="1635" ht="15.75">
      <c r="E1635" s="144"/>
      <c r="G1635" s="146"/>
    </row>
    <row r="1636" ht="15.75">
      <c r="E1636" s="144"/>
      <c r="G1636" s="146"/>
    </row>
    <row r="1637" ht="15.75">
      <c r="E1637" s="144"/>
      <c r="G1637" s="146"/>
    </row>
    <row r="1638" ht="15.75">
      <c r="E1638" s="144"/>
      <c r="G1638" s="146"/>
    </row>
    <row r="1639" ht="15.75">
      <c r="E1639" s="144"/>
      <c r="G1639" s="146"/>
    </row>
    <row r="1640" ht="15.75">
      <c r="E1640" s="144"/>
      <c r="G1640" s="146"/>
    </row>
    <row r="1641" ht="15.75">
      <c r="E1641" s="144"/>
      <c r="G1641" s="146"/>
    </row>
    <row r="1642" ht="15.75">
      <c r="E1642" s="144"/>
      <c r="G1642" s="146"/>
    </row>
    <row r="1643" ht="15.75">
      <c r="E1643" s="144"/>
      <c r="G1643" s="146"/>
    </row>
    <row r="1644" ht="15.75">
      <c r="E1644" s="144"/>
      <c r="G1644" s="146"/>
    </row>
    <row r="1645" ht="15.75">
      <c r="E1645" s="144"/>
      <c r="G1645" s="146"/>
    </row>
    <row r="1646" ht="15.75">
      <c r="E1646" s="144"/>
      <c r="G1646" s="146"/>
    </row>
    <row r="1647" ht="15.75">
      <c r="E1647" s="144"/>
      <c r="G1647" s="146"/>
    </row>
    <row r="1648" ht="15.75">
      <c r="E1648" s="144"/>
      <c r="G1648" s="146"/>
    </row>
    <row r="1649" ht="15.75">
      <c r="E1649" s="144"/>
      <c r="G1649" s="146"/>
    </row>
    <row r="1650" ht="15.75">
      <c r="E1650" s="144"/>
      <c r="G1650" s="146"/>
    </row>
    <row r="1651" ht="15.75">
      <c r="E1651" s="144"/>
      <c r="G1651" s="146"/>
    </row>
    <row r="1652" ht="15.75">
      <c r="E1652" s="144"/>
      <c r="G1652" s="146"/>
    </row>
    <row r="1653" ht="15.75">
      <c r="E1653" s="144"/>
      <c r="G1653" s="146"/>
    </row>
    <row r="1654" ht="15.75">
      <c r="E1654" s="144"/>
      <c r="G1654" s="146"/>
    </row>
    <row r="1655" ht="15.75">
      <c r="E1655" s="144"/>
      <c r="G1655" s="146"/>
    </row>
    <row r="1656" ht="15.75">
      <c r="E1656" s="144"/>
      <c r="G1656" s="146"/>
    </row>
    <row r="1657" ht="15.75">
      <c r="E1657" s="144"/>
      <c r="G1657" s="146"/>
    </row>
    <row r="1658" ht="15.75">
      <c r="E1658" s="144"/>
      <c r="G1658" s="146"/>
    </row>
    <row r="1659" ht="15.75">
      <c r="E1659" s="144"/>
      <c r="G1659" s="146"/>
    </row>
    <row r="1660" ht="15.75">
      <c r="E1660" s="144"/>
      <c r="G1660" s="146"/>
    </row>
    <row r="1661" ht="15.75">
      <c r="E1661" s="144"/>
      <c r="G1661" s="146"/>
    </row>
    <row r="1662" ht="15.75">
      <c r="E1662" s="144"/>
      <c r="G1662" s="146"/>
    </row>
    <row r="1663" ht="15.75">
      <c r="E1663" s="144"/>
      <c r="G1663" s="146"/>
    </row>
    <row r="1664" ht="15.75">
      <c r="E1664" s="144"/>
      <c r="G1664" s="146"/>
    </row>
    <row r="1665" ht="15.75">
      <c r="E1665" s="144"/>
      <c r="G1665" s="146"/>
    </row>
    <row r="1666" ht="15.75">
      <c r="E1666" s="144"/>
      <c r="G1666" s="146"/>
    </row>
    <row r="1667" ht="15.75">
      <c r="E1667" s="144"/>
      <c r="G1667" s="146"/>
    </row>
    <row r="1668" ht="15.75">
      <c r="E1668" s="144"/>
      <c r="G1668" s="146"/>
    </row>
    <row r="1669" ht="15.75">
      <c r="E1669" s="144"/>
      <c r="G1669" s="146"/>
    </row>
    <row r="1670" ht="15.75">
      <c r="E1670" s="144"/>
      <c r="G1670" s="146"/>
    </row>
    <row r="1671" ht="15.75">
      <c r="E1671" s="144"/>
      <c r="G1671" s="146"/>
    </row>
    <row r="1672" ht="15.75">
      <c r="E1672" s="144"/>
      <c r="G1672" s="146"/>
    </row>
    <row r="1673" ht="15.75">
      <c r="E1673" s="144"/>
      <c r="G1673" s="146"/>
    </row>
    <row r="1674" ht="15.75">
      <c r="E1674" s="144"/>
      <c r="G1674" s="146"/>
    </row>
    <row r="1675" ht="15.75">
      <c r="E1675" s="144"/>
      <c r="G1675" s="146"/>
    </row>
    <row r="1676" ht="15.75">
      <c r="E1676" s="144"/>
      <c r="G1676" s="146"/>
    </row>
    <row r="1677" ht="15.75">
      <c r="E1677" s="144"/>
      <c r="G1677" s="146"/>
    </row>
    <row r="1678" ht="15.75">
      <c r="E1678" s="144"/>
      <c r="G1678" s="146"/>
    </row>
    <row r="1679" ht="15.75">
      <c r="E1679" s="144"/>
      <c r="G1679" s="146"/>
    </row>
    <row r="1680" ht="15.75">
      <c r="E1680" s="144"/>
      <c r="G1680" s="146"/>
    </row>
    <row r="1681" ht="15.75">
      <c r="E1681" s="144"/>
      <c r="G1681" s="146"/>
    </row>
    <row r="1682" ht="15.75">
      <c r="E1682" s="144"/>
      <c r="G1682" s="146"/>
    </row>
    <row r="1683" ht="15.75">
      <c r="E1683" s="144"/>
      <c r="G1683" s="146"/>
    </row>
    <row r="1684" ht="15.75">
      <c r="E1684" s="144"/>
      <c r="G1684" s="146"/>
    </row>
    <row r="1685" ht="15.75">
      <c r="E1685" s="144"/>
      <c r="G1685" s="146"/>
    </row>
    <row r="1686" ht="15.75">
      <c r="E1686" s="144"/>
      <c r="G1686" s="146"/>
    </row>
    <row r="1687" ht="15.75">
      <c r="E1687" s="144"/>
      <c r="G1687" s="146"/>
    </row>
    <row r="1688" ht="15.75">
      <c r="E1688" s="144"/>
      <c r="G1688" s="146"/>
    </row>
    <row r="1689" ht="15.75">
      <c r="E1689" s="144"/>
      <c r="G1689" s="146"/>
    </row>
    <row r="1690" ht="15.75">
      <c r="E1690" s="144"/>
      <c r="G1690" s="146"/>
    </row>
    <row r="1691" ht="15.75">
      <c r="E1691" s="144"/>
      <c r="G1691" s="146"/>
    </row>
    <row r="1692" ht="15.75">
      <c r="E1692" s="144"/>
      <c r="G1692" s="146"/>
    </row>
    <row r="1693" ht="15.75">
      <c r="E1693" s="144"/>
      <c r="G1693" s="146"/>
    </row>
    <row r="1694" ht="15.75">
      <c r="E1694" s="144"/>
      <c r="G1694" s="146"/>
    </row>
    <row r="1695" ht="15.75">
      <c r="E1695" s="144"/>
      <c r="G1695" s="146"/>
    </row>
    <row r="1696" ht="15.75">
      <c r="E1696" s="144"/>
      <c r="G1696" s="146"/>
    </row>
    <row r="1697" ht="15.75">
      <c r="E1697" s="144"/>
      <c r="G1697" s="146"/>
    </row>
    <row r="1698" ht="15.75">
      <c r="E1698" s="144"/>
      <c r="G1698" s="146"/>
    </row>
    <row r="1699" ht="15.75">
      <c r="E1699" s="144"/>
      <c r="G1699" s="146"/>
    </row>
    <row r="1700" ht="15.75">
      <c r="E1700" s="144"/>
      <c r="G1700" s="146"/>
    </row>
    <row r="1701" ht="15.75">
      <c r="E1701" s="144"/>
      <c r="G1701" s="146"/>
    </row>
    <row r="1702" ht="15.75">
      <c r="E1702" s="144"/>
      <c r="G1702" s="146"/>
    </row>
    <row r="1703" ht="15.75">
      <c r="E1703" s="144"/>
      <c r="G1703" s="146"/>
    </row>
    <row r="1704" ht="15.75">
      <c r="E1704" s="144"/>
      <c r="G1704" s="146"/>
    </row>
    <row r="1705" ht="15.75">
      <c r="E1705" s="144"/>
      <c r="G1705" s="146"/>
    </row>
    <row r="1706" ht="15.75">
      <c r="E1706" s="144"/>
      <c r="G1706" s="146"/>
    </row>
    <row r="1707" ht="15.75">
      <c r="E1707" s="144"/>
      <c r="G1707" s="146"/>
    </row>
    <row r="1708" ht="15.75">
      <c r="E1708" s="144"/>
      <c r="G1708" s="146"/>
    </row>
    <row r="1709" ht="15.75">
      <c r="E1709" s="144"/>
      <c r="G1709" s="146"/>
    </row>
    <row r="1710" ht="15.75">
      <c r="E1710" s="144"/>
      <c r="G1710" s="146"/>
    </row>
    <row r="1711" ht="15.75">
      <c r="E1711" s="144"/>
      <c r="G1711" s="146"/>
    </row>
    <row r="1712" ht="15.75">
      <c r="E1712" s="144"/>
      <c r="G1712" s="146"/>
    </row>
    <row r="1713" ht="15.75">
      <c r="E1713" s="144"/>
      <c r="G1713" s="146"/>
    </row>
    <row r="1714" ht="15.75">
      <c r="E1714" s="144"/>
      <c r="G1714" s="146"/>
    </row>
    <row r="1715" ht="15.75">
      <c r="E1715" s="144"/>
      <c r="G1715" s="146"/>
    </row>
    <row r="1716" ht="15.75">
      <c r="E1716" s="144"/>
      <c r="G1716" s="146"/>
    </row>
    <row r="1717" ht="15.75">
      <c r="E1717" s="144"/>
      <c r="G1717" s="146"/>
    </row>
    <row r="1718" ht="15.75">
      <c r="E1718" s="144"/>
      <c r="G1718" s="146"/>
    </row>
    <row r="1719" ht="15.75">
      <c r="E1719" s="144"/>
      <c r="G1719" s="146"/>
    </row>
    <row r="1720" ht="15.75">
      <c r="E1720" s="144"/>
      <c r="G1720" s="146"/>
    </row>
    <row r="1721" ht="15.75">
      <c r="E1721" s="144"/>
      <c r="G1721" s="146"/>
    </row>
    <row r="1722" ht="15.75">
      <c r="E1722" s="144"/>
      <c r="G1722" s="146"/>
    </row>
    <row r="1723" ht="15.75">
      <c r="E1723" s="144"/>
      <c r="G1723" s="146"/>
    </row>
    <row r="1724" ht="15.75">
      <c r="E1724" s="144"/>
      <c r="G1724" s="146"/>
    </row>
    <row r="1725" ht="15.75">
      <c r="E1725" s="144"/>
      <c r="G1725" s="146"/>
    </row>
    <row r="1726" ht="15.75">
      <c r="E1726" s="144"/>
      <c r="G1726" s="146"/>
    </row>
    <row r="1727" ht="15.75">
      <c r="E1727" s="144"/>
      <c r="G1727" s="146"/>
    </row>
    <row r="1728" ht="15.75">
      <c r="E1728" s="144"/>
      <c r="G1728" s="146"/>
    </row>
    <row r="1729" ht="15.75">
      <c r="E1729" s="144"/>
      <c r="G1729" s="146"/>
    </row>
    <row r="1730" ht="15.75">
      <c r="E1730" s="144"/>
      <c r="G1730" s="146"/>
    </row>
    <row r="1731" ht="15.75">
      <c r="E1731" s="144"/>
      <c r="G1731" s="146"/>
    </row>
    <row r="1732" ht="15.75">
      <c r="E1732" s="144"/>
      <c r="G1732" s="146"/>
    </row>
    <row r="1733" ht="15.75">
      <c r="E1733" s="144"/>
      <c r="G1733" s="146"/>
    </row>
    <row r="1734" ht="15.75">
      <c r="E1734" s="144"/>
      <c r="G1734" s="146"/>
    </row>
    <row r="1735" ht="15.75">
      <c r="E1735" s="144"/>
      <c r="G1735" s="146"/>
    </row>
    <row r="1736" ht="15.75">
      <c r="E1736" s="144"/>
      <c r="G1736" s="146"/>
    </row>
    <row r="1737" ht="15.75">
      <c r="E1737" s="144"/>
      <c r="G1737" s="146"/>
    </row>
    <row r="1738" ht="15.75">
      <c r="E1738" s="144"/>
      <c r="G1738" s="146"/>
    </row>
    <row r="1739" ht="15.75">
      <c r="E1739" s="144"/>
      <c r="G1739" s="146"/>
    </row>
    <row r="1740" ht="15.75">
      <c r="E1740" s="144"/>
      <c r="G1740" s="146"/>
    </row>
    <row r="1741" ht="15.75">
      <c r="E1741" s="144"/>
      <c r="G1741" s="146"/>
    </row>
    <row r="1742" ht="15.75">
      <c r="E1742" s="144"/>
      <c r="G1742" s="146"/>
    </row>
    <row r="1743" ht="15.75">
      <c r="E1743" s="144"/>
      <c r="G1743" s="146"/>
    </row>
    <row r="1744" ht="15.75">
      <c r="E1744" s="144"/>
      <c r="G1744" s="146"/>
    </row>
    <row r="1745" ht="15.75">
      <c r="E1745" s="144"/>
      <c r="G1745" s="146"/>
    </row>
    <row r="1746" ht="15.75">
      <c r="E1746" s="144"/>
      <c r="G1746" s="146"/>
    </row>
    <row r="1747" ht="15.75">
      <c r="E1747" s="144"/>
      <c r="G1747" s="146"/>
    </row>
    <row r="1748" ht="15.75">
      <c r="E1748" s="144"/>
      <c r="G1748" s="146"/>
    </row>
    <row r="1749" ht="15.75">
      <c r="E1749" s="144"/>
      <c r="G1749" s="146"/>
    </row>
    <row r="1750" ht="15.75">
      <c r="E1750" s="144"/>
      <c r="G1750" s="146"/>
    </row>
    <row r="1751" ht="15.75">
      <c r="E1751" s="144"/>
      <c r="G1751" s="146"/>
    </row>
    <row r="1752" ht="15.75">
      <c r="E1752" s="144"/>
      <c r="G1752" s="146"/>
    </row>
    <row r="1753" ht="15.75">
      <c r="E1753" s="144"/>
      <c r="G1753" s="146"/>
    </row>
    <row r="1754" ht="15.75">
      <c r="E1754" s="144"/>
      <c r="G1754" s="146"/>
    </row>
    <row r="1755" ht="15.75">
      <c r="E1755" s="144"/>
      <c r="G1755" s="146"/>
    </row>
    <row r="1756" ht="15.75">
      <c r="E1756" s="144"/>
      <c r="G1756" s="146"/>
    </row>
    <row r="1757" ht="15.75">
      <c r="E1757" s="144"/>
      <c r="G1757" s="146"/>
    </row>
    <row r="1758" ht="15.75">
      <c r="E1758" s="144"/>
      <c r="G1758" s="146"/>
    </row>
    <row r="1759" ht="15.75">
      <c r="E1759" s="144"/>
      <c r="G1759" s="146"/>
    </row>
    <row r="1760" ht="15.75">
      <c r="E1760" s="144"/>
      <c r="G1760" s="146"/>
    </row>
    <row r="1761" ht="15.75">
      <c r="E1761" s="144"/>
      <c r="G1761" s="146"/>
    </row>
    <row r="1762" ht="15.75">
      <c r="E1762" s="144"/>
      <c r="G1762" s="146"/>
    </row>
    <row r="1763" ht="15.75">
      <c r="E1763" s="144"/>
      <c r="G1763" s="146"/>
    </row>
    <row r="1764" ht="15.75">
      <c r="E1764" s="144"/>
      <c r="G1764" s="146"/>
    </row>
    <row r="1765" ht="15.75">
      <c r="E1765" s="144"/>
      <c r="G1765" s="146"/>
    </row>
    <row r="1766" ht="15.75">
      <c r="E1766" s="144"/>
      <c r="G1766" s="146"/>
    </row>
    <row r="1767" ht="15.75">
      <c r="E1767" s="144"/>
      <c r="G1767" s="146"/>
    </row>
    <row r="1768" ht="15.75">
      <c r="E1768" s="144"/>
      <c r="G1768" s="146"/>
    </row>
    <row r="1769" ht="15.75">
      <c r="E1769" s="144"/>
      <c r="G1769" s="146"/>
    </row>
    <row r="1770" ht="15.75">
      <c r="E1770" s="144"/>
      <c r="G1770" s="146"/>
    </row>
    <row r="1771" ht="15.75">
      <c r="E1771" s="144"/>
      <c r="G1771" s="146"/>
    </row>
    <row r="1772" ht="15.75">
      <c r="E1772" s="144"/>
      <c r="G1772" s="146"/>
    </row>
    <row r="1773" ht="15.75">
      <c r="E1773" s="144"/>
      <c r="G1773" s="146"/>
    </row>
    <row r="1774" ht="15.75">
      <c r="E1774" s="144"/>
      <c r="G1774" s="146"/>
    </row>
    <row r="1775" ht="15.75">
      <c r="E1775" s="144"/>
      <c r="G1775" s="146"/>
    </row>
    <row r="1776" ht="15.75">
      <c r="E1776" s="144"/>
      <c r="G1776" s="146"/>
    </row>
    <row r="1777" ht="15.75">
      <c r="E1777" s="144"/>
      <c r="G1777" s="146"/>
    </row>
    <row r="1778" ht="15.75">
      <c r="E1778" s="144"/>
      <c r="G1778" s="146"/>
    </row>
    <row r="1779" ht="15.75">
      <c r="E1779" s="144"/>
      <c r="G1779" s="146"/>
    </row>
    <row r="1780" ht="15.75">
      <c r="E1780" s="144"/>
      <c r="G1780" s="146"/>
    </row>
    <row r="1781" ht="15.75">
      <c r="E1781" s="144"/>
      <c r="G1781" s="146"/>
    </row>
    <row r="1782" ht="15.75">
      <c r="E1782" s="144"/>
      <c r="G1782" s="146"/>
    </row>
    <row r="1783" ht="15.75">
      <c r="E1783" s="144"/>
      <c r="G1783" s="146"/>
    </row>
    <row r="1784" ht="15.75">
      <c r="E1784" s="144"/>
      <c r="G1784" s="146"/>
    </row>
    <row r="1785" ht="15.75">
      <c r="E1785" s="144"/>
      <c r="G1785" s="146"/>
    </row>
    <row r="1786" ht="15.75">
      <c r="E1786" s="144"/>
      <c r="G1786" s="146"/>
    </row>
    <row r="1787" ht="15.75">
      <c r="E1787" s="144"/>
      <c r="G1787" s="146"/>
    </row>
    <row r="1788" ht="15.75">
      <c r="E1788" s="144"/>
      <c r="G1788" s="146"/>
    </row>
    <row r="1789" ht="15.75">
      <c r="E1789" s="144"/>
      <c r="G1789" s="146"/>
    </row>
    <row r="1790" ht="15.75">
      <c r="E1790" s="144"/>
      <c r="G1790" s="146"/>
    </row>
    <row r="1791" ht="15.75">
      <c r="E1791" s="144"/>
      <c r="G1791" s="146"/>
    </row>
    <row r="1792" ht="15.75">
      <c r="E1792" s="144"/>
      <c r="G1792" s="146"/>
    </row>
    <row r="1793" ht="15.75">
      <c r="E1793" s="144"/>
      <c r="G1793" s="146"/>
    </row>
    <row r="1794" ht="15.75">
      <c r="E1794" s="144"/>
      <c r="G1794" s="146"/>
    </row>
    <row r="1795" ht="15.75">
      <c r="E1795" s="144"/>
      <c r="G1795" s="146"/>
    </row>
    <row r="1796" ht="15.75">
      <c r="E1796" s="144"/>
      <c r="G1796" s="146"/>
    </row>
    <row r="1797" ht="15.75">
      <c r="E1797" s="144"/>
      <c r="G1797" s="146"/>
    </row>
    <row r="1798" ht="15.75">
      <c r="E1798" s="144"/>
      <c r="G1798" s="146"/>
    </row>
    <row r="1799" ht="15.75">
      <c r="E1799" s="144"/>
      <c r="G1799" s="146"/>
    </row>
    <row r="1800" ht="15.75">
      <c r="E1800" s="144"/>
      <c r="G1800" s="146"/>
    </row>
    <row r="1801" ht="15.75">
      <c r="E1801" s="144"/>
      <c r="G1801" s="146"/>
    </row>
    <row r="1802" ht="15.75">
      <c r="E1802" s="144"/>
      <c r="G1802" s="146"/>
    </row>
    <row r="1803" ht="15.75">
      <c r="E1803" s="144"/>
      <c r="G1803" s="146"/>
    </row>
    <row r="1804" ht="15.75">
      <c r="E1804" s="144"/>
      <c r="G1804" s="146"/>
    </row>
    <row r="1805" ht="15.75">
      <c r="E1805" s="144"/>
      <c r="G1805" s="146"/>
    </row>
    <row r="1806" ht="15.75">
      <c r="E1806" s="144"/>
      <c r="G1806" s="146"/>
    </row>
    <row r="1807" ht="15.75">
      <c r="E1807" s="144"/>
      <c r="G1807" s="146"/>
    </row>
    <row r="1808" ht="15.75">
      <c r="E1808" s="144"/>
      <c r="G1808" s="146"/>
    </row>
    <row r="1809" ht="15.75">
      <c r="E1809" s="144"/>
      <c r="G1809" s="146"/>
    </row>
    <row r="1810" ht="15.75">
      <c r="E1810" s="144"/>
      <c r="G1810" s="146"/>
    </row>
    <row r="1811" ht="15.75">
      <c r="E1811" s="144"/>
      <c r="G1811" s="146"/>
    </row>
    <row r="1812" ht="15.75">
      <c r="E1812" s="144"/>
      <c r="G1812" s="146"/>
    </row>
    <row r="1813" ht="15.75">
      <c r="E1813" s="144"/>
      <c r="G1813" s="146"/>
    </row>
    <row r="1814" ht="15.75">
      <c r="E1814" s="144"/>
      <c r="G1814" s="146"/>
    </row>
    <row r="1815" ht="15.75">
      <c r="E1815" s="144"/>
      <c r="G1815" s="146"/>
    </row>
    <row r="1816" ht="15.75">
      <c r="E1816" s="144"/>
      <c r="G1816" s="146"/>
    </row>
    <row r="1817" ht="15.75">
      <c r="E1817" s="144"/>
      <c r="G1817" s="146"/>
    </row>
    <row r="1818" ht="15.75">
      <c r="E1818" s="144"/>
      <c r="G1818" s="146"/>
    </row>
    <row r="1819" ht="15.75">
      <c r="E1819" s="144"/>
      <c r="G1819" s="146"/>
    </row>
    <row r="1820" ht="15.75">
      <c r="E1820" s="144"/>
      <c r="G1820" s="146"/>
    </row>
    <row r="1821" ht="15.75">
      <c r="E1821" s="144"/>
      <c r="G1821" s="146"/>
    </row>
    <row r="1822" ht="15.75">
      <c r="E1822" s="144"/>
      <c r="G1822" s="146"/>
    </row>
    <row r="1823" ht="15.75">
      <c r="E1823" s="144"/>
      <c r="G1823" s="146"/>
    </row>
    <row r="1824" ht="15.75">
      <c r="E1824" s="144"/>
      <c r="G1824" s="146"/>
    </row>
    <row r="1825" ht="15.75">
      <c r="E1825" s="144"/>
      <c r="G1825" s="146"/>
    </row>
    <row r="1826" ht="15.75">
      <c r="E1826" s="144"/>
      <c r="G1826" s="146"/>
    </row>
    <row r="1827" ht="15.75">
      <c r="E1827" s="144"/>
      <c r="G1827" s="146"/>
    </row>
    <row r="1828" ht="15.75">
      <c r="E1828" s="144"/>
      <c r="G1828" s="146"/>
    </row>
    <row r="1829" ht="15.75">
      <c r="E1829" s="144"/>
      <c r="G1829" s="146"/>
    </row>
    <row r="1830" ht="15.75">
      <c r="E1830" s="144"/>
      <c r="G1830" s="146"/>
    </row>
    <row r="1831" ht="15.75">
      <c r="E1831" s="144"/>
      <c r="G1831" s="146"/>
    </row>
    <row r="1832" ht="15.75">
      <c r="E1832" s="144"/>
      <c r="G1832" s="146"/>
    </row>
    <row r="1833" ht="15.75">
      <c r="E1833" s="144"/>
      <c r="G1833" s="146"/>
    </row>
    <row r="1834" ht="15.75">
      <c r="E1834" s="144"/>
      <c r="G1834" s="146"/>
    </row>
    <row r="1835" ht="15.75">
      <c r="E1835" s="144"/>
      <c r="G1835" s="146"/>
    </row>
    <row r="1836" ht="15.75">
      <c r="E1836" s="144"/>
      <c r="G1836" s="146"/>
    </row>
    <row r="1837" ht="15.75">
      <c r="E1837" s="144"/>
      <c r="G1837" s="146"/>
    </row>
    <row r="1838" ht="15.75">
      <c r="E1838" s="144"/>
      <c r="G1838" s="146"/>
    </row>
    <row r="1839" ht="15.75">
      <c r="E1839" s="144"/>
      <c r="G1839" s="146"/>
    </row>
    <row r="1840" ht="15.75">
      <c r="E1840" s="144"/>
      <c r="G1840" s="146"/>
    </row>
    <row r="1841" ht="15.75">
      <c r="E1841" s="144"/>
      <c r="G1841" s="146"/>
    </row>
    <row r="1842" ht="15.75">
      <c r="E1842" s="144"/>
      <c r="G1842" s="146"/>
    </row>
    <row r="1843" ht="15.75">
      <c r="E1843" s="144"/>
      <c r="G1843" s="146"/>
    </row>
    <row r="1844" ht="15.75">
      <c r="E1844" s="144"/>
      <c r="G1844" s="146"/>
    </row>
    <row r="1845" ht="15.75">
      <c r="E1845" s="144"/>
      <c r="G1845" s="146"/>
    </row>
    <row r="1846" ht="15.75">
      <c r="E1846" s="144"/>
      <c r="G1846" s="146"/>
    </row>
    <row r="1847" ht="15.75">
      <c r="E1847" s="144"/>
      <c r="G1847" s="146"/>
    </row>
    <row r="1848" ht="15.75">
      <c r="E1848" s="144"/>
      <c r="G1848" s="146"/>
    </row>
    <row r="1849" ht="15.75">
      <c r="E1849" s="144"/>
      <c r="G1849" s="146"/>
    </row>
    <row r="1850" ht="15.75">
      <c r="E1850" s="144"/>
      <c r="G1850" s="146"/>
    </row>
    <row r="1851" ht="15.75">
      <c r="E1851" s="144"/>
      <c r="G1851" s="146"/>
    </row>
    <row r="1852" ht="15.75">
      <c r="E1852" s="144"/>
      <c r="G1852" s="146"/>
    </row>
    <row r="1853" ht="15.75">
      <c r="E1853" s="144"/>
      <c r="G1853" s="146"/>
    </row>
    <row r="1854" ht="15.75">
      <c r="E1854" s="144"/>
      <c r="G1854" s="146"/>
    </row>
    <row r="1855" ht="15.75">
      <c r="E1855" s="144"/>
      <c r="G1855" s="146"/>
    </row>
    <row r="1856" ht="15.75">
      <c r="E1856" s="144"/>
      <c r="G1856" s="146"/>
    </row>
    <row r="1857" ht="15.75">
      <c r="E1857" s="144"/>
      <c r="G1857" s="146"/>
    </row>
    <row r="1858" ht="15.75">
      <c r="E1858" s="144"/>
      <c r="G1858" s="146"/>
    </row>
    <row r="1859" ht="15.75">
      <c r="E1859" s="144"/>
      <c r="G1859" s="146"/>
    </row>
    <row r="1860" ht="15.75">
      <c r="E1860" s="144"/>
      <c r="G1860" s="146"/>
    </row>
    <row r="1861" ht="15.75">
      <c r="E1861" s="144"/>
      <c r="G1861" s="146"/>
    </row>
    <row r="1862" ht="15.75">
      <c r="E1862" s="144"/>
      <c r="G1862" s="146"/>
    </row>
    <row r="1863" ht="15.75">
      <c r="E1863" s="144"/>
      <c r="G1863" s="146"/>
    </row>
    <row r="1864" ht="15.75">
      <c r="E1864" s="144"/>
      <c r="G1864" s="146"/>
    </row>
    <row r="1865" ht="15.75">
      <c r="E1865" s="144"/>
      <c r="G1865" s="146"/>
    </row>
    <row r="1866" ht="15.75">
      <c r="E1866" s="144"/>
      <c r="G1866" s="146"/>
    </row>
    <row r="1867" ht="15.75">
      <c r="E1867" s="144"/>
      <c r="G1867" s="146"/>
    </row>
    <row r="1868" ht="15.75">
      <c r="E1868" s="144"/>
      <c r="G1868" s="146"/>
    </row>
    <row r="1869" ht="15.75">
      <c r="E1869" s="144"/>
      <c r="G1869" s="146"/>
    </row>
    <row r="1870" ht="15.75">
      <c r="E1870" s="144"/>
      <c r="G1870" s="146"/>
    </row>
    <row r="1871" ht="15.75">
      <c r="E1871" s="144"/>
      <c r="G1871" s="146"/>
    </row>
    <row r="1872" ht="15.75">
      <c r="E1872" s="144"/>
      <c r="G1872" s="146"/>
    </row>
    <row r="1873" ht="15.75">
      <c r="E1873" s="144"/>
      <c r="G1873" s="146"/>
    </row>
    <row r="1874" ht="15.75">
      <c r="E1874" s="144"/>
      <c r="G1874" s="146"/>
    </row>
    <row r="1875" ht="15.75">
      <c r="E1875" s="144"/>
      <c r="G1875" s="146"/>
    </row>
    <row r="1876" ht="15.75">
      <c r="E1876" s="144"/>
      <c r="G1876" s="146"/>
    </row>
    <row r="1877" ht="15.75">
      <c r="E1877" s="144"/>
      <c r="G1877" s="146"/>
    </row>
    <row r="1878" ht="15.75">
      <c r="E1878" s="144"/>
      <c r="G1878" s="146"/>
    </row>
    <row r="1879" ht="15.75">
      <c r="E1879" s="144"/>
      <c r="G1879" s="146"/>
    </row>
    <row r="1880" ht="15.75">
      <c r="E1880" s="144"/>
      <c r="G1880" s="146"/>
    </row>
    <row r="1881" ht="15.75">
      <c r="E1881" s="144"/>
      <c r="G1881" s="146"/>
    </row>
    <row r="1882" ht="15.75">
      <c r="E1882" s="144"/>
      <c r="G1882" s="146"/>
    </row>
    <row r="1883" ht="15.75">
      <c r="E1883" s="144"/>
      <c r="G1883" s="146"/>
    </row>
    <row r="1884" ht="15.75">
      <c r="E1884" s="144"/>
      <c r="G1884" s="146"/>
    </row>
    <row r="1885" ht="15.75">
      <c r="E1885" s="144"/>
      <c r="G1885" s="146"/>
    </row>
    <row r="1886" ht="15.75">
      <c r="E1886" s="144"/>
      <c r="G1886" s="146"/>
    </row>
    <row r="1887" ht="15.75">
      <c r="E1887" s="144"/>
      <c r="G1887" s="146"/>
    </row>
    <row r="1888" ht="15.75">
      <c r="E1888" s="144"/>
      <c r="G1888" s="146"/>
    </row>
    <row r="1889" ht="15.75">
      <c r="E1889" s="144"/>
      <c r="G1889" s="146"/>
    </row>
    <row r="1890" ht="15.75">
      <c r="E1890" s="144"/>
      <c r="G1890" s="146"/>
    </row>
    <row r="1891" ht="15.75">
      <c r="E1891" s="144"/>
      <c r="G1891" s="146"/>
    </row>
    <row r="1892" ht="15.75">
      <c r="E1892" s="144"/>
      <c r="G1892" s="146"/>
    </row>
    <row r="1893" ht="15.75">
      <c r="E1893" s="144"/>
      <c r="G1893" s="146"/>
    </row>
    <row r="1894" ht="15.75">
      <c r="E1894" s="144"/>
      <c r="G1894" s="146"/>
    </row>
    <row r="1895" ht="15.75">
      <c r="E1895" s="144"/>
      <c r="G1895" s="146"/>
    </row>
    <row r="1896" ht="15.75">
      <c r="E1896" s="144"/>
      <c r="G1896" s="146"/>
    </row>
    <row r="1897" ht="15.75">
      <c r="E1897" s="144"/>
      <c r="G1897" s="146"/>
    </row>
    <row r="1898" ht="15.75">
      <c r="E1898" s="144"/>
      <c r="G1898" s="146"/>
    </row>
    <row r="1899" ht="15.75">
      <c r="E1899" s="144"/>
      <c r="G1899" s="146"/>
    </row>
    <row r="1900" ht="15.75">
      <c r="E1900" s="144"/>
      <c r="G1900" s="146"/>
    </row>
    <row r="1901" ht="15.75">
      <c r="E1901" s="144"/>
      <c r="G1901" s="146"/>
    </row>
    <row r="1902" ht="15.75">
      <c r="E1902" s="144"/>
      <c r="G1902" s="146"/>
    </row>
    <row r="1903" ht="15.75">
      <c r="E1903" s="144"/>
      <c r="G1903" s="146"/>
    </row>
    <row r="1904" ht="15.75">
      <c r="E1904" s="144"/>
      <c r="G1904" s="146"/>
    </row>
    <row r="1905" ht="15.75">
      <c r="E1905" s="144"/>
      <c r="G1905" s="146"/>
    </row>
    <row r="1906" ht="15.75">
      <c r="E1906" s="144"/>
      <c r="G1906" s="146"/>
    </row>
    <row r="1907" ht="15.75">
      <c r="E1907" s="144"/>
      <c r="G1907" s="146"/>
    </row>
    <row r="1908" ht="15.75">
      <c r="E1908" s="144"/>
      <c r="G1908" s="146"/>
    </row>
    <row r="1909" ht="15.75">
      <c r="E1909" s="144"/>
      <c r="G1909" s="146"/>
    </row>
    <row r="1910" ht="15.75">
      <c r="E1910" s="144"/>
      <c r="G1910" s="146"/>
    </row>
    <row r="1911" ht="15.75">
      <c r="E1911" s="144"/>
      <c r="G1911" s="146"/>
    </row>
    <row r="1912" ht="15.75">
      <c r="E1912" s="144"/>
      <c r="G1912" s="146"/>
    </row>
    <row r="1913" ht="15.75">
      <c r="E1913" s="144"/>
      <c r="G1913" s="146"/>
    </row>
    <row r="1914" ht="15.75">
      <c r="E1914" s="144"/>
      <c r="G1914" s="146"/>
    </row>
    <row r="1915" ht="15.75">
      <c r="E1915" s="144"/>
      <c r="G1915" s="146"/>
    </row>
    <row r="1916" ht="15.75">
      <c r="E1916" s="144"/>
      <c r="G1916" s="146"/>
    </row>
    <row r="1917" ht="15.75">
      <c r="E1917" s="144"/>
      <c r="G1917" s="146"/>
    </row>
    <row r="1918" ht="15.75">
      <c r="E1918" s="144"/>
      <c r="G1918" s="146"/>
    </row>
    <row r="1919" ht="15.75">
      <c r="E1919" s="144"/>
      <c r="G1919" s="146"/>
    </row>
    <row r="1920" ht="15.75">
      <c r="E1920" s="144"/>
      <c r="G1920" s="146"/>
    </row>
    <row r="1921" ht="15.75">
      <c r="E1921" s="144"/>
      <c r="G1921" s="146"/>
    </row>
    <row r="1922" ht="15.75">
      <c r="E1922" s="144"/>
      <c r="G1922" s="146"/>
    </row>
    <row r="1923" ht="15.75">
      <c r="E1923" s="144"/>
      <c r="G1923" s="146"/>
    </row>
    <row r="1924" ht="15.75">
      <c r="E1924" s="144"/>
      <c r="G1924" s="146"/>
    </row>
    <row r="1925" ht="15.75">
      <c r="E1925" s="144"/>
      <c r="G1925" s="146"/>
    </row>
    <row r="1926" ht="15.75">
      <c r="E1926" s="144"/>
      <c r="G1926" s="146"/>
    </row>
    <row r="1927" ht="15.75">
      <c r="E1927" s="144"/>
      <c r="G1927" s="146"/>
    </row>
    <row r="1928" ht="15.75">
      <c r="E1928" s="144"/>
      <c r="G1928" s="146"/>
    </row>
    <row r="1929" ht="15.75">
      <c r="E1929" s="144"/>
      <c r="G1929" s="146"/>
    </row>
    <row r="1930" ht="15.75">
      <c r="E1930" s="144"/>
      <c r="G1930" s="146"/>
    </row>
    <row r="1931" ht="15.75">
      <c r="E1931" s="144"/>
      <c r="G1931" s="146"/>
    </row>
    <row r="1932" ht="15.75">
      <c r="E1932" s="144"/>
      <c r="G1932" s="146"/>
    </row>
    <row r="1933" ht="15.75">
      <c r="E1933" s="144"/>
      <c r="G1933" s="146"/>
    </row>
    <row r="1934" ht="15.75">
      <c r="E1934" s="144"/>
      <c r="G1934" s="146"/>
    </row>
    <row r="1935" ht="15.75">
      <c r="E1935" s="144"/>
      <c r="G1935" s="146"/>
    </row>
    <row r="1936" ht="15.75">
      <c r="E1936" s="144"/>
      <c r="G1936" s="146"/>
    </row>
    <row r="1937" ht="15.75">
      <c r="E1937" s="144"/>
      <c r="G1937" s="146"/>
    </row>
    <row r="1938" ht="15.75">
      <c r="E1938" s="144"/>
      <c r="G1938" s="146"/>
    </row>
    <row r="1939" ht="15.75">
      <c r="E1939" s="144"/>
      <c r="G1939" s="146"/>
    </row>
    <row r="1940" ht="15.75">
      <c r="E1940" s="144"/>
      <c r="G1940" s="146"/>
    </row>
    <row r="1941" ht="15.75">
      <c r="E1941" s="144"/>
      <c r="G1941" s="146"/>
    </row>
    <row r="1942" ht="15.75">
      <c r="E1942" s="144"/>
      <c r="G1942" s="146"/>
    </row>
    <row r="1943" ht="15.75">
      <c r="E1943" s="144"/>
      <c r="G1943" s="146"/>
    </row>
    <row r="1944" ht="15.75">
      <c r="E1944" s="144"/>
      <c r="G1944" s="146"/>
    </row>
    <row r="1945" ht="15.75">
      <c r="E1945" s="144"/>
      <c r="G1945" s="146"/>
    </row>
    <row r="1946" ht="15.75">
      <c r="E1946" s="144"/>
      <c r="G1946" s="146"/>
    </row>
    <row r="1947" ht="15.75">
      <c r="E1947" s="144"/>
      <c r="G1947" s="146"/>
    </row>
    <row r="1948" ht="15.75">
      <c r="E1948" s="144"/>
      <c r="G1948" s="146"/>
    </row>
    <row r="1949" ht="15.75">
      <c r="E1949" s="144"/>
      <c r="G1949" s="146"/>
    </row>
    <row r="1950" ht="15.75">
      <c r="E1950" s="144"/>
      <c r="G1950" s="146"/>
    </row>
    <row r="1951" ht="15.75">
      <c r="E1951" s="144"/>
      <c r="G1951" s="146"/>
    </row>
    <row r="1952" ht="15.75">
      <c r="E1952" s="144"/>
      <c r="G1952" s="146"/>
    </row>
    <row r="1953" ht="15.75">
      <c r="E1953" s="144"/>
      <c r="G1953" s="146"/>
    </row>
    <row r="1954" ht="15.75">
      <c r="E1954" s="144"/>
      <c r="G1954" s="146"/>
    </row>
    <row r="1955" ht="15.75">
      <c r="E1955" s="144"/>
      <c r="G1955" s="146"/>
    </row>
    <row r="1956" ht="15.75">
      <c r="E1956" s="144"/>
      <c r="G1956" s="146"/>
    </row>
    <row r="1957" ht="15.75">
      <c r="E1957" s="144"/>
      <c r="G1957" s="146"/>
    </row>
    <row r="1958" ht="15.75">
      <c r="E1958" s="144"/>
      <c r="G1958" s="146"/>
    </row>
    <row r="1959" ht="15.75">
      <c r="E1959" s="144"/>
      <c r="G1959" s="146"/>
    </row>
    <row r="1960" ht="15.75">
      <c r="E1960" s="144"/>
      <c r="G1960" s="146"/>
    </row>
    <row r="1961" ht="15.75">
      <c r="E1961" s="144"/>
      <c r="G1961" s="146"/>
    </row>
    <row r="1962" ht="15.75">
      <c r="E1962" s="144"/>
      <c r="G1962" s="146"/>
    </row>
    <row r="1963" ht="15.75">
      <c r="E1963" s="144"/>
      <c r="G1963" s="146"/>
    </row>
    <row r="1964" ht="15.75">
      <c r="E1964" s="144"/>
      <c r="G1964" s="146"/>
    </row>
    <row r="1965" ht="15.75">
      <c r="E1965" s="144"/>
      <c r="G1965" s="146"/>
    </row>
    <row r="1966" ht="15.75">
      <c r="E1966" s="144"/>
      <c r="G1966" s="146"/>
    </row>
    <row r="1967" ht="15.75">
      <c r="E1967" s="144"/>
      <c r="G1967" s="146"/>
    </row>
    <row r="1968" ht="15.75">
      <c r="E1968" s="144"/>
      <c r="G1968" s="146"/>
    </row>
    <row r="1969" ht="15.75">
      <c r="E1969" s="144"/>
      <c r="G1969" s="146"/>
    </row>
    <row r="1970" ht="15.75">
      <c r="E1970" s="144"/>
      <c r="G1970" s="146"/>
    </row>
    <row r="1971" ht="15.75">
      <c r="E1971" s="144"/>
      <c r="G1971" s="146"/>
    </row>
    <row r="1972" ht="15.75">
      <c r="E1972" s="144"/>
      <c r="G1972" s="146"/>
    </row>
    <row r="1973" ht="15.75">
      <c r="E1973" s="144"/>
      <c r="G1973" s="146"/>
    </row>
    <row r="1974" ht="15.75">
      <c r="E1974" s="144"/>
      <c r="G1974" s="146"/>
    </row>
    <row r="1975" ht="15.75">
      <c r="E1975" s="144"/>
      <c r="G1975" s="146"/>
    </row>
    <row r="1976" ht="15.75">
      <c r="E1976" s="144"/>
      <c r="G1976" s="146"/>
    </row>
    <row r="1977" ht="15.75">
      <c r="E1977" s="144"/>
      <c r="G1977" s="146"/>
    </row>
    <row r="1978" ht="15.75">
      <c r="E1978" s="144"/>
      <c r="G1978" s="146"/>
    </row>
    <row r="1979" ht="15.75">
      <c r="E1979" s="144"/>
      <c r="G1979" s="146"/>
    </row>
    <row r="1980" ht="15.75">
      <c r="E1980" s="144"/>
      <c r="G1980" s="146"/>
    </row>
    <row r="1981" ht="15.75">
      <c r="E1981" s="144"/>
      <c r="G1981" s="146"/>
    </row>
    <row r="1982" ht="15.75">
      <c r="E1982" s="144"/>
      <c r="G1982" s="146"/>
    </row>
    <row r="1983" ht="15.75">
      <c r="E1983" s="144"/>
      <c r="G1983" s="146"/>
    </row>
    <row r="1984" ht="15.75">
      <c r="E1984" s="144"/>
      <c r="G1984" s="146"/>
    </row>
    <row r="1985" ht="15.75">
      <c r="E1985" s="144"/>
      <c r="G1985" s="146"/>
    </row>
    <row r="1986" ht="15.75">
      <c r="E1986" s="144"/>
      <c r="G1986" s="146"/>
    </row>
    <row r="1987" ht="15.75">
      <c r="E1987" s="144"/>
      <c r="G1987" s="146"/>
    </row>
    <row r="1988" ht="15.75">
      <c r="E1988" s="144"/>
      <c r="G1988" s="146"/>
    </row>
    <row r="1989" ht="15.75">
      <c r="E1989" s="144"/>
      <c r="G1989" s="146"/>
    </row>
    <row r="1990" ht="15.75">
      <c r="E1990" s="144"/>
      <c r="G1990" s="146"/>
    </row>
    <row r="1991" ht="15.75">
      <c r="E1991" s="144"/>
      <c r="G1991" s="146"/>
    </row>
    <row r="1992" ht="15.75">
      <c r="E1992" s="144"/>
      <c r="G1992" s="146"/>
    </row>
    <row r="1993" ht="15.75">
      <c r="E1993" s="144"/>
      <c r="G1993" s="146"/>
    </row>
    <row r="1994" ht="15.75">
      <c r="E1994" s="144"/>
      <c r="G1994" s="146"/>
    </row>
    <row r="1995" ht="15.75">
      <c r="E1995" s="144"/>
      <c r="G1995" s="146"/>
    </row>
    <row r="1996" ht="15.75">
      <c r="E1996" s="144"/>
      <c r="G1996" s="146"/>
    </row>
    <row r="1997" ht="15.75">
      <c r="E1997" s="144"/>
      <c r="G1997" s="146"/>
    </row>
    <row r="1998" ht="15.75">
      <c r="E1998" s="144"/>
      <c r="G1998" s="146"/>
    </row>
    <row r="1999" ht="15.75">
      <c r="E1999" s="144"/>
      <c r="G1999" s="146"/>
    </row>
    <row r="2000" ht="15.75">
      <c r="E2000" s="144"/>
      <c r="G2000" s="146"/>
    </row>
    <row r="2001" ht="15.75">
      <c r="E2001" s="144"/>
      <c r="G2001" s="146"/>
    </row>
    <row r="2002" ht="15.75">
      <c r="E2002" s="144"/>
      <c r="G2002" s="146"/>
    </row>
    <row r="2003" ht="15.75">
      <c r="E2003" s="144"/>
      <c r="G2003" s="146"/>
    </row>
    <row r="2004" ht="15.75">
      <c r="E2004" s="144"/>
      <c r="G2004" s="146"/>
    </row>
    <row r="2005" ht="15.75">
      <c r="E2005" s="144"/>
      <c r="G2005" s="146"/>
    </row>
    <row r="2006" ht="15.75">
      <c r="E2006" s="144"/>
      <c r="G2006" s="146"/>
    </row>
    <row r="2007" ht="15.75">
      <c r="E2007" s="144"/>
      <c r="G2007" s="146"/>
    </row>
    <row r="2008" ht="15.75">
      <c r="E2008" s="144"/>
      <c r="G2008" s="146"/>
    </row>
    <row r="2009" ht="15.75">
      <c r="E2009" s="144"/>
      <c r="G2009" s="146"/>
    </row>
    <row r="2010" ht="15.75">
      <c r="E2010" s="144"/>
      <c r="G2010" s="146"/>
    </row>
    <row r="2011" ht="15.75">
      <c r="E2011" s="144"/>
      <c r="G2011" s="146"/>
    </row>
    <row r="2012" ht="15.75">
      <c r="E2012" s="144"/>
      <c r="G2012" s="146"/>
    </row>
    <row r="2013" ht="15.75">
      <c r="E2013" s="144"/>
      <c r="G2013" s="146"/>
    </row>
    <row r="2014" ht="15.75">
      <c r="E2014" s="144"/>
      <c r="G2014" s="146"/>
    </row>
    <row r="2015" ht="15.75">
      <c r="E2015" s="144"/>
      <c r="G2015" s="146"/>
    </row>
    <row r="2016" ht="15.75">
      <c r="E2016" s="144"/>
      <c r="G2016" s="146"/>
    </row>
    <row r="2017" ht="15.75">
      <c r="E2017" s="144"/>
      <c r="G2017" s="146"/>
    </row>
    <row r="2018" ht="15.75">
      <c r="E2018" s="144"/>
      <c r="G2018" s="146"/>
    </row>
    <row r="2019" ht="15.75">
      <c r="E2019" s="144"/>
      <c r="G2019" s="146"/>
    </row>
    <row r="2020" ht="15.75">
      <c r="E2020" s="144"/>
      <c r="G2020" s="146"/>
    </row>
    <row r="2021" ht="15.75">
      <c r="E2021" s="144"/>
      <c r="G2021" s="146"/>
    </row>
    <row r="2022" ht="15.75">
      <c r="E2022" s="144"/>
      <c r="G2022" s="146"/>
    </row>
    <row r="2023" ht="15.75">
      <c r="E2023" s="144"/>
      <c r="G2023" s="146"/>
    </row>
    <row r="2024" ht="15.75">
      <c r="E2024" s="144"/>
      <c r="G2024" s="146"/>
    </row>
    <row r="2025" ht="15.75">
      <c r="E2025" s="144"/>
      <c r="G2025" s="146"/>
    </row>
    <row r="2026" ht="15.75">
      <c r="E2026" s="144"/>
      <c r="G2026" s="146"/>
    </row>
    <row r="2027" ht="15.75">
      <c r="E2027" s="144"/>
      <c r="G2027" s="146"/>
    </row>
    <row r="2028" ht="15.75">
      <c r="E2028" s="144"/>
      <c r="G2028" s="146"/>
    </row>
    <row r="2029" ht="15.75">
      <c r="E2029" s="144"/>
      <c r="G2029" s="146"/>
    </row>
    <row r="2030" ht="15.75">
      <c r="E2030" s="144"/>
      <c r="G2030" s="146"/>
    </row>
    <row r="2031" ht="15.75">
      <c r="E2031" s="144"/>
      <c r="G2031" s="146"/>
    </row>
    <row r="2032" ht="15.75">
      <c r="E2032" s="144"/>
      <c r="G2032" s="146"/>
    </row>
    <row r="2033" ht="15.75">
      <c r="E2033" s="144"/>
      <c r="G2033" s="146"/>
    </row>
    <row r="2034" ht="15.75">
      <c r="E2034" s="144"/>
      <c r="G2034" s="146"/>
    </row>
    <row r="2035" ht="15.75">
      <c r="E2035" s="144"/>
      <c r="G2035" s="146"/>
    </row>
    <row r="2036" ht="15.75">
      <c r="E2036" s="144"/>
      <c r="G2036" s="146"/>
    </row>
    <row r="2037" ht="15.75">
      <c r="E2037" s="144"/>
      <c r="G2037" s="146"/>
    </row>
    <row r="2038" ht="15.75">
      <c r="E2038" s="144"/>
      <c r="G2038" s="146"/>
    </row>
    <row r="2039" ht="15.75">
      <c r="E2039" s="144"/>
      <c r="G2039" s="146"/>
    </row>
    <row r="2040" ht="15.75">
      <c r="E2040" s="144"/>
      <c r="G2040" s="146"/>
    </row>
    <row r="2041" ht="15.75">
      <c r="E2041" s="144"/>
      <c r="G2041" s="146"/>
    </row>
    <row r="2042" ht="15.75">
      <c r="E2042" s="144"/>
      <c r="G2042" s="146"/>
    </row>
    <row r="2043" ht="15.75">
      <c r="E2043" s="144"/>
      <c r="G2043" s="146"/>
    </row>
    <row r="2044" ht="15.75">
      <c r="E2044" s="144"/>
      <c r="G2044" s="146"/>
    </row>
    <row r="2045" ht="15.75">
      <c r="E2045" s="144"/>
      <c r="G2045" s="146"/>
    </row>
    <row r="2046" ht="15.75">
      <c r="E2046" s="144"/>
      <c r="G2046" s="146"/>
    </row>
    <row r="2047" ht="15.75">
      <c r="E2047" s="144"/>
      <c r="G2047" s="146"/>
    </row>
    <row r="2048" ht="15.75">
      <c r="E2048" s="144"/>
      <c r="G2048" s="146"/>
    </row>
    <row r="2049" ht="15.75">
      <c r="E2049" s="144"/>
      <c r="G2049" s="146"/>
    </row>
    <row r="2050" ht="15.75">
      <c r="E2050" s="144"/>
      <c r="G2050" s="146"/>
    </row>
    <row r="2051" ht="15.75">
      <c r="E2051" s="144"/>
      <c r="G2051" s="146"/>
    </row>
    <row r="2052" ht="15.75">
      <c r="E2052" s="144"/>
      <c r="G2052" s="146"/>
    </row>
    <row r="2053" ht="15.75">
      <c r="E2053" s="144"/>
      <c r="G2053" s="146"/>
    </row>
    <row r="2054" ht="15.75">
      <c r="E2054" s="144"/>
      <c r="G2054" s="146"/>
    </row>
    <row r="2055" ht="15.75">
      <c r="E2055" s="144"/>
      <c r="G2055" s="146"/>
    </row>
    <row r="2056" ht="15.75">
      <c r="E2056" s="144"/>
      <c r="G2056" s="146"/>
    </row>
    <row r="2057" ht="15.75">
      <c r="E2057" s="144"/>
      <c r="G2057" s="146"/>
    </row>
    <row r="2058" ht="15.75">
      <c r="E2058" s="144"/>
      <c r="G2058" s="146"/>
    </row>
    <row r="2059" ht="15.75">
      <c r="E2059" s="144"/>
      <c r="G2059" s="146"/>
    </row>
    <row r="2060" ht="15.75">
      <c r="E2060" s="144"/>
      <c r="G2060" s="146"/>
    </row>
    <row r="2061" ht="15.75">
      <c r="E2061" s="144"/>
      <c r="G2061" s="146"/>
    </row>
    <row r="2062" ht="15.75">
      <c r="E2062" s="144"/>
      <c r="G2062" s="146"/>
    </row>
    <row r="2063" ht="15.75">
      <c r="E2063" s="144"/>
      <c r="G2063" s="146"/>
    </row>
    <row r="2064" ht="15.75">
      <c r="E2064" s="144"/>
      <c r="G2064" s="146"/>
    </row>
    <row r="2065" ht="15.75">
      <c r="E2065" s="144"/>
      <c r="G2065" s="146"/>
    </row>
    <row r="2066" ht="15.75">
      <c r="E2066" s="144"/>
      <c r="G2066" s="146"/>
    </row>
    <row r="2067" ht="15.75">
      <c r="E2067" s="144"/>
      <c r="G2067" s="146"/>
    </row>
    <row r="2068" ht="15.75">
      <c r="E2068" s="144"/>
      <c r="G2068" s="146"/>
    </row>
    <row r="2069" ht="15.75">
      <c r="E2069" s="144"/>
      <c r="G2069" s="146"/>
    </row>
    <row r="2070" ht="15.75">
      <c r="E2070" s="144"/>
      <c r="G2070" s="146"/>
    </row>
    <row r="2071" ht="15.75">
      <c r="E2071" s="144"/>
      <c r="G2071" s="146"/>
    </row>
    <row r="2072" ht="15.75">
      <c r="E2072" s="144"/>
      <c r="G2072" s="146"/>
    </row>
    <row r="2073" ht="15.75">
      <c r="E2073" s="144"/>
      <c r="G2073" s="146"/>
    </row>
    <row r="2074" ht="15.75">
      <c r="E2074" s="144"/>
      <c r="G2074" s="146"/>
    </row>
    <row r="2075" ht="15.75">
      <c r="E2075" s="144"/>
      <c r="G2075" s="146"/>
    </row>
    <row r="2076" ht="15.75">
      <c r="E2076" s="144"/>
      <c r="G2076" s="146"/>
    </row>
    <row r="2077" ht="15.75">
      <c r="E2077" s="144"/>
      <c r="G2077" s="146"/>
    </row>
    <row r="2078" ht="15.75">
      <c r="E2078" s="144"/>
      <c r="G2078" s="146"/>
    </row>
    <row r="2079" ht="15.75">
      <c r="E2079" s="144"/>
      <c r="G2079" s="146"/>
    </row>
    <row r="2080" ht="15.75">
      <c r="E2080" s="144"/>
      <c r="G2080" s="146"/>
    </row>
    <row r="2081" ht="15.75">
      <c r="E2081" s="144"/>
      <c r="G2081" s="146"/>
    </row>
    <row r="2082" ht="15.75">
      <c r="E2082" s="144"/>
      <c r="G2082" s="146"/>
    </row>
    <row r="2083" ht="15.75">
      <c r="E2083" s="144"/>
      <c r="G2083" s="146"/>
    </row>
    <row r="2084" ht="15.75">
      <c r="E2084" s="144"/>
      <c r="G2084" s="146"/>
    </row>
    <row r="2085" ht="15.75">
      <c r="E2085" s="144"/>
      <c r="G2085" s="146"/>
    </row>
    <row r="2086" ht="15.75">
      <c r="E2086" s="144"/>
      <c r="G2086" s="146"/>
    </row>
    <row r="2087" ht="15.75">
      <c r="E2087" s="144"/>
      <c r="G2087" s="146"/>
    </row>
    <row r="2088" ht="15.75">
      <c r="E2088" s="144"/>
      <c r="G2088" s="146"/>
    </row>
    <row r="2089" ht="15.75">
      <c r="E2089" s="144"/>
      <c r="G2089" s="146"/>
    </row>
    <row r="2090" ht="15.75">
      <c r="E2090" s="144"/>
      <c r="G2090" s="146"/>
    </row>
    <row r="2091" ht="15.75">
      <c r="E2091" s="144"/>
      <c r="G2091" s="146"/>
    </row>
    <row r="2092" ht="15.75">
      <c r="E2092" s="144"/>
      <c r="G2092" s="146"/>
    </row>
    <row r="2093" ht="15.75">
      <c r="E2093" s="144"/>
      <c r="G2093" s="146"/>
    </row>
    <row r="2094" ht="15.75">
      <c r="E2094" s="144"/>
      <c r="G2094" s="146"/>
    </row>
    <row r="2095" ht="15.75">
      <c r="E2095" s="144"/>
      <c r="G2095" s="146"/>
    </row>
    <row r="2096" ht="15.75">
      <c r="E2096" s="144"/>
      <c r="G2096" s="146"/>
    </row>
    <row r="2097" ht="15.75">
      <c r="E2097" s="144"/>
      <c r="G2097" s="146"/>
    </row>
    <row r="2098" ht="15.75">
      <c r="E2098" s="144"/>
      <c r="G2098" s="146"/>
    </row>
    <row r="2099" ht="15.75">
      <c r="E2099" s="144"/>
      <c r="G2099" s="146"/>
    </row>
    <row r="2100" ht="15.75">
      <c r="E2100" s="144"/>
      <c r="G2100" s="146"/>
    </row>
    <row r="2101" ht="15.75">
      <c r="E2101" s="144"/>
      <c r="G2101" s="146"/>
    </row>
    <row r="2102" ht="15.75">
      <c r="E2102" s="144"/>
      <c r="G2102" s="146"/>
    </row>
    <row r="2103" ht="15.75">
      <c r="E2103" s="144"/>
      <c r="G2103" s="146"/>
    </row>
    <row r="2104" ht="15.75">
      <c r="E2104" s="144"/>
      <c r="G2104" s="146"/>
    </row>
    <row r="2105" ht="15.75">
      <c r="E2105" s="144"/>
      <c r="G2105" s="146"/>
    </row>
    <row r="2106" ht="15.75">
      <c r="E2106" s="144"/>
      <c r="G2106" s="146"/>
    </row>
    <row r="2107" ht="15.75">
      <c r="E2107" s="144"/>
      <c r="G2107" s="146"/>
    </row>
    <row r="2108" ht="15.75">
      <c r="E2108" s="144"/>
      <c r="G2108" s="146"/>
    </row>
    <row r="2109" ht="15.75">
      <c r="E2109" s="144"/>
      <c r="G2109" s="146"/>
    </row>
    <row r="2110" ht="15.75">
      <c r="E2110" s="144"/>
      <c r="G2110" s="146"/>
    </row>
    <row r="2111" ht="15.75">
      <c r="E2111" s="144"/>
      <c r="G2111" s="146"/>
    </row>
    <row r="2112" ht="15.75">
      <c r="E2112" s="144"/>
      <c r="G2112" s="146"/>
    </row>
    <row r="2113" ht="15.75">
      <c r="E2113" s="144"/>
      <c r="G2113" s="146"/>
    </row>
    <row r="2114" ht="15.75">
      <c r="E2114" s="144"/>
      <c r="G2114" s="146"/>
    </row>
    <row r="2115" ht="15.75">
      <c r="E2115" s="144"/>
      <c r="G2115" s="146"/>
    </row>
    <row r="2116" ht="15.75">
      <c r="E2116" s="144"/>
      <c r="G2116" s="146"/>
    </row>
    <row r="2117" ht="15.75">
      <c r="E2117" s="144"/>
      <c r="G2117" s="146"/>
    </row>
    <row r="2118" ht="15.75">
      <c r="E2118" s="144"/>
      <c r="G2118" s="146"/>
    </row>
    <row r="2119" ht="15.75">
      <c r="E2119" s="144"/>
      <c r="G2119" s="146"/>
    </row>
    <row r="2120" ht="15.75">
      <c r="E2120" s="144"/>
      <c r="G2120" s="146"/>
    </row>
    <row r="2121" ht="15.75">
      <c r="E2121" s="144"/>
      <c r="G2121" s="146"/>
    </row>
    <row r="2122" ht="15.75">
      <c r="E2122" s="144"/>
      <c r="G2122" s="146"/>
    </row>
    <row r="2123" ht="15.75">
      <c r="E2123" s="144"/>
      <c r="G2123" s="146"/>
    </row>
    <row r="2124" ht="15.75">
      <c r="E2124" s="144"/>
      <c r="G2124" s="146"/>
    </row>
    <row r="2125" ht="15.75">
      <c r="E2125" s="144"/>
      <c r="G2125" s="146"/>
    </row>
    <row r="2126" ht="15.75">
      <c r="E2126" s="144"/>
      <c r="G2126" s="146"/>
    </row>
    <row r="2127" ht="15.75">
      <c r="E2127" s="144"/>
      <c r="G2127" s="146"/>
    </row>
    <row r="2128" ht="15.75">
      <c r="E2128" s="144"/>
      <c r="G2128" s="146"/>
    </row>
    <row r="2129" ht="15.75">
      <c r="E2129" s="144"/>
      <c r="G2129" s="146"/>
    </row>
    <row r="2130" ht="15.75">
      <c r="E2130" s="144"/>
      <c r="G2130" s="146"/>
    </row>
    <row r="2131" ht="15.75">
      <c r="E2131" s="144"/>
      <c r="G2131" s="146"/>
    </row>
    <row r="2132" ht="15.75">
      <c r="E2132" s="144"/>
      <c r="G2132" s="146"/>
    </row>
    <row r="2133" ht="15.75">
      <c r="E2133" s="144"/>
      <c r="G2133" s="146"/>
    </row>
    <row r="2134" ht="15.75">
      <c r="E2134" s="144"/>
      <c r="G2134" s="146"/>
    </row>
    <row r="2135" ht="15.75">
      <c r="E2135" s="144"/>
      <c r="G2135" s="146"/>
    </row>
    <row r="2136" ht="15.75">
      <c r="E2136" s="144"/>
      <c r="G2136" s="146"/>
    </row>
    <row r="2137" ht="15.75">
      <c r="E2137" s="144"/>
      <c r="G2137" s="146"/>
    </row>
    <row r="2138" ht="15.75">
      <c r="E2138" s="144"/>
      <c r="G2138" s="146"/>
    </row>
    <row r="2139" ht="15.75">
      <c r="E2139" s="144"/>
      <c r="G2139" s="146"/>
    </row>
    <row r="2140" ht="15.75">
      <c r="E2140" s="144"/>
      <c r="G2140" s="146"/>
    </row>
    <row r="2141" ht="15.75">
      <c r="E2141" s="144"/>
      <c r="G2141" s="146"/>
    </row>
    <row r="2142" ht="15.75">
      <c r="E2142" s="144"/>
      <c r="G2142" s="146"/>
    </row>
    <row r="2143" ht="15.75">
      <c r="E2143" s="144"/>
      <c r="G2143" s="146"/>
    </row>
    <row r="2144" ht="15.75">
      <c r="E2144" s="144"/>
      <c r="G2144" s="146"/>
    </row>
    <row r="2145" ht="15.75">
      <c r="E2145" s="144"/>
      <c r="G2145" s="146"/>
    </row>
    <row r="2146" ht="15.75">
      <c r="E2146" s="144"/>
      <c r="G2146" s="146"/>
    </row>
    <row r="2147" ht="15.75">
      <c r="E2147" s="144"/>
      <c r="G2147" s="146"/>
    </row>
    <row r="2148" ht="15.75">
      <c r="E2148" s="144"/>
      <c r="G2148" s="146"/>
    </row>
    <row r="2149" ht="15.75">
      <c r="E2149" s="144"/>
      <c r="G2149" s="146"/>
    </row>
    <row r="2150" ht="15.75">
      <c r="E2150" s="144"/>
      <c r="G2150" s="146"/>
    </row>
    <row r="2151" ht="15.75">
      <c r="E2151" s="144"/>
      <c r="G2151" s="146"/>
    </row>
    <row r="2152" ht="15.75">
      <c r="E2152" s="144"/>
      <c r="G2152" s="146"/>
    </row>
    <row r="2153" ht="15.75">
      <c r="E2153" s="144"/>
      <c r="G2153" s="146"/>
    </row>
    <row r="2154" ht="15.75">
      <c r="E2154" s="144"/>
      <c r="G2154" s="146"/>
    </row>
    <row r="2155" ht="15.75">
      <c r="E2155" s="144"/>
      <c r="G2155" s="146"/>
    </row>
    <row r="2156" ht="15.75">
      <c r="E2156" s="144"/>
      <c r="G2156" s="146"/>
    </row>
    <row r="2157" ht="15.75">
      <c r="E2157" s="144"/>
      <c r="G2157" s="146"/>
    </row>
    <row r="2158" ht="15.75">
      <c r="E2158" s="144"/>
      <c r="G2158" s="146"/>
    </row>
    <row r="2159" ht="15.75">
      <c r="E2159" s="144"/>
      <c r="G2159" s="146"/>
    </row>
    <row r="2160" ht="15.75">
      <c r="E2160" s="144"/>
      <c r="G2160" s="146"/>
    </row>
    <row r="2161" ht="15.75">
      <c r="E2161" s="144"/>
      <c r="G2161" s="146"/>
    </row>
    <row r="2162" ht="15.75">
      <c r="E2162" s="144"/>
      <c r="G2162" s="146"/>
    </row>
    <row r="2163" ht="15.75">
      <c r="E2163" s="144"/>
      <c r="G2163" s="146"/>
    </row>
    <row r="2164" ht="15.75">
      <c r="E2164" s="144"/>
      <c r="G2164" s="146"/>
    </row>
    <row r="2165" ht="15.75">
      <c r="E2165" s="144"/>
      <c r="G2165" s="146"/>
    </row>
    <row r="2166" ht="15.75">
      <c r="E2166" s="144"/>
      <c r="G2166" s="146"/>
    </row>
    <row r="2167" ht="15.75">
      <c r="E2167" s="144"/>
      <c r="G2167" s="146"/>
    </row>
    <row r="2168" ht="15.75">
      <c r="E2168" s="144"/>
      <c r="G2168" s="146"/>
    </row>
    <row r="2169" ht="15.75">
      <c r="E2169" s="144"/>
      <c r="G2169" s="146"/>
    </row>
    <row r="2170" ht="15.75">
      <c r="E2170" s="144"/>
      <c r="G2170" s="146"/>
    </row>
    <row r="2171" ht="15.75">
      <c r="E2171" s="144"/>
      <c r="G2171" s="146"/>
    </row>
    <row r="2172" ht="15.75">
      <c r="E2172" s="144"/>
      <c r="G2172" s="146"/>
    </row>
    <row r="2173" ht="15.75">
      <c r="E2173" s="144"/>
      <c r="G2173" s="146"/>
    </row>
    <row r="2174" ht="15.75">
      <c r="E2174" s="144"/>
      <c r="G2174" s="146"/>
    </row>
    <row r="2175" ht="15.75">
      <c r="E2175" s="144"/>
      <c r="G2175" s="146"/>
    </row>
    <row r="2176" ht="15.75">
      <c r="E2176" s="144"/>
      <c r="G2176" s="146"/>
    </row>
    <row r="2177" ht="15.75">
      <c r="E2177" s="144"/>
      <c r="G2177" s="146"/>
    </row>
    <row r="2178" ht="15.75">
      <c r="E2178" s="144"/>
      <c r="G2178" s="146"/>
    </row>
    <row r="2179" ht="15.75">
      <c r="E2179" s="144"/>
      <c r="G2179" s="146"/>
    </row>
    <row r="2180" ht="15.75">
      <c r="E2180" s="144"/>
      <c r="G2180" s="146"/>
    </row>
    <row r="2181" ht="15.75">
      <c r="E2181" s="144"/>
      <c r="G2181" s="146"/>
    </row>
    <row r="2182" ht="15.75">
      <c r="E2182" s="144"/>
      <c r="G2182" s="146"/>
    </row>
    <row r="2183" ht="15.75">
      <c r="E2183" s="144"/>
      <c r="G2183" s="146"/>
    </row>
    <row r="2184" ht="15.75">
      <c r="E2184" s="144"/>
      <c r="G2184" s="146"/>
    </row>
    <row r="2185" ht="15.75">
      <c r="E2185" s="144"/>
      <c r="G2185" s="146"/>
    </row>
    <row r="2186" ht="15.75">
      <c r="E2186" s="144"/>
      <c r="G2186" s="146"/>
    </row>
    <row r="2187" ht="15.75">
      <c r="E2187" s="144"/>
      <c r="G2187" s="146"/>
    </row>
    <row r="2188" ht="15.75">
      <c r="E2188" s="144"/>
      <c r="G2188" s="146"/>
    </row>
    <row r="2189" ht="15.75">
      <c r="E2189" s="144"/>
      <c r="G2189" s="146"/>
    </row>
    <row r="2190" ht="15.75">
      <c r="E2190" s="144"/>
      <c r="G2190" s="146"/>
    </row>
    <row r="2191" ht="15.75">
      <c r="E2191" s="144"/>
      <c r="G2191" s="146"/>
    </row>
    <row r="2192" ht="15.75">
      <c r="E2192" s="144"/>
      <c r="G2192" s="146"/>
    </row>
    <row r="2193" ht="15.75">
      <c r="E2193" s="144"/>
      <c r="G2193" s="146"/>
    </row>
    <row r="2194" ht="15.75">
      <c r="E2194" s="144"/>
      <c r="G2194" s="146"/>
    </row>
    <row r="2195" ht="15.75">
      <c r="E2195" s="144"/>
      <c r="G2195" s="146"/>
    </row>
    <row r="2196" ht="15.75">
      <c r="E2196" s="144"/>
      <c r="G2196" s="146"/>
    </row>
    <row r="2197" ht="15.75">
      <c r="E2197" s="144"/>
      <c r="G2197" s="146"/>
    </row>
    <row r="2198" ht="15.75">
      <c r="E2198" s="144"/>
      <c r="G2198" s="146"/>
    </row>
    <row r="2199" ht="15.75">
      <c r="E2199" s="144"/>
      <c r="G2199" s="146"/>
    </row>
    <row r="2200" ht="15.75">
      <c r="E2200" s="144"/>
      <c r="G2200" s="146"/>
    </row>
    <row r="2201" ht="15.75">
      <c r="E2201" s="144"/>
      <c r="G2201" s="146"/>
    </row>
    <row r="2202" ht="15.75">
      <c r="E2202" s="144"/>
      <c r="G2202" s="146"/>
    </row>
    <row r="2203" ht="15.75">
      <c r="E2203" s="144"/>
      <c r="G2203" s="146"/>
    </row>
    <row r="2204" ht="15.75">
      <c r="E2204" s="144"/>
      <c r="G2204" s="146"/>
    </row>
    <row r="2205" ht="15.75">
      <c r="E2205" s="144"/>
      <c r="G2205" s="146"/>
    </row>
    <row r="2206" ht="15.75">
      <c r="E2206" s="144"/>
      <c r="G2206" s="146"/>
    </row>
    <row r="2207" ht="15.75">
      <c r="E2207" s="144"/>
      <c r="G2207" s="146"/>
    </row>
    <row r="2208" ht="15.75">
      <c r="E2208" s="144"/>
      <c r="G2208" s="146"/>
    </row>
    <row r="2209" ht="15.75">
      <c r="E2209" s="144"/>
      <c r="G2209" s="146"/>
    </row>
    <row r="2210" ht="15.75">
      <c r="E2210" s="144"/>
      <c r="G2210" s="146"/>
    </row>
    <row r="2211" ht="15.75">
      <c r="E2211" s="144"/>
      <c r="G2211" s="146"/>
    </row>
    <row r="2212" ht="15.75">
      <c r="E2212" s="144"/>
      <c r="G2212" s="146"/>
    </row>
    <row r="2213" ht="15.75">
      <c r="E2213" s="144"/>
      <c r="G2213" s="146"/>
    </row>
    <row r="2214" ht="15.75">
      <c r="E2214" s="144"/>
      <c r="G2214" s="146"/>
    </row>
    <row r="2215" ht="15.75">
      <c r="E2215" s="144"/>
      <c r="G2215" s="146"/>
    </row>
    <row r="2216" ht="15.75">
      <c r="E2216" s="144"/>
      <c r="G2216" s="146"/>
    </row>
    <row r="2217" ht="15.75">
      <c r="E2217" s="144"/>
      <c r="G2217" s="146"/>
    </row>
    <row r="2218" ht="15.75">
      <c r="E2218" s="144"/>
      <c r="G2218" s="146"/>
    </row>
    <row r="2219" ht="15.75">
      <c r="E2219" s="144"/>
      <c r="G2219" s="146"/>
    </row>
    <row r="2220" ht="15.75">
      <c r="E2220" s="144"/>
      <c r="G2220" s="146"/>
    </row>
    <row r="2221" ht="15.75">
      <c r="E2221" s="144"/>
      <c r="G2221" s="146"/>
    </row>
    <row r="2222" ht="15.75">
      <c r="E2222" s="144"/>
      <c r="G2222" s="146"/>
    </row>
    <row r="2223" ht="15.75">
      <c r="E2223" s="144"/>
      <c r="G2223" s="146"/>
    </row>
    <row r="2224" ht="15.75">
      <c r="E2224" s="144"/>
      <c r="G2224" s="146"/>
    </row>
    <row r="2225" ht="15.75">
      <c r="E2225" s="144"/>
      <c r="G2225" s="146"/>
    </row>
    <row r="2226" ht="15.75">
      <c r="E2226" s="144"/>
      <c r="G2226" s="146"/>
    </row>
    <row r="2227" ht="15.75">
      <c r="E2227" s="144"/>
      <c r="G2227" s="146"/>
    </row>
    <row r="2228" ht="15.75">
      <c r="E2228" s="144"/>
      <c r="G2228" s="146"/>
    </row>
    <row r="2229" ht="15.75">
      <c r="E2229" s="144"/>
      <c r="G2229" s="146"/>
    </row>
    <row r="2230" ht="15.75">
      <c r="E2230" s="144"/>
      <c r="G2230" s="146"/>
    </row>
    <row r="2231" ht="15.75">
      <c r="E2231" s="144"/>
      <c r="G2231" s="146"/>
    </row>
    <row r="2232" ht="15.75">
      <c r="E2232" s="144"/>
      <c r="G2232" s="146"/>
    </row>
    <row r="2233" ht="15.75">
      <c r="E2233" s="144"/>
      <c r="G2233" s="146"/>
    </row>
    <row r="2234" ht="15.75">
      <c r="E2234" s="144"/>
      <c r="G2234" s="146"/>
    </row>
    <row r="2235" ht="15.75">
      <c r="E2235" s="144"/>
      <c r="G2235" s="146"/>
    </row>
    <row r="2236" ht="15.75">
      <c r="E2236" s="144"/>
      <c r="G2236" s="146"/>
    </row>
    <row r="2237" ht="15.75">
      <c r="E2237" s="144"/>
      <c r="G2237" s="146"/>
    </row>
    <row r="2238" ht="15.75">
      <c r="E2238" s="144"/>
      <c r="G2238" s="146"/>
    </row>
    <row r="2239" ht="15.75">
      <c r="E2239" s="144"/>
      <c r="G2239" s="146"/>
    </row>
    <row r="2240" ht="15.75">
      <c r="E2240" s="144"/>
      <c r="G2240" s="146"/>
    </row>
    <row r="2241" ht="15.75">
      <c r="E2241" s="144"/>
      <c r="G2241" s="146"/>
    </row>
    <row r="2242" ht="15.75">
      <c r="E2242" s="144"/>
      <c r="G2242" s="146"/>
    </row>
    <row r="2243" ht="15.75">
      <c r="E2243" s="144"/>
      <c r="G2243" s="146"/>
    </row>
    <row r="2244" ht="15.75">
      <c r="E2244" s="144"/>
      <c r="G2244" s="146"/>
    </row>
    <row r="2245" ht="15.75">
      <c r="E2245" s="144"/>
      <c r="G2245" s="146"/>
    </row>
    <row r="2246" ht="15.75">
      <c r="E2246" s="144"/>
      <c r="G2246" s="146"/>
    </row>
    <row r="2247" ht="15.75">
      <c r="E2247" s="144"/>
      <c r="G2247" s="146"/>
    </row>
    <row r="2248" ht="15.75">
      <c r="E2248" s="144"/>
      <c r="G2248" s="146"/>
    </row>
    <row r="2249" ht="15.75">
      <c r="E2249" s="144"/>
      <c r="G2249" s="146"/>
    </row>
    <row r="2250" ht="15.75">
      <c r="E2250" s="144"/>
      <c r="G2250" s="146"/>
    </row>
    <row r="2251" ht="15.75">
      <c r="E2251" s="144"/>
      <c r="G2251" s="146"/>
    </row>
    <row r="2252" ht="15.75">
      <c r="E2252" s="144"/>
      <c r="G2252" s="146"/>
    </row>
    <row r="2253" ht="15.75">
      <c r="E2253" s="144"/>
      <c r="G2253" s="146"/>
    </row>
    <row r="2254" ht="15.75">
      <c r="E2254" s="144"/>
      <c r="G2254" s="146"/>
    </row>
    <row r="2255" ht="15.75">
      <c r="E2255" s="144"/>
      <c r="G2255" s="146"/>
    </row>
    <row r="2256" ht="15.75">
      <c r="E2256" s="144"/>
      <c r="G2256" s="146"/>
    </row>
    <row r="2257" ht="15.75">
      <c r="E2257" s="144"/>
      <c r="G2257" s="146"/>
    </row>
    <row r="2258" ht="15.75">
      <c r="E2258" s="144"/>
      <c r="G2258" s="146"/>
    </row>
    <row r="2259" ht="15.75">
      <c r="E2259" s="144"/>
      <c r="G2259" s="146"/>
    </row>
    <row r="2260" ht="15.75">
      <c r="E2260" s="144"/>
      <c r="G2260" s="146"/>
    </row>
    <row r="2261" ht="15.75">
      <c r="E2261" s="144"/>
      <c r="G2261" s="146"/>
    </row>
    <row r="2262" ht="15.75">
      <c r="E2262" s="144"/>
      <c r="G2262" s="146"/>
    </row>
    <row r="2263" ht="15.75">
      <c r="E2263" s="144"/>
      <c r="G2263" s="146"/>
    </row>
    <row r="2264" ht="15.75">
      <c r="E2264" s="144"/>
      <c r="G2264" s="146"/>
    </row>
    <row r="2265" ht="15.75">
      <c r="E2265" s="144"/>
      <c r="G2265" s="146"/>
    </row>
    <row r="2266" ht="15.75">
      <c r="E2266" s="144"/>
      <c r="G2266" s="146"/>
    </row>
    <row r="2267" ht="15.75">
      <c r="E2267" s="144"/>
      <c r="G2267" s="146"/>
    </row>
    <row r="2268" ht="15.75">
      <c r="E2268" s="144"/>
      <c r="G2268" s="146"/>
    </row>
    <row r="2269" ht="15.75">
      <c r="E2269" s="144"/>
      <c r="G2269" s="146"/>
    </row>
    <row r="2270" ht="15.75">
      <c r="E2270" s="144"/>
      <c r="G2270" s="146"/>
    </row>
    <row r="2271" ht="15.75">
      <c r="E2271" s="144"/>
      <c r="G2271" s="146"/>
    </row>
    <row r="2272" ht="15.75">
      <c r="E2272" s="144"/>
      <c r="G2272" s="146"/>
    </row>
    <row r="2273" ht="15.75">
      <c r="E2273" s="144"/>
      <c r="G2273" s="146"/>
    </row>
    <row r="2274" ht="15.75">
      <c r="E2274" s="144"/>
      <c r="G2274" s="146"/>
    </row>
    <row r="2275" ht="15.75">
      <c r="E2275" s="144"/>
      <c r="G2275" s="146"/>
    </row>
    <row r="2276" ht="15.75">
      <c r="E2276" s="144"/>
      <c r="G2276" s="146"/>
    </row>
    <row r="2277" ht="15.75">
      <c r="E2277" s="144"/>
      <c r="G2277" s="146"/>
    </row>
    <row r="2278" ht="15.75">
      <c r="E2278" s="144"/>
      <c r="G2278" s="146"/>
    </row>
    <row r="2279" ht="15.75">
      <c r="E2279" s="144"/>
      <c r="G2279" s="146"/>
    </row>
    <row r="2280" ht="15.75">
      <c r="E2280" s="144"/>
      <c r="G2280" s="146"/>
    </row>
    <row r="2281" ht="15.75">
      <c r="E2281" s="144"/>
      <c r="G2281" s="146"/>
    </row>
    <row r="2282" ht="15.75">
      <c r="E2282" s="144"/>
      <c r="G2282" s="146"/>
    </row>
    <row r="2283" ht="15.75">
      <c r="E2283" s="144"/>
      <c r="G2283" s="146"/>
    </row>
    <row r="2284" ht="15.75">
      <c r="E2284" s="144"/>
      <c r="G2284" s="146"/>
    </row>
    <row r="2285" ht="15.75">
      <c r="E2285" s="144"/>
      <c r="G2285" s="146"/>
    </row>
    <row r="2286" ht="15.75">
      <c r="E2286" s="144"/>
      <c r="G2286" s="146"/>
    </row>
    <row r="2287" ht="15.75">
      <c r="E2287" s="144"/>
      <c r="G2287" s="146"/>
    </row>
    <row r="2288" ht="15.75">
      <c r="E2288" s="144"/>
      <c r="G2288" s="146"/>
    </row>
    <row r="2289" ht="15.75">
      <c r="E2289" s="144"/>
      <c r="G2289" s="146"/>
    </row>
    <row r="2290" ht="15.75">
      <c r="E2290" s="144"/>
      <c r="G2290" s="146"/>
    </row>
    <row r="2291" ht="15.75">
      <c r="E2291" s="144"/>
      <c r="G2291" s="146"/>
    </row>
    <row r="2292" ht="15.75">
      <c r="E2292" s="144"/>
      <c r="G2292" s="146"/>
    </row>
    <row r="2293" ht="15.75">
      <c r="E2293" s="144"/>
      <c r="G2293" s="146"/>
    </row>
    <row r="2294" ht="15.75">
      <c r="E2294" s="144"/>
      <c r="G2294" s="146"/>
    </row>
    <row r="2295" ht="15.75">
      <c r="E2295" s="144"/>
      <c r="G2295" s="146"/>
    </row>
    <row r="2296" ht="15.75">
      <c r="E2296" s="144"/>
      <c r="G2296" s="146"/>
    </row>
    <row r="2297" ht="15.75">
      <c r="E2297" s="144"/>
      <c r="G2297" s="146"/>
    </row>
    <row r="2298" ht="15.75">
      <c r="E2298" s="144"/>
      <c r="G2298" s="146"/>
    </row>
    <row r="2299" ht="15.75">
      <c r="E2299" s="144"/>
      <c r="G2299" s="146"/>
    </row>
    <row r="2300" ht="15.75">
      <c r="E2300" s="144"/>
      <c r="G2300" s="146"/>
    </row>
    <row r="2301" ht="15.75">
      <c r="E2301" s="144"/>
      <c r="G2301" s="146"/>
    </row>
    <row r="2302" ht="15.75">
      <c r="E2302" s="144"/>
      <c r="G2302" s="146"/>
    </row>
    <row r="2303" ht="15.75">
      <c r="E2303" s="144"/>
      <c r="G2303" s="146"/>
    </row>
    <row r="2304" ht="15.75">
      <c r="E2304" s="144"/>
      <c r="G2304" s="146"/>
    </row>
    <row r="2305" ht="15.75">
      <c r="E2305" s="144"/>
      <c r="G2305" s="146"/>
    </row>
    <row r="2306" ht="15.75">
      <c r="E2306" s="144"/>
      <c r="G2306" s="146"/>
    </row>
    <row r="2307" ht="15.75">
      <c r="E2307" s="144"/>
      <c r="G2307" s="146"/>
    </row>
    <row r="2308" ht="15.75">
      <c r="E2308" s="144"/>
      <c r="G2308" s="146"/>
    </row>
    <row r="2309" ht="15.75">
      <c r="E2309" s="144"/>
      <c r="G2309" s="146"/>
    </row>
    <row r="2310" ht="15.75">
      <c r="E2310" s="144"/>
      <c r="G2310" s="146"/>
    </row>
    <row r="2311" ht="15.75">
      <c r="E2311" s="144"/>
      <c r="G2311" s="146"/>
    </row>
    <row r="2312" ht="15.75">
      <c r="E2312" s="144"/>
      <c r="G2312" s="146"/>
    </row>
    <row r="2313" ht="15.75">
      <c r="E2313" s="144"/>
      <c r="G2313" s="146"/>
    </row>
    <row r="2314" ht="15.75">
      <c r="E2314" s="144"/>
      <c r="G2314" s="146"/>
    </row>
    <row r="2315" ht="15.75">
      <c r="E2315" s="144"/>
      <c r="G2315" s="146"/>
    </row>
    <row r="2316" ht="15.75">
      <c r="E2316" s="144"/>
      <c r="G2316" s="146"/>
    </row>
    <row r="2317" ht="15.75">
      <c r="E2317" s="144"/>
      <c r="G2317" s="146"/>
    </row>
    <row r="2318" ht="15.75">
      <c r="E2318" s="144"/>
      <c r="G2318" s="146"/>
    </row>
    <row r="2319" ht="15.75">
      <c r="E2319" s="144"/>
      <c r="G2319" s="146"/>
    </row>
    <row r="2320" ht="15.75">
      <c r="E2320" s="144"/>
      <c r="G2320" s="146"/>
    </row>
    <row r="2321" ht="15.75">
      <c r="E2321" s="144"/>
      <c r="G2321" s="146"/>
    </row>
    <row r="2322" ht="15.75">
      <c r="E2322" s="144"/>
      <c r="G2322" s="146"/>
    </row>
    <row r="2323" ht="15.75">
      <c r="E2323" s="144"/>
      <c r="G2323" s="146"/>
    </row>
    <row r="2324" ht="15.75">
      <c r="E2324" s="144"/>
      <c r="G2324" s="146"/>
    </row>
    <row r="2325" ht="15.75">
      <c r="E2325" s="144"/>
      <c r="G2325" s="146"/>
    </row>
    <row r="2326" ht="15.75">
      <c r="E2326" s="144"/>
      <c r="G2326" s="146"/>
    </row>
    <row r="2327" ht="15.75">
      <c r="E2327" s="144"/>
      <c r="G2327" s="146"/>
    </row>
    <row r="2328" ht="15.75">
      <c r="E2328" s="144"/>
      <c r="G2328" s="146"/>
    </row>
    <row r="2329" ht="15.75">
      <c r="E2329" s="144"/>
      <c r="G2329" s="146"/>
    </row>
    <row r="2330" ht="15.75">
      <c r="E2330" s="144"/>
      <c r="G2330" s="146"/>
    </row>
    <row r="2331" ht="15.75">
      <c r="E2331" s="144"/>
      <c r="G2331" s="146"/>
    </row>
    <row r="2332" ht="15.75">
      <c r="E2332" s="144"/>
      <c r="G2332" s="146"/>
    </row>
    <row r="2333" ht="15.75">
      <c r="E2333" s="144"/>
      <c r="G2333" s="146"/>
    </row>
    <row r="2334" ht="15.75">
      <c r="E2334" s="144"/>
      <c r="G2334" s="146"/>
    </row>
    <row r="2335" ht="15.75">
      <c r="E2335" s="144"/>
      <c r="G2335" s="146"/>
    </row>
    <row r="2336" ht="15.75">
      <c r="E2336" s="144"/>
      <c r="G2336" s="146"/>
    </row>
    <row r="2337" ht="15.75">
      <c r="E2337" s="144"/>
      <c r="G2337" s="146"/>
    </row>
    <row r="2338" ht="15.75">
      <c r="E2338" s="144"/>
      <c r="G2338" s="146"/>
    </row>
    <row r="2339" ht="15.75">
      <c r="E2339" s="144"/>
      <c r="G2339" s="146"/>
    </row>
    <row r="2340" ht="15.75">
      <c r="E2340" s="144"/>
      <c r="G2340" s="146"/>
    </row>
    <row r="2341" ht="15.75">
      <c r="E2341" s="144"/>
      <c r="G2341" s="146"/>
    </row>
    <row r="2342" ht="15.75">
      <c r="E2342" s="144"/>
      <c r="G2342" s="146"/>
    </row>
    <row r="2343" ht="15.75">
      <c r="E2343" s="144"/>
      <c r="G2343" s="146"/>
    </row>
    <row r="2344" ht="15.75">
      <c r="E2344" s="144"/>
      <c r="G2344" s="146"/>
    </row>
    <row r="2345" ht="15.75">
      <c r="E2345" s="144"/>
      <c r="G2345" s="146"/>
    </row>
    <row r="2346" ht="15.75">
      <c r="E2346" s="144"/>
      <c r="G2346" s="146"/>
    </row>
    <row r="2347" ht="15.75">
      <c r="E2347" s="144"/>
      <c r="G2347" s="146"/>
    </row>
    <row r="2348" ht="15.75">
      <c r="E2348" s="144"/>
      <c r="G2348" s="146"/>
    </row>
    <row r="2349" ht="15.75">
      <c r="E2349" s="144"/>
      <c r="G2349" s="146"/>
    </row>
    <row r="2350" ht="15.75">
      <c r="E2350" s="144"/>
      <c r="G2350" s="146"/>
    </row>
    <row r="2351" ht="15.75">
      <c r="E2351" s="144"/>
      <c r="G2351" s="146"/>
    </row>
    <row r="2352" ht="15.75">
      <c r="E2352" s="144"/>
      <c r="G2352" s="146"/>
    </row>
    <row r="2353" ht="15.75">
      <c r="E2353" s="144"/>
      <c r="G2353" s="146"/>
    </row>
    <row r="2354" ht="15.75">
      <c r="E2354" s="144"/>
      <c r="G2354" s="146"/>
    </row>
    <row r="2355" ht="15.75">
      <c r="E2355" s="144"/>
      <c r="G2355" s="146"/>
    </row>
    <row r="2356" ht="15.75">
      <c r="E2356" s="144"/>
      <c r="G2356" s="146"/>
    </row>
    <row r="2357" ht="15.75">
      <c r="E2357" s="144"/>
      <c r="G2357" s="146"/>
    </row>
    <row r="2358" ht="15.75">
      <c r="E2358" s="144"/>
      <c r="G2358" s="146"/>
    </row>
    <row r="2359" ht="15.75">
      <c r="E2359" s="144"/>
      <c r="G2359" s="146"/>
    </row>
    <row r="2360" ht="15.75">
      <c r="E2360" s="144"/>
      <c r="G2360" s="146"/>
    </row>
    <row r="2361" ht="15.75">
      <c r="E2361" s="144"/>
      <c r="G2361" s="146"/>
    </row>
    <row r="2362" ht="15.75">
      <c r="E2362" s="144"/>
      <c r="G2362" s="146"/>
    </row>
    <row r="2363" ht="15.75">
      <c r="E2363" s="144"/>
      <c r="G2363" s="146"/>
    </row>
    <row r="2364" ht="15.75">
      <c r="E2364" s="144"/>
      <c r="G2364" s="146"/>
    </row>
    <row r="2365" ht="15.75">
      <c r="E2365" s="144"/>
      <c r="G2365" s="146"/>
    </row>
    <row r="2366" ht="15.75">
      <c r="E2366" s="144"/>
      <c r="G2366" s="146"/>
    </row>
    <row r="2367" ht="15.75">
      <c r="E2367" s="144"/>
      <c r="G2367" s="146"/>
    </row>
    <row r="2368" ht="15.75">
      <c r="E2368" s="144"/>
      <c r="G2368" s="146"/>
    </row>
    <row r="2369" ht="15.75">
      <c r="E2369" s="144"/>
      <c r="G2369" s="146"/>
    </row>
    <row r="2370" ht="15.75">
      <c r="E2370" s="144"/>
      <c r="G2370" s="146"/>
    </row>
    <row r="2371" ht="15.75">
      <c r="E2371" s="144"/>
      <c r="G2371" s="146"/>
    </row>
    <row r="2372" ht="15.75">
      <c r="E2372" s="144"/>
      <c r="G2372" s="146"/>
    </row>
    <row r="2373" ht="15.75">
      <c r="E2373" s="144"/>
      <c r="G2373" s="146"/>
    </row>
    <row r="2374" ht="15.75">
      <c r="E2374" s="144"/>
      <c r="G2374" s="146"/>
    </row>
    <row r="2375" ht="15.75">
      <c r="E2375" s="144"/>
      <c r="G2375" s="146"/>
    </row>
    <row r="2376" ht="15.75">
      <c r="E2376" s="144"/>
      <c r="G2376" s="146"/>
    </row>
    <row r="2377" ht="15.75">
      <c r="E2377" s="144"/>
      <c r="G2377" s="146"/>
    </row>
    <row r="2378" ht="15.75">
      <c r="E2378" s="144"/>
      <c r="G2378" s="146"/>
    </row>
    <row r="2379" ht="15.75">
      <c r="E2379" s="144"/>
      <c r="G2379" s="146"/>
    </row>
    <row r="2380" ht="15.75">
      <c r="E2380" s="144"/>
      <c r="G2380" s="146"/>
    </row>
    <row r="2381" ht="15.75">
      <c r="E2381" s="144"/>
      <c r="G2381" s="146"/>
    </row>
    <row r="2382" ht="15.75">
      <c r="E2382" s="144"/>
      <c r="G2382" s="146"/>
    </row>
    <row r="2383" ht="15.75">
      <c r="E2383" s="144"/>
      <c r="G2383" s="146"/>
    </row>
    <row r="2384" ht="15.75">
      <c r="E2384" s="144"/>
      <c r="G2384" s="146"/>
    </row>
    <row r="2385" ht="15.75">
      <c r="E2385" s="144"/>
      <c r="G2385" s="146"/>
    </row>
    <row r="2386" ht="15.75">
      <c r="E2386" s="144"/>
      <c r="G2386" s="146"/>
    </row>
    <row r="2387" ht="15.75">
      <c r="E2387" s="144"/>
      <c r="G2387" s="146"/>
    </row>
    <row r="2388" ht="15.75">
      <c r="E2388" s="144"/>
      <c r="G2388" s="146"/>
    </row>
    <row r="2389" ht="15.75">
      <c r="E2389" s="144"/>
      <c r="G2389" s="146"/>
    </row>
    <row r="2390" ht="15.75">
      <c r="E2390" s="144"/>
      <c r="G2390" s="146"/>
    </row>
    <row r="2391" ht="15.75">
      <c r="E2391" s="144"/>
      <c r="G2391" s="146"/>
    </row>
    <row r="2392" ht="15.75">
      <c r="E2392" s="144"/>
      <c r="G2392" s="146"/>
    </row>
    <row r="2393" ht="15.75">
      <c r="E2393" s="144"/>
      <c r="G2393" s="146"/>
    </row>
    <row r="2394" ht="15.75">
      <c r="E2394" s="144"/>
      <c r="G2394" s="146"/>
    </row>
    <row r="2395" ht="15.75">
      <c r="E2395" s="144"/>
      <c r="G2395" s="146"/>
    </row>
    <row r="2396" ht="15.75">
      <c r="E2396" s="144"/>
      <c r="G2396" s="146"/>
    </row>
    <row r="2397" ht="15.75">
      <c r="E2397" s="144"/>
      <c r="G2397" s="146"/>
    </row>
    <row r="2398" ht="15.75">
      <c r="E2398" s="144"/>
      <c r="G2398" s="146"/>
    </row>
    <row r="2399" ht="15.75">
      <c r="E2399" s="144"/>
      <c r="G2399" s="146"/>
    </row>
    <row r="2400" ht="15.75">
      <c r="E2400" s="144"/>
      <c r="G2400" s="146"/>
    </row>
    <row r="2401" ht="15.75">
      <c r="E2401" s="144"/>
      <c r="G2401" s="146"/>
    </row>
    <row r="2402" ht="15.75">
      <c r="E2402" s="144"/>
      <c r="G2402" s="146"/>
    </row>
    <row r="2403" ht="15.75">
      <c r="E2403" s="144"/>
      <c r="G2403" s="146"/>
    </row>
    <row r="2404" ht="15.75">
      <c r="E2404" s="144"/>
      <c r="G2404" s="146"/>
    </row>
    <row r="2405" ht="15.75">
      <c r="E2405" s="144"/>
      <c r="G2405" s="146"/>
    </row>
    <row r="2406" ht="15.75">
      <c r="E2406" s="144"/>
      <c r="G2406" s="146"/>
    </row>
    <row r="2407" ht="15.75">
      <c r="E2407" s="144"/>
      <c r="G2407" s="146"/>
    </row>
    <row r="2408" ht="15.75">
      <c r="E2408" s="144"/>
      <c r="G2408" s="146"/>
    </row>
    <row r="2409" ht="15.75">
      <c r="E2409" s="144"/>
      <c r="G2409" s="146"/>
    </row>
    <row r="2410" ht="15.75">
      <c r="E2410" s="144"/>
      <c r="G2410" s="146"/>
    </row>
    <row r="2411" ht="15.75">
      <c r="E2411" s="144"/>
      <c r="G2411" s="146"/>
    </row>
    <row r="2412" ht="15.75">
      <c r="E2412" s="144"/>
      <c r="G2412" s="146"/>
    </row>
    <row r="2413" ht="15.75">
      <c r="E2413" s="144"/>
      <c r="G2413" s="146"/>
    </row>
    <row r="2414" ht="15.75">
      <c r="E2414" s="144"/>
      <c r="G2414" s="146"/>
    </row>
    <row r="2415" ht="15.75">
      <c r="E2415" s="144"/>
      <c r="G2415" s="146"/>
    </row>
    <row r="2416" ht="15.75">
      <c r="E2416" s="144"/>
      <c r="G2416" s="146"/>
    </row>
    <row r="2417" ht="15.75">
      <c r="E2417" s="144"/>
      <c r="G2417" s="146"/>
    </row>
    <row r="2418" ht="15.75">
      <c r="E2418" s="144"/>
      <c r="G2418" s="146"/>
    </row>
    <row r="2419" ht="15.75">
      <c r="E2419" s="144"/>
      <c r="G2419" s="146"/>
    </row>
    <row r="2420" ht="15.75">
      <c r="E2420" s="144"/>
      <c r="G2420" s="146"/>
    </row>
    <row r="2421" ht="15.75">
      <c r="E2421" s="144"/>
      <c r="G2421" s="146"/>
    </row>
    <row r="2422" ht="15.75">
      <c r="E2422" s="144"/>
      <c r="G2422" s="146"/>
    </row>
    <row r="2423" ht="15.75">
      <c r="E2423" s="144"/>
      <c r="G2423" s="146"/>
    </row>
    <row r="2424" ht="15.75">
      <c r="E2424" s="144"/>
      <c r="G2424" s="146"/>
    </row>
    <row r="2425" ht="15.75">
      <c r="E2425" s="144"/>
      <c r="G2425" s="146"/>
    </row>
    <row r="2426" ht="15.75">
      <c r="E2426" s="144"/>
      <c r="G2426" s="146"/>
    </row>
    <row r="2427" ht="15.75">
      <c r="E2427" s="144"/>
      <c r="G2427" s="146"/>
    </row>
    <row r="2428" ht="15.75">
      <c r="E2428" s="144"/>
      <c r="G2428" s="146"/>
    </row>
    <row r="2429" ht="15.75">
      <c r="E2429" s="144"/>
      <c r="G2429" s="146"/>
    </row>
    <row r="2430" ht="15.75">
      <c r="E2430" s="144"/>
      <c r="G2430" s="146"/>
    </row>
    <row r="2431" ht="15.75">
      <c r="E2431" s="144"/>
      <c r="G2431" s="146"/>
    </row>
    <row r="2432" ht="15.75">
      <c r="E2432" s="144"/>
      <c r="G2432" s="146"/>
    </row>
    <row r="2433" ht="15.75">
      <c r="E2433" s="144"/>
      <c r="G2433" s="146"/>
    </row>
    <row r="2434" ht="15.75">
      <c r="E2434" s="144"/>
      <c r="G2434" s="146"/>
    </row>
    <row r="2435" ht="15.75">
      <c r="E2435" s="144"/>
      <c r="G2435" s="146"/>
    </row>
    <row r="2436" ht="15.75">
      <c r="E2436" s="144"/>
      <c r="G2436" s="146"/>
    </row>
    <row r="2437" ht="15.75">
      <c r="E2437" s="144"/>
      <c r="G2437" s="146"/>
    </row>
    <row r="2438" ht="15.75">
      <c r="E2438" s="144"/>
      <c r="G2438" s="146"/>
    </row>
    <row r="2439" ht="15.75">
      <c r="E2439" s="144"/>
      <c r="G2439" s="146"/>
    </row>
    <row r="2440" ht="15.75">
      <c r="E2440" s="144"/>
      <c r="G2440" s="146"/>
    </row>
    <row r="2441" ht="15.75">
      <c r="E2441" s="144"/>
      <c r="G2441" s="146"/>
    </row>
    <row r="2442" ht="15.75">
      <c r="E2442" s="144"/>
      <c r="G2442" s="146"/>
    </row>
    <row r="2443" ht="15.75">
      <c r="E2443" s="144"/>
      <c r="G2443" s="146"/>
    </row>
    <row r="2444" ht="15.75">
      <c r="E2444" s="144"/>
      <c r="G2444" s="146"/>
    </row>
    <row r="2445" ht="15.75">
      <c r="E2445" s="144"/>
      <c r="G2445" s="146"/>
    </row>
    <row r="2446" ht="15.75">
      <c r="E2446" s="144"/>
      <c r="G2446" s="146"/>
    </row>
    <row r="2447" ht="15.75">
      <c r="E2447" s="144"/>
      <c r="G2447" s="146"/>
    </row>
    <row r="2448" ht="15.75">
      <c r="E2448" s="144"/>
      <c r="G2448" s="146"/>
    </row>
    <row r="2449" ht="15.75">
      <c r="E2449" s="144"/>
      <c r="G2449" s="146"/>
    </row>
    <row r="2450" ht="15.75">
      <c r="E2450" s="144"/>
      <c r="G2450" s="146"/>
    </row>
    <row r="2451" ht="15.75">
      <c r="E2451" s="144"/>
      <c r="G2451" s="146"/>
    </row>
    <row r="2452" ht="15.75">
      <c r="E2452" s="144"/>
      <c r="G2452" s="146"/>
    </row>
    <row r="2453" ht="15.75">
      <c r="E2453" s="144"/>
      <c r="G2453" s="146"/>
    </row>
    <row r="2454" ht="15.75">
      <c r="E2454" s="144"/>
      <c r="G2454" s="146"/>
    </row>
    <row r="2455" ht="15.75">
      <c r="E2455" s="144"/>
      <c r="G2455" s="146"/>
    </row>
    <row r="2456" ht="15.75">
      <c r="E2456" s="144"/>
      <c r="G2456" s="146"/>
    </row>
    <row r="2457" ht="15.75">
      <c r="E2457" s="144"/>
      <c r="G2457" s="146"/>
    </row>
    <row r="2458" ht="15.75">
      <c r="E2458" s="144"/>
      <c r="G2458" s="146"/>
    </row>
    <row r="2459" ht="15.75">
      <c r="E2459" s="144"/>
      <c r="G2459" s="146"/>
    </row>
    <row r="2460" ht="15.75">
      <c r="E2460" s="144"/>
      <c r="G2460" s="146"/>
    </row>
    <row r="2461" ht="15.75">
      <c r="E2461" s="144"/>
      <c r="G2461" s="146"/>
    </row>
    <row r="2462" ht="15.75">
      <c r="E2462" s="144"/>
      <c r="G2462" s="146"/>
    </row>
    <row r="2463" ht="15.75">
      <c r="E2463" s="144"/>
      <c r="G2463" s="146"/>
    </row>
    <row r="2464" ht="15.75">
      <c r="E2464" s="144"/>
      <c r="G2464" s="146"/>
    </row>
    <row r="2465" ht="15.75">
      <c r="E2465" s="144"/>
      <c r="G2465" s="146"/>
    </row>
    <row r="2466" ht="15.75">
      <c r="E2466" s="144"/>
      <c r="G2466" s="146"/>
    </row>
    <row r="2467" ht="15.75">
      <c r="E2467" s="144"/>
      <c r="G2467" s="146"/>
    </row>
    <row r="2468" ht="15.75">
      <c r="E2468" s="144"/>
      <c r="G2468" s="146"/>
    </row>
    <row r="2469" ht="15.75">
      <c r="E2469" s="144"/>
      <c r="G2469" s="146"/>
    </row>
    <row r="2470" ht="15.75">
      <c r="E2470" s="144"/>
      <c r="G2470" s="146"/>
    </row>
    <row r="2471" ht="15.75">
      <c r="E2471" s="144"/>
      <c r="G2471" s="146"/>
    </row>
    <row r="2472" ht="15.75">
      <c r="E2472" s="144"/>
      <c r="G2472" s="146"/>
    </row>
    <row r="2473" ht="15.75">
      <c r="E2473" s="144"/>
      <c r="G2473" s="146"/>
    </row>
    <row r="2474" ht="15.75">
      <c r="E2474" s="144"/>
      <c r="G2474" s="146"/>
    </row>
    <row r="2475" ht="15.75">
      <c r="E2475" s="144"/>
      <c r="G2475" s="146"/>
    </row>
    <row r="2476" ht="15.75">
      <c r="E2476" s="144"/>
      <c r="G2476" s="146"/>
    </row>
    <row r="2477" ht="15.75">
      <c r="E2477" s="144"/>
      <c r="G2477" s="146"/>
    </row>
    <row r="2478" ht="15.75">
      <c r="E2478" s="144"/>
      <c r="G2478" s="146"/>
    </row>
    <row r="2479" ht="15.75">
      <c r="E2479" s="144"/>
      <c r="G2479" s="146"/>
    </row>
    <row r="2480" ht="15.75">
      <c r="E2480" s="144"/>
      <c r="G2480" s="146"/>
    </row>
    <row r="2481" ht="15.75">
      <c r="E2481" s="144"/>
      <c r="G2481" s="146"/>
    </row>
    <row r="2482" ht="15.75">
      <c r="E2482" s="144"/>
      <c r="G2482" s="146"/>
    </row>
    <row r="2483" ht="15.75">
      <c r="E2483" s="144"/>
      <c r="G2483" s="146"/>
    </row>
    <row r="2484" ht="15.75">
      <c r="E2484" s="144"/>
      <c r="G2484" s="146"/>
    </row>
    <row r="2485" ht="15.75">
      <c r="E2485" s="144"/>
      <c r="G2485" s="146"/>
    </row>
    <row r="2486" ht="15.75">
      <c r="E2486" s="144"/>
      <c r="G2486" s="146"/>
    </row>
    <row r="2487" ht="15.75">
      <c r="E2487" s="144"/>
      <c r="G2487" s="146"/>
    </row>
    <row r="2488" ht="15.75">
      <c r="E2488" s="144"/>
      <c r="G2488" s="146"/>
    </row>
    <row r="2489" ht="15.75">
      <c r="E2489" s="144"/>
      <c r="G2489" s="146"/>
    </row>
    <row r="2490" ht="15.75">
      <c r="E2490" s="144"/>
      <c r="G2490" s="146"/>
    </row>
    <row r="2491" ht="15.75">
      <c r="E2491" s="144"/>
      <c r="G2491" s="146"/>
    </row>
    <row r="2492" ht="15.75">
      <c r="E2492" s="144"/>
      <c r="G2492" s="146"/>
    </row>
    <row r="2493" ht="15.75">
      <c r="E2493" s="144"/>
      <c r="G2493" s="146"/>
    </row>
    <row r="2494" ht="15.75">
      <c r="E2494" s="144"/>
      <c r="G2494" s="146"/>
    </row>
    <row r="2495" ht="15.75">
      <c r="E2495" s="144"/>
      <c r="G2495" s="146"/>
    </row>
    <row r="2496" ht="15.75">
      <c r="E2496" s="144"/>
      <c r="G2496" s="146"/>
    </row>
    <row r="2497" ht="15.75">
      <c r="E2497" s="144"/>
      <c r="G2497" s="146"/>
    </row>
    <row r="2498" ht="15.75">
      <c r="E2498" s="144"/>
      <c r="G2498" s="146"/>
    </row>
    <row r="2499" ht="15.75">
      <c r="E2499" s="144"/>
      <c r="G2499" s="146"/>
    </row>
    <row r="2500" ht="15.75">
      <c r="E2500" s="144"/>
      <c r="G2500" s="146"/>
    </row>
    <row r="2501" ht="15.75">
      <c r="E2501" s="144"/>
      <c r="G2501" s="146"/>
    </row>
    <row r="2502" ht="15.75">
      <c r="E2502" s="144"/>
      <c r="G2502" s="146"/>
    </row>
    <row r="2503" ht="15.75">
      <c r="E2503" s="144"/>
      <c r="G2503" s="146"/>
    </row>
    <row r="2504" ht="15.75">
      <c r="E2504" s="144"/>
      <c r="G2504" s="146"/>
    </row>
    <row r="2505" ht="15.75">
      <c r="E2505" s="144"/>
      <c r="G2505" s="146"/>
    </row>
    <row r="2506" ht="15.75">
      <c r="E2506" s="144"/>
      <c r="G2506" s="146"/>
    </row>
    <row r="2507" ht="15.75">
      <c r="E2507" s="144"/>
      <c r="G2507" s="146"/>
    </row>
    <row r="2508" ht="15.75">
      <c r="E2508" s="144"/>
      <c r="G2508" s="146"/>
    </row>
    <row r="2509" ht="15.75">
      <c r="E2509" s="144"/>
      <c r="G2509" s="146"/>
    </row>
    <row r="2510" ht="15.75">
      <c r="E2510" s="144"/>
      <c r="G2510" s="146"/>
    </row>
    <row r="2511" ht="15.75">
      <c r="E2511" s="144"/>
      <c r="G2511" s="146"/>
    </row>
    <row r="2512" ht="15.75">
      <c r="E2512" s="144"/>
      <c r="G2512" s="146"/>
    </row>
    <row r="2513" ht="15.75">
      <c r="E2513" s="144"/>
      <c r="G2513" s="146"/>
    </row>
    <row r="2514" ht="15.75">
      <c r="E2514" s="144"/>
      <c r="G2514" s="146"/>
    </row>
    <row r="2515" ht="15.75">
      <c r="E2515" s="144"/>
      <c r="G2515" s="146"/>
    </row>
    <row r="2516" ht="15.75">
      <c r="E2516" s="144"/>
      <c r="G2516" s="146"/>
    </row>
    <row r="2517" ht="15.75">
      <c r="E2517" s="144"/>
      <c r="G2517" s="146"/>
    </row>
    <row r="2518" ht="15.75">
      <c r="E2518" s="144"/>
      <c r="G2518" s="146"/>
    </row>
    <row r="2519" ht="15.75">
      <c r="E2519" s="144"/>
      <c r="G2519" s="146"/>
    </row>
    <row r="2520" ht="15.75">
      <c r="E2520" s="144"/>
      <c r="G2520" s="146"/>
    </row>
    <row r="2521" ht="15.75">
      <c r="E2521" s="144"/>
      <c r="G2521" s="146"/>
    </row>
    <row r="2522" ht="15.75">
      <c r="E2522" s="144"/>
      <c r="G2522" s="146"/>
    </row>
    <row r="2523" ht="15.75">
      <c r="E2523" s="144"/>
      <c r="G2523" s="146"/>
    </row>
    <row r="2524" ht="15.75">
      <c r="E2524" s="144"/>
      <c r="G2524" s="146"/>
    </row>
    <row r="2525" ht="15.75">
      <c r="E2525" s="144"/>
      <c r="G2525" s="146"/>
    </row>
    <row r="2526" ht="15.75">
      <c r="E2526" s="144"/>
      <c r="G2526" s="146"/>
    </row>
    <row r="2527" ht="15.75">
      <c r="E2527" s="144"/>
      <c r="G2527" s="146"/>
    </row>
    <row r="2528" ht="15.75">
      <c r="E2528" s="144"/>
      <c r="G2528" s="146"/>
    </row>
    <row r="2529" ht="15.75">
      <c r="E2529" s="144"/>
      <c r="G2529" s="146"/>
    </row>
    <row r="2530" ht="15.75">
      <c r="E2530" s="144"/>
      <c r="G2530" s="146"/>
    </row>
    <row r="2531" ht="15.75">
      <c r="E2531" s="144"/>
      <c r="G2531" s="146"/>
    </row>
    <row r="2532" ht="15.75">
      <c r="E2532" s="144"/>
      <c r="G2532" s="146"/>
    </row>
    <row r="2533" ht="15.75">
      <c r="E2533" s="144"/>
      <c r="G2533" s="146"/>
    </row>
    <row r="2534" ht="15.75">
      <c r="E2534" s="144"/>
      <c r="G2534" s="146"/>
    </row>
    <row r="2535" ht="15.75">
      <c r="E2535" s="144"/>
      <c r="G2535" s="146"/>
    </row>
    <row r="2536" ht="15.75">
      <c r="E2536" s="144"/>
      <c r="G2536" s="146"/>
    </row>
    <row r="2537" ht="15.75">
      <c r="E2537" s="144"/>
      <c r="G2537" s="146"/>
    </row>
    <row r="2538" ht="15.75">
      <c r="E2538" s="144"/>
      <c r="G2538" s="146"/>
    </row>
    <row r="2539" ht="15.75">
      <c r="E2539" s="144"/>
      <c r="G2539" s="146"/>
    </row>
    <row r="2540" ht="15.75">
      <c r="E2540" s="144"/>
      <c r="G2540" s="146"/>
    </row>
    <row r="2541" ht="15.75">
      <c r="E2541" s="144"/>
      <c r="G2541" s="146"/>
    </row>
    <row r="2542" ht="15.75">
      <c r="E2542" s="144"/>
      <c r="G2542" s="146"/>
    </row>
    <row r="2543" ht="15.75">
      <c r="E2543" s="144"/>
      <c r="G2543" s="146"/>
    </row>
    <row r="2544" ht="15.75">
      <c r="E2544" s="144"/>
      <c r="G2544" s="146"/>
    </row>
    <row r="2545" ht="15.75">
      <c r="E2545" s="144"/>
      <c r="G2545" s="146"/>
    </row>
    <row r="2546" ht="15.75">
      <c r="E2546" s="144"/>
      <c r="G2546" s="146"/>
    </row>
    <row r="2547" ht="15.75">
      <c r="E2547" s="144"/>
      <c r="G2547" s="146"/>
    </row>
    <row r="2548" ht="15.75">
      <c r="E2548" s="144"/>
      <c r="G2548" s="146"/>
    </row>
    <row r="2549" ht="15.75">
      <c r="E2549" s="144"/>
      <c r="G2549" s="146"/>
    </row>
    <row r="2550" ht="15.75">
      <c r="E2550" s="144"/>
      <c r="G2550" s="146"/>
    </row>
    <row r="2551" ht="15.75">
      <c r="E2551" s="144"/>
      <c r="G2551" s="146"/>
    </row>
    <row r="2552" ht="15.75">
      <c r="E2552" s="144"/>
      <c r="G2552" s="146"/>
    </row>
    <row r="2553" ht="15.75">
      <c r="E2553" s="144"/>
      <c r="G2553" s="146"/>
    </row>
    <row r="2554" ht="15.75">
      <c r="E2554" s="144"/>
      <c r="G2554" s="146"/>
    </row>
    <row r="2555" ht="15.75">
      <c r="E2555" s="144"/>
      <c r="G2555" s="146"/>
    </row>
    <row r="2556" ht="15.75">
      <c r="E2556" s="144"/>
      <c r="G2556" s="146"/>
    </row>
    <row r="2557" ht="15.75">
      <c r="E2557" s="144"/>
      <c r="G2557" s="146"/>
    </row>
    <row r="2558" ht="15.75">
      <c r="E2558" s="144"/>
      <c r="G2558" s="146"/>
    </row>
    <row r="2559" ht="15.75">
      <c r="E2559" s="144"/>
      <c r="G2559" s="146"/>
    </row>
    <row r="2560" ht="15.75">
      <c r="E2560" s="144"/>
      <c r="G2560" s="146"/>
    </row>
    <row r="2561" ht="15.75">
      <c r="E2561" s="144"/>
      <c r="G2561" s="146"/>
    </row>
    <row r="2562" ht="15.75">
      <c r="E2562" s="144"/>
      <c r="G2562" s="146"/>
    </row>
    <row r="2563" ht="15.75">
      <c r="E2563" s="144"/>
      <c r="G2563" s="146"/>
    </row>
    <row r="2564" ht="15.75">
      <c r="E2564" s="144"/>
      <c r="G2564" s="146"/>
    </row>
    <row r="2565" ht="15.75">
      <c r="E2565" s="144"/>
      <c r="G2565" s="146"/>
    </row>
    <row r="2566" ht="15.75">
      <c r="E2566" s="144"/>
      <c r="G2566" s="146"/>
    </row>
    <row r="2567" ht="15.75">
      <c r="E2567" s="144"/>
      <c r="G2567" s="146"/>
    </row>
    <row r="2568" ht="15.75">
      <c r="E2568" s="144"/>
      <c r="G2568" s="146"/>
    </row>
    <row r="2569" ht="15.75">
      <c r="E2569" s="144"/>
      <c r="G2569" s="146"/>
    </row>
    <row r="2570" ht="15.75">
      <c r="E2570" s="144"/>
      <c r="G2570" s="146"/>
    </row>
    <row r="2571" ht="15.75">
      <c r="E2571" s="144"/>
      <c r="G2571" s="146"/>
    </row>
    <row r="2572" ht="15.75">
      <c r="E2572" s="144"/>
      <c r="G2572" s="146"/>
    </row>
    <row r="2573" ht="15.75">
      <c r="E2573" s="144"/>
      <c r="G2573" s="146"/>
    </row>
    <row r="2574" ht="15.75">
      <c r="E2574" s="144"/>
      <c r="G2574" s="146"/>
    </row>
    <row r="2575" ht="15.75">
      <c r="E2575" s="144"/>
      <c r="G2575" s="146"/>
    </row>
    <row r="2576" ht="15.75">
      <c r="E2576" s="144"/>
      <c r="G2576" s="146"/>
    </row>
    <row r="2577" ht="15.75">
      <c r="E2577" s="144"/>
      <c r="G2577" s="146"/>
    </row>
    <row r="2578" ht="15.75">
      <c r="E2578" s="144"/>
      <c r="G2578" s="146"/>
    </row>
    <row r="2579" ht="15.75">
      <c r="E2579" s="144"/>
      <c r="G2579" s="146"/>
    </row>
    <row r="2580" ht="15.75">
      <c r="E2580" s="144"/>
      <c r="G2580" s="146"/>
    </row>
    <row r="2581" ht="15.75">
      <c r="E2581" s="144"/>
      <c r="G2581" s="146"/>
    </row>
    <row r="2582" ht="15.75">
      <c r="E2582" s="144"/>
      <c r="G2582" s="146"/>
    </row>
    <row r="2583" ht="15.75">
      <c r="E2583" s="144"/>
      <c r="G2583" s="146"/>
    </row>
    <row r="2584" ht="15.75">
      <c r="E2584" s="144"/>
      <c r="G2584" s="146"/>
    </row>
    <row r="2585" ht="15.75">
      <c r="E2585" s="144"/>
      <c r="G2585" s="146"/>
    </row>
    <row r="2586" ht="15.75">
      <c r="E2586" s="144"/>
      <c r="G2586" s="146"/>
    </row>
    <row r="2587" ht="15.75">
      <c r="E2587" s="144"/>
      <c r="G2587" s="146"/>
    </row>
    <row r="2588" ht="15.75">
      <c r="E2588" s="144"/>
      <c r="G2588" s="146"/>
    </row>
    <row r="2589" ht="15.75">
      <c r="E2589" s="144"/>
      <c r="G2589" s="146"/>
    </row>
    <row r="2590" ht="15.75">
      <c r="E2590" s="144"/>
      <c r="G2590" s="146"/>
    </row>
    <row r="2591" ht="15.75">
      <c r="E2591" s="144"/>
      <c r="G2591" s="146"/>
    </row>
    <row r="2592" ht="15.75">
      <c r="E2592" s="144"/>
      <c r="G2592" s="146"/>
    </row>
    <row r="2593" ht="15.75">
      <c r="E2593" s="144"/>
      <c r="G2593" s="146"/>
    </row>
    <row r="2594" ht="15.75">
      <c r="E2594" s="144"/>
      <c r="G2594" s="146"/>
    </row>
    <row r="2595" ht="15.75">
      <c r="E2595" s="144"/>
      <c r="G2595" s="146"/>
    </row>
    <row r="2596" ht="15.75">
      <c r="E2596" s="144"/>
      <c r="G2596" s="146"/>
    </row>
    <row r="2597" ht="15.75">
      <c r="E2597" s="144"/>
      <c r="G2597" s="146"/>
    </row>
    <row r="2598" ht="15.75">
      <c r="E2598" s="144"/>
      <c r="G2598" s="146"/>
    </row>
    <row r="2599" ht="15.75">
      <c r="E2599" s="144"/>
      <c r="G2599" s="146"/>
    </row>
    <row r="2600" ht="15.75">
      <c r="E2600" s="144"/>
      <c r="G2600" s="146"/>
    </row>
    <row r="2601" ht="15.75">
      <c r="E2601" s="144"/>
      <c r="G2601" s="146"/>
    </row>
    <row r="2602" ht="15.75">
      <c r="E2602" s="144"/>
      <c r="G2602" s="146"/>
    </row>
    <row r="2603" ht="15.75">
      <c r="E2603" s="144"/>
      <c r="G2603" s="146"/>
    </row>
    <row r="2604" ht="15.75">
      <c r="E2604" s="144"/>
      <c r="G2604" s="146"/>
    </row>
    <row r="2605" ht="15.75">
      <c r="E2605" s="144"/>
      <c r="G2605" s="146"/>
    </row>
    <row r="2606" ht="15.75">
      <c r="E2606" s="144"/>
      <c r="G2606" s="146"/>
    </row>
    <row r="2607" ht="15.75">
      <c r="E2607" s="144"/>
      <c r="G2607" s="146"/>
    </row>
    <row r="2608" ht="15.75">
      <c r="E2608" s="144"/>
      <c r="G2608" s="146"/>
    </row>
    <row r="2609" ht="15.75">
      <c r="E2609" s="144"/>
      <c r="G2609" s="146"/>
    </row>
    <row r="2610" ht="15.75">
      <c r="E2610" s="144"/>
      <c r="G2610" s="146"/>
    </row>
    <row r="2611" ht="15.75">
      <c r="E2611" s="144"/>
      <c r="G2611" s="146"/>
    </row>
    <row r="2612" ht="15.75">
      <c r="E2612" s="144"/>
      <c r="G2612" s="146"/>
    </row>
    <row r="2613" ht="15.75">
      <c r="E2613" s="144"/>
      <c r="G2613" s="146"/>
    </row>
    <row r="2614" ht="15.75">
      <c r="E2614" s="144"/>
      <c r="G2614" s="146"/>
    </row>
    <row r="2615" ht="15.75">
      <c r="E2615" s="144"/>
      <c r="G2615" s="146"/>
    </row>
    <row r="2616" ht="15.75">
      <c r="E2616" s="144"/>
      <c r="G2616" s="146"/>
    </row>
    <row r="2617" ht="15.75">
      <c r="E2617" s="144"/>
      <c r="G2617" s="146"/>
    </row>
    <row r="2618" ht="15.75">
      <c r="E2618" s="144"/>
      <c r="G2618" s="146"/>
    </row>
    <row r="2619" ht="15.75">
      <c r="E2619" s="144"/>
      <c r="G2619" s="146"/>
    </row>
    <row r="2620" ht="15.75">
      <c r="E2620" s="144"/>
      <c r="G2620" s="146"/>
    </row>
    <row r="2621" ht="15.75">
      <c r="E2621" s="144"/>
      <c r="G2621" s="146"/>
    </row>
    <row r="2622" ht="15.75">
      <c r="E2622" s="144"/>
      <c r="G2622" s="146"/>
    </row>
    <row r="2623" ht="15.75">
      <c r="E2623" s="144"/>
      <c r="G2623" s="146"/>
    </row>
    <row r="2624" ht="15.75">
      <c r="E2624" s="144"/>
      <c r="G2624" s="146"/>
    </row>
    <row r="2625" ht="15.75">
      <c r="E2625" s="144"/>
      <c r="G2625" s="146"/>
    </row>
    <row r="2626" ht="15.75">
      <c r="E2626" s="144"/>
      <c r="G2626" s="146"/>
    </row>
    <row r="2627" ht="15.75">
      <c r="E2627" s="144"/>
      <c r="G2627" s="146"/>
    </row>
    <row r="2628" ht="15.75">
      <c r="E2628" s="144"/>
      <c r="G2628" s="146"/>
    </row>
    <row r="2629" ht="15.75">
      <c r="E2629" s="144"/>
      <c r="G2629" s="146"/>
    </row>
    <row r="2630" ht="15.75">
      <c r="E2630" s="144"/>
      <c r="G2630" s="146"/>
    </row>
    <row r="2631" ht="15.75">
      <c r="E2631" s="144"/>
      <c r="G2631" s="146"/>
    </row>
    <row r="2632" ht="15.75">
      <c r="E2632" s="144"/>
      <c r="G2632" s="146"/>
    </row>
    <row r="2633" ht="15.75">
      <c r="E2633" s="144"/>
      <c r="G2633" s="146"/>
    </row>
    <row r="2634" ht="15.75">
      <c r="E2634" s="144"/>
      <c r="G2634" s="146"/>
    </row>
    <row r="2635" ht="15.75">
      <c r="E2635" s="144"/>
      <c r="G2635" s="146"/>
    </row>
    <row r="2636" ht="15.75">
      <c r="E2636" s="144"/>
      <c r="G2636" s="146"/>
    </row>
    <row r="2637" ht="15.75">
      <c r="E2637" s="144"/>
      <c r="G2637" s="146"/>
    </row>
    <row r="2638" ht="15.75">
      <c r="E2638" s="144"/>
      <c r="G2638" s="146"/>
    </row>
    <row r="2639" ht="15.75">
      <c r="E2639" s="144"/>
      <c r="G2639" s="146"/>
    </row>
    <row r="2640" ht="15.75">
      <c r="E2640" s="144"/>
      <c r="G2640" s="146"/>
    </row>
    <row r="2641" ht="15.75">
      <c r="E2641" s="144"/>
      <c r="G2641" s="146"/>
    </row>
    <row r="2642" ht="15.75">
      <c r="E2642" s="144"/>
      <c r="G2642" s="146"/>
    </row>
    <row r="2643" ht="15.75">
      <c r="E2643" s="144"/>
      <c r="G2643" s="146"/>
    </row>
    <row r="2644" ht="15.75">
      <c r="E2644" s="144"/>
      <c r="G2644" s="146"/>
    </row>
    <row r="2645" ht="15.75">
      <c r="E2645" s="144"/>
      <c r="G2645" s="146"/>
    </row>
    <row r="2646" ht="15.75">
      <c r="E2646" s="144"/>
      <c r="G2646" s="146"/>
    </row>
    <row r="2647" ht="15.75">
      <c r="E2647" s="144"/>
      <c r="G2647" s="146"/>
    </row>
    <row r="2648" ht="15.75">
      <c r="E2648" s="144"/>
      <c r="G2648" s="146"/>
    </row>
    <row r="2649" ht="15.75">
      <c r="E2649" s="144"/>
      <c r="G2649" s="146"/>
    </row>
    <row r="2650" ht="15.75">
      <c r="E2650" s="144"/>
      <c r="G2650" s="146"/>
    </row>
    <row r="2651" ht="15.75">
      <c r="E2651" s="144"/>
      <c r="G2651" s="146"/>
    </row>
    <row r="2652" ht="15.75">
      <c r="E2652" s="144"/>
      <c r="G2652" s="146"/>
    </row>
    <row r="2653" ht="15.75">
      <c r="E2653" s="144"/>
      <c r="G2653" s="146"/>
    </row>
    <row r="2654" ht="15.75">
      <c r="E2654" s="144"/>
      <c r="G2654" s="146"/>
    </row>
    <row r="2655" ht="15.75">
      <c r="E2655" s="144"/>
      <c r="G2655" s="146"/>
    </row>
    <row r="2656" ht="15.75">
      <c r="E2656" s="144"/>
      <c r="G2656" s="146"/>
    </row>
    <row r="2657" ht="15.75">
      <c r="E2657" s="144"/>
      <c r="G2657" s="146"/>
    </row>
    <row r="2658" ht="15.75">
      <c r="E2658" s="144"/>
      <c r="G2658" s="146"/>
    </row>
    <row r="2659" ht="15.75">
      <c r="E2659" s="144"/>
      <c r="G2659" s="146"/>
    </row>
    <row r="2660" ht="15.75">
      <c r="E2660" s="144"/>
      <c r="G2660" s="146"/>
    </row>
    <row r="2661" ht="15.75">
      <c r="E2661" s="144"/>
      <c r="G2661" s="146"/>
    </row>
    <row r="2662" ht="15.75">
      <c r="E2662" s="144"/>
      <c r="G2662" s="146"/>
    </row>
    <row r="2663" ht="15.75">
      <c r="E2663" s="144"/>
      <c r="G2663" s="146"/>
    </row>
    <row r="2664" ht="15.75">
      <c r="E2664" s="144"/>
      <c r="G2664" s="146"/>
    </row>
    <row r="2665" ht="15.75">
      <c r="E2665" s="144"/>
      <c r="G2665" s="146"/>
    </row>
    <row r="2666" ht="15.75">
      <c r="E2666" s="144"/>
      <c r="G2666" s="146"/>
    </row>
    <row r="2667" ht="15.75">
      <c r="E2667" s="144"/>
      <c r="G2667" s="146"/>
    </row>
    <row r="2668" ht="15.75">
      <c r="E2668" s="144"/>
      <c r="G2668" s="146"/>
    </row>
    <row r="2669" ht="15.75">
      <c r="E2669" s="144"/>
      <c r="G2669" s="146"/>
    </row>
    <row r="2670" ht="15.75">
      <c r="E2670" s="144"/>
      <c r="G2670" s="146"/>
    </row>
    <row r="2671" ht="15.75">
      <c r="E2671" s="144"/>
      <c r="G2671" s="146"/>
    </row>
    <row r="2672" ht="15.75">
      <c r="E2672" s="144"/>
      <c r="G2672" s="146"/>
    </row>
    <row r="2673" ht="15.75">
      <c r="E2673" s="144"/>
      <c r="G2673" s="146"/>
    </row>
    <row r="2674" ht="15.75">
      <c r="E2674" s="144"/>
      <c r="G2674" s="146"/>
    </row>
    <row r="2675" ht="15.75">
      <c r="E2675" s="144"/>
      <c r="G2675" s="146"/>
    </row>
    <row r="2676" ht="15.75">
      <c r="E2676" s="144"/>
      <c r="G2676" s="146"/>
    </row>
    <row r="2677" ht="15.75">
      <c r="E2677" s="144"/>
      <c r="G2677" s="146"/>
    </row>
    <row r="2678" ht="15.75">
      <c r="E2678" s="144"/>
      <c r="G2678" s="146"/>
    </row>
    <row r="2679" ht="15.75">
      <c r="E2679" s="144"/>
      <c r="G2679" s="146"/>
    </row>
    <row r="2680" ht="15.75">
      <c r="E2680" s="144"/>
      <c r="G2680" s="146"/>
    </row>
    <row r="2681" ht="15.75">
      <c r="E2681" s="144"/>
      <c r="G2681" s="146"/>
    </row>
    <row r="2682" ht="15.75">
      <c r="E2682" s="144"/>
      <c r="G2682" s="146"/>
    </row>
    <row r="2683" ht="15.75">
      <c r="E2683" s="144"/>
      <c r="G2683" s="146"/>
    </row>
    <row r="2684" ht="15.75">
      <c r="E2684" s="144"/>
      <c r="G2684" s="146"/>
    </row>
    <row r="2685" ht="15.75">
      <c r="E2685" s="144"/>
      <c r="G2685" s="146"/>
    </row>
    <row r="2686" ht="15.75">
      <c r="E2686" s="144"/>
      <c r="G2686" s="146"/>
    </row>
    <row r="2687" ht="15.75">
      <c r="E2687" s="144"/>
      <c r="G2687" s="146"/>
    </row>
    <row r="2688" ht="15.75">
      <c r="E2688" s="144"/>
      <c r="G2688" s="146"/>
    </row>
    <row r="2689" ht="15.75">
      <c r="E2689" s="144"/>
      <c r="G2689" s="146"/>
    </row>
    <row r="2690" ht="15.75">
      <c r="E2690" s="144"/>
      <c r="G2690" s="146"/>
    </row>
    <row r="2691" ht="15.75">
      <c r="E2691" s="144"/>
      <c r="G2691" s="146"/>
    </row>
    <row r="2692" ht="15.75">
      <c r="E2692" s="144"/>
      <c r="G2692" s="146"/>
    </row>
    <row r="2693" ht="15.75">
      <c r="E2693" s="144"/>
      <c r="G2693" s="146"/>
    </row>
    <row r="2694" ht="15.75">
      <c r="E2694" s="144"/>
      <c r="G2694" s="146"/>
    </row>
    <row r="2695" ht="15.75">
      <c r="E2695" s="144"/>
      <c r="G2695" s="146"/>
    </row>
    <row r="2696" ht="15.75">
      <c r="E2696" s="144"/>
      <c r="G2696" s="146"/>
    </row>
    <row r="2697" ht="15.75">
      <c r="E2697" s="144"/>
      <c r="G2697" s="146"/>
    </row>
    <row r="2698" ht="15.75">
      <c r="E2698" s="144"/>
      <c r="G2698" s="146"/>
    </row>
    <row r="2699" ht="15.75">
      <c r="E2699" s="144"/>
      <c r="G2699" s="146"/>
    </row>
    <row r="2700" ht="15.75">
      <c r="E2700" s="144"/>
      <c r="G2700" s="146"/>
    </row>
    <row r="2701" ht="15.75">
      <c r="E2701" s="144"/>
      <c r="G2701" s="146"/>
    </row>
    <row r="2702" ht="15.75">
      <c r="E2702" s="144"/>
      <c r="G2702" s="146"/>
    </row>
    <row r="2703" ht="15.75">
      <c r="E2703" s="144"/>
      <c r="G2703" s="146"/>
    </row>
    <row r="2704" ht="15.75">
      <c r="E2704" s="144"/>
      <c r="G2704" s="146"/>
    </row>
    <row r="2705" ht="15.75">
      <c r="E2705" s="144"/>
      <c r="G2705" s="146"/>
    </row>
    <row r="2706" ht="15.75">
      <c r="E2706" s="144"/>
      <c r="G2706" s="146"/>
    </row>
    <row r="2707" ht="15.75">
      <c r="E2707" s="144"/>
      <c r="G2707" s="146"/>
    </row>
    <row r="2708" ht="15.75">
      <c r="E2708" s="144"/>
      <c r="G2708" s="146"/>
    </row>
    <row r="2709" ht="15.75">
      <c r="E2709" s="144"/>
      <c r="G2709" s="146"/>
    </row>
    <row r="2710" ht="15.75">
      <c r="E2710" s="144"/>
      <c r="G2710" s="146"/>
    </row>
    <row r="2711" ht="15.75">
      <c r="E2711" s="144"/>
      <c r="G2711" s="146"/>
    </row>
    <row r="2712" ht="15.75">
      <c r="E2712" s="144"/>
      <c r="G2712" s="146"/>
    </row>
    <row r="2713" ht="15.75">
      <c r="E2713" s="144"/>
      <c r="G2713" s="146"/>
    </row>
    <row r="2714" ht="15.75">
      <c r="E2714" s="144"/>
      <c r="G2714" s="146"/>
    </row>
    <row r="2715" ht="15.75">
      <c r="E2715" s="144"/>
      <c r="G2715" s="146"/>
    </row>
    <row r="2716" ht="15.75">
      <c r="E2716" s="144"/>
      <c r="G2716" s="146"/>
    </row>
    <row r="2717" ht="15.75">
      <c r="E2717" s="144"/>
      <c r="G2717" s="146"/>
    </row>
    <row r="2718" ht="15.75">
      <c r="E2718" s="144"/>
      <c r="G2718" s="146"/>
    </row>
    <row r="2719" ht="15.75">
      <c r="E2719" s="144"/>
      <c r="G2719" s="146"/>
    </row>
    <row r="2720" ht="15.75">
      <c r="E2720" s="144"/>
      <c r="G2720" s="146"/>
    </row>
    <row r="2721" ht="15.75">
      <c r="E2721" s="144"/>
      <c r="G2721" s="146"/>
    </row>
    <row r="2722" ht="15.75">
      <c r="E2722" s="144"/>
      <c r="G2722" s="146"/>
    </row>
    <row r="2723" ht="15.75">
      <c r="E2723" s="144"/>
      <c r="G2723" s="146"/>
    </row>
    <row r="2724" ht="15.75">
      <c r="E2724" s="144"/>
      <c r="G2724" s="146"/>
    </row>
    <row r="2725" ht="15.75">
      <c r="E2725" s="144"/>
      <c r="G2725" s="146"/>
    </row>
    <row r="2726" ht="15.75">
      <c r="E2726" s="144"/>
      <c r="G2726" s="146"/>
    </row>
    <row r="2727" ht="15.75">
      <c r="E2727" s="144"/>
      <c r="G2727" s="146"/>
    </row>
    <row r="2728" ht="15.75">
      <c r="E2728" s="144"/>
      <c r="G2728" s="146"/>
    </row>
    <row r="2729" ht="15.75">
      <c r="E2729" s="144"/>
      <c r="G2729" s="146"/>
    </row>
    <row r="2730" ht="15.75">
      <c r="E2730" s="144"/>
      <c r="G2730" s="146"/>
    </row>
    <row r="2731" ht="15.75">
      <c r="E2731" s="144"/>
      <c r="G2731" s="146"/>
    </row>
    <row r="2732" ht="15.75">
      <c r="E2732" s="144"/>
      <c r="G2732" s="146"/>
    </row>
    <row r="2733" ht="15.75">
      <c r="E2733" s="144"/>
      <c r="G2733" s="146"/>
    </row>
    <row r="2734" ht="15.75">
      <c r="E2734" s="144"/>
      <c r="G2734" s="146"/>
    </row>
    <row r="2735" ht="15.75">
      <c r="E2735" s="144"/>
      <c r="G2735" s="146"/>
    </row>
    <row r="2736" ht="15.75">
      <c r="E2736" s="144"/>
      <c r="G2736" s="146"/>
    </row>
    <row r="2737" ht="15.75">
      <c r="E2737" s="144"/>
      <c r="G2737" s="146"/>
    </row>
    <row r="2738" ht="15.75">
      <c r="E2738" s="144"/>
      <c r="G2738" s="146"/>
    </row>
    <row r="2739" ht="15.75">
      <c r="E2739" s="144"/>
      <c r="G2739" s="146"/>
    </row>
    <row r="2740" ht="15.75">
      <c r="E2740" s="144"/>
      <c r="G2740" s="146"/>
    </row>
    <row r="2741" ht="15.75">
      <c r="E2741" s="144"/>
      <c r="G2741" s="146"/>
    </row>
    <row r="2742" ht="15.75">
      <c r="E2742" s="144"/>
      <c r="G2742" s="146"/>
    </row>
    <row r="2743" ht="15.75">
      <c r="E2743" s="144"/>
      <c r="G2743" s="146"/>
    </row>
    <row r="2744" ht="15.75">
      <c r="E2744" s="144"/>
      <c r="G2744" s="146"/>
    </row>
    <row r="2745" ht="15.75">
      <c r="E2745" s="144"/>
      <c r="G2745" s="146"/>
    </row>
    <row r="2746" ht="15.75">
      <c r="E2746" s="144"/>
      <c r="G2746" s="146"/>
    </row>
    <row r="2747" ht="15.75">
      <c r="E2747" s="144"/>
      <c r="G2747" s="146"/>
    </row>
    <row r="2748" ht="15.75">
      <c r="E2748" s="144"/>
      <c r="G2748" s="146"/>
    </row>
    <row r="2749" ht="15.75">
      <c r="E2749" s="144"/>
      <c r="G2749" s="146"/>
    </row>
    <row r="2750" ht="15.75">
      <c r="E2750" s="144"/>
      <c r="G2750" s="146"/>
    </row>
    <row r="2751" ht="15.75">
      <c r="E2751" s="144"/>
      <c r="G2751" s="146"/>
    </row>
    <row r="2752" ht="15.75">
      <c r="E2752" s="144"/>
      <c r="G2752" s="146"/>
    </row>
    <row r="2753" ht="15.75">
      <c r="E2753" s="144"/>
      <c r="G2753" s="146"/>
    </row>
    <row r="2754" ht="15.75">
      <c r="E2754" s="144"/>
      <c r="G2754" s="146"/>
    </row>
    <row r="2755" ht="15.75">
      <c r="E2755" s="144"/>
      <c r="G2755" s="146"/>
    </row>
    <row r="2756" ht="15.75">
      <c r="E2756" s="144"/>
      <c r="G2756" s="146"/>
    </row>
    <row r="2757" ht="15.75">
      <c r="E2757" s="144"/>
      <c r="G2757" s="146"/>
    </row>
    <row r="2758" ht="15.75">
      <c r="E2758" s="144"/>
      <c r="G2758" s="146"/>
    </row>
    <row r="2759" ht="15.75">
      <c r="E2759" s="144"/>
      <c r="G2759" s="146"/>
    </row>
    <row r="2760" ht="15.75">
      <c r="E2760" s="144"/>
      <c r="G2760" s="146"/>
    </row>
    <row r="2761" ht="15.75">
      <c r="E2761" s="144"/>
      <c r="G2761" s="146"/>
    </row>
    <row r="2762" ht="15.75">
      <c r="E2762" s="144"/>
      <c r="G2762" s="146"/>
    </row>
    <row r="2763" ht="15.75">
      <c r="E2763" s="144"/>
      <c r="G2763" s="146"/>
    </row>
    <row r="2764" ht="15.75">
      <c r="E2764" s="144"/>
      <c r="G2764" s="146"/>
    </row>
    <row r="2765" ht="15.75">
      <c r="E2765" s="144"/>
      <c r="G2765" s="146"/>
    </row>
    <row r="2766" ht="15.75">
      <c r="E2766" s="144"/>
      <c r="G2766" s="146"/>
    </row>
    <row r="2767" ht="15.75">
      <c r="E2767" s="144"/>
      <c r="G2767" s="146"/>
    </row>
    <row r="2768" ht="15.75">
      <c r="E2768" s="144"/>
      <c r="G2768" s="146"/>
    </row>
    <row r="2769" ht="15.75">
      <c r="E2769" s="144"/>
      <c r="G2769" s="146"/>
    </row>
    <row r="2770" ht="15.75">
      <c r="E2770" s="144"/>
      <c r="G2770" s="146"/>
    </row>
    <row r="2771" ht="15.75">
      <c r="E2771" s="144"/>
      <c r="G2771" s="146"/>
    </row>
    <row r="2772" ht="15.75">
      <c r="E2772" s="144"/>
      <c r="G2772" s="146"/>
    </row>
    <row r="2773" ht="15.75">
      <c r="E2773" s="144"/>
      <c r="G2773" s="146"/>
    </row>
    <row r="2774" ht="15.75">
      <c r="E2774" s="144"/>
      <c r="G2774" s="146"/>
    </row>
    <row r="2775" ht="15.75">
      <c r="E2775" s="144"/>
      <c r="G2775" s="146"/>
    </row>
    <row r="2776" ht="15.75">
      <c r="E2776" s="144"/>
      <c r="G2776" s="146"/>
    </row>
    <row r="2777" ht="15.75">
      <c r="E2777" s="144"/>
      <c r="G2777" s="146"/>
    </row>
    <row r="2778" ht="15.75">
      <c r="E2778" s="144"/>
      <c r="G2778" s="146"/>
    </row>
    <row r="2779" ht="15.75">
      <c r="E2779" s="144"/>
      <c r="G2779" s="146"/>
    </row>
    <row r="2780" ht="15.75">
      <c r="E2780" s="144"/>
      <c r="G2780" s="146"/>
    </row>
    <row r="2781" ht="15.75">
      <c r="E2781" s="144"/>
      <c r="G2781" s="146"/>
    </row>
    <row r="2782" ht="15.75">
      <c r="E2782" s="144"/>
      <c r="G2782" s="146"/>
    </row>
    <row r="2783" ht="15.75">
      <c r="E2783" s="144"/>
      <c r="G2783" s="146"/>
    </row>
    <row r="2784" ht="15.75">
      <c r="E2784" s="144"/>
      <c r="G2784" s="146"/>
    </row>
    <row r="2785" ht="15.75">
      <c r="E2785" s="144"/>
      <c r="G2785" s="146"/>
    </row>
    <row r="2786" ht="15.75">
      <c r="E2786" s="144"/>
      <c r="G2786" s="146"/>
    </row>
    <row r="2787" ht="15.75">
      <c r="E2787" s="144"/>
      <c r="G2787" s="146"/>
    </row>
    <row r="2788" ht="15.75">
      <c r="E2788" s="144"/>
      <c r="G2788" s="146"/>
    </row>
    <row r="2789" ht="15.75">
      <c r="E2789" s="144"/>
      <c r="G2789" s="146"/>
    </row>
    <row r="2790" ht="15.75">
      <c r="E2790" s="144"/>
      <c r="G2790" s="146"/>
    </row>
    <row r="2791" ht="15.75">
      <c r="E2791" s="144"/>
      <c r="G2791" s="146"/>
    </row>
    <row r="2792" ht="15.75">
      <c r="E2792" s="144"/>
      <c r="G2792" s="146"/>
    </row>
    <row r="2793" ht="15.75">
      <c r="E2793" s="144"/>
      <c r="G2793" s="146"/>
    </row>
    <row r="2794" ht="15.75">
      <c r="E2794" s="144"/>
      <c r="G2794" s="146"/>
    </row>
    <row r="2795" ht="15.75">
      <c r="E2795" s="144"/>
      <c r="G2795" s="146"/>
    </row>
    <row r="2796" ht="15.75">
      <c r="E2796" s="144"/>
      <c r="G2796" s="146"/>
    </row>
    <row r="2797" ht="15.75">
      <c r="E2797" s="144"/>
      <c r="G2797" s="146"/>
    </row>
    <row r="2798" ht="15.75">
      <c r="E2798" s="144"/>
      <c r="G2798" s="146"/>
    </row>
    <row r="2799" ht="15.75">
      <c r="E2799" s="144"/>
      <c r="G2799" s="146"/>
    </row>
    <row r="2800" ht="15.75">
      <c r="E2800" s="144"/>
      <c r="G2800" s="146"/>
    </row>
    <row r="2801" ht="15.75">
      <c r="E2801" s="144"/>
      <c r="G2801" s="146"/>
    </row>
    <row r="2802" ht="15.75">
      <c r="E2802" s="144"/>
      <c r="G2802" s="146"/>
    </row>
    <row r="2803" ht="15.75">
      <c r="E2803" s="144"/>
      <c r="G2803" s="146"/>
    </row>
    <row r="2804" ht="15.75">
      <c r="E2804" s="144"/>
      <c r="G2804" s="146"/>
    </row>
    <row r="2805" ht="15.75">
      <c r="E2805" s="144"/>
      <c r="G2805" s="146"/>
    </row>
    <row r="2806" ht="15.75">
      <c r="E2806" s="144"/>
      <c r="G2806" s="146"/>
    </row>
    <row r="2807" ht="15.75">
      <c r="E2807" s="144"/>
      <c r="G2807" s="146"/>
    </row>
    <row r="2808" ht="15.75">
      <c r="E2808" s="144"/>
      <c r="G2808" s="146"/>
    </row>
    <row r="2809" ht="15.75">
      <c r="E2809" s="144"/>
      <c r="G2809" s="146"/>
    </row>
    <row r="2810" ht="15.75">
      <c r="E2810" s="144"/>
      <c r="G2810" s="146"/>
    </row>
    <row r="2811" ht="15.75">
      <c r="E2811" s="144"/>
      <c r="G2811" s="146"/>
    </row>
    <row r="2812" ht="15.75">
      <c r="E2812" s="144"/>
      <c r="G2812" s="146"/>
    </row>
    <row r="2813" ht="15.75">
      <c r="E2813" s="144"/>
      <c r="G2813" s="146"/>
    </row>
    <row r="2814" ht="15.75">
      <c r="E2814" s="144"/>
      <c r="G2814" s="146"/>
    </row>
    <row r="2815" ht="15.75">
      <c r="E2815" s="144"/>
      <c r="G2815" s="146"/>
    </row>
    <row r="2816" ht="15.75">
      <c r="E2816" s="144"/>
      <c r="G2816" s="146"/>
    </row>
    <row r="2817" ht="15.75">
      <c r="E2817" s="144"/>
      <c r="G2817" s="146"/>
    </row>
    <row r="2818" ht="15.75">
      <c r="E2818" s="144"/>
      <c r="G2818" s="146"/>
    </row>
    <row r="2819" ht="15.75">
      <c r="E2819" s="144"/>
      <c r="G2819" s="146"/>
    </row>
    <row r="2820" ht="15.75">
      <c r="E2820" s="144"/>
      <c r="G2820" s="146"/>
    </row>
    <row r="2821" ht="15.75">
      <c r="E2821" s="144"/>
      <c r="G2821" s="146"/>
    </row>
    <row r="2822" ht="15.75">
      <c r="E2822" s="144"/>
      <c r="G2822" s="146"/>
    </row>
    <row r="2823" ht="15.75">
      <c r="E2823" s="144"/>
      <c r="G2823" s="146"/>
    </row>
    <row r="2824" ht="15.75">
      <c r="E2824" s="144"/>
      <c r="G2824" s="146"/>
    </row>
    <row r="2825" ht="15.75">
      <c r="E2825" s="144"/>
      <c r="G2825" s="146"/>
    </row>
    <row r="2826" ht="15.75">
      <c r="E2826" s="144"/>
      <c r="G2826" s="146"/>
    </row>
    <row r="2827" ht="15.75">
      <c r="E2827" s="144"/>
      <c r="G2827" s="146"/>
    </row>
    <row r="2828" ht="15.75">
      <c r="E2828" s="144"/>
      <c r="G2828" s="146"/>
    </row>
    <row r="2829" ht="15.75">
      <c r="E2829" s="144"/>
      <c r="G2829" s="146"/>
    </row>
    <row r="2830" ht="15.75">
      <c r="E2830" s="144"/>
      <c r="G2830" s="146"/>
    </row>
    <row r="2831" ht="15.75">
      <c r="E2831" s="144"/>
      <c r="G2831" s="146"/>
    </row>
    <row r="2832" ht="15.75">
      <c r="E2832" s="144"/>
      <c r="G2832" s="146"/>
    </row>
    <row r="2833" ht="15.75">
      <c r="E2833" s="144"/>
      <c r="G2833" s="146"/>
    </row>
    <row r="2834" ht="15.75">
      <c r="E2834" s="144"/>
      <c r="G2834" s="146"/>
    </row>
    <row r="2835" ht="15.75">
      <c r="E2835" s="144"/>
      <c r="G2835" s="146"/>
    </row>
    <row r="2836" ht="15.75">
      <c r="E2836" s="144"/>
      <c r="G2836" s="146"/>
    </row>
    <row r="2837" ht="15.75">
      <c r="E2837" s="144"/>
      <c r="G2837" s="146"/>
    </row>
    <row r="2838" ht="15.75">
      <c r="E2838" s="144"/>
      <c r="G2838" s="146"/>
    </row>
    <row r="2839" ht="15.75">
      <c r="E2839" s="144"/>
      <c r="G2839" s="146"/>
    </row>
    <row r="2840" ht="15.75">
      <c r="E2840" s="144"/>
      <c r="G2840" s="146"/>
    </row>
    <row r="2841" ht="15.75">
      <c r="E2841" s="144"/>
      <c r="G2841" s="146"/>
    </row>
    <row r="2842" ht="15.75">
      <c r="E2842" s="144"/>
      <c r="G2842" s="146"/>
    </row>
    <row r="2843" ht="15.75">
      <c r="E2843" s="144"/>
      <c r="G2843" s="146"/>
    </row>
    <row r="2844" ht="15.75">
      <c r="E2844" s="144"/>
      <c r="G2844" s="146"/>
    </row>
    <row r="2845" ht="15.75">
      <c r="E2845" s="144"/>
      <c r="G2845" s="146"/>
    </row>
    <row r="2846" ht="15.75">
      <c r="E2846" s="144"/>
      <c r="G2846" s="146"/>
    </row>
    <row r="2847" ht="15.75">
      <c r="E2847" s="144"/>
      <c r="G2847" s="146"/>
    </row>
    <row r="2848" ht="15.75">
      <c r="E2848" s="144"/>
      <c r="G2848" s="146"/>
    </row>
    <row r="2849" ht="15.75">
      <c r="E2849" s="144"/>
      <c r="G2849" s="146"/>
    </row>
    <row r="2850" ht="15.75">
      <c r="E2850" s="144"/>
      <c r="G2850" s="146"/>
    </row>
    <row r="2851" ht="15.75">
      <c r="E2851" s="144"/>
      <c r="G2851" s="146"/>
    </row>
    <row r="2852" ht="15.75">
      <c r="E2852" s="144"/>
      <c r="G2852" s="146"/>
    </row>
    <row r="2853" ht="15.75">
      <c r="E2853" s="144"/>
      <c r="G2853" s="146"/>
    </row>
    <row r="2854" ht="15.75">
      <c r="E2854" s="144"/>
      <c r="G2854" s="146"/>
    </row>
    <row r="2855" ht="15.75">
      <c r="E2855" s="144"/>
      <c r="G2855" s="146"/>
    </row>
    <row r="2856" ht="15.75">
      <c r="E2856" s="144"/>
      <c r="G2856" s="146"/>
    </row>
    <row r="2857" ht="15.75">
      <c r="E2857" s="144"/>
      <c r="G2857" s="146"/>
    </row>
    <row r="2858" ht="15.75">
      <c r="E2858" s="144"/>
      <c r="G2858" s="146"/>
    </row>
    <row r="2859" ht="15.75">
      <c r="E2859" s="144"/>
      <c r="G2859" s="146"/>
    </row>
    <row r="2860" ht="15.75">
      <c r="E2860" s="144"/>
      <c r="G2860" s="146"/>
    </row>
    <row r="2861" ht="15.75">
      <c r="E2861" s="144"/>
      <c r="G2861" s="146"/>
    </row>
    <row r="2862" ht="15.75">
      <c r="E2862" s="144"/>
      <c r="G2862" s="146"/>
    </row>
    <row r="2863" ht="15.75">
      <c r="E2863" s="144"/>
      <c r="G2863" s="146"/>
    </row>
    <row r="2864" ht="15.75">
      <c r="E2864" s="144"/>
      <c r="G2864" s="146"/>
    </row>
    <row r="2865" ht="15.75">
      <c r="E2865" s="144"/>
      <c r="G2865" s="146"/>
    </row>
    <row r="2866" ht="15.75">
      <c r="E2866" s="144"/>
      <c r="G2866" s="146"/>
    </row>
    <row r="2867" ht="15.75">
      <c r="E2867" s="144"/>
      <c r="G2867" s="146"/>
    </row>
    <row r="2868" ht="15.75">
      <c r="E2868" s="144"/>
      <c r="G2868" s="146"/>
    </row>
    <row r="2869" ht="15.75">
      <c r="E2869" s="144"/>
      <c r="G2869" s="146"/>
    </row>
    <row r="2870" ht="15.75">
      <c r="E2870" s="144"/>
      <c r="G2870" s="146"/>
    </row>
    <row r="2871" ht="15.75">
      <c r="E2871" s="144"/>
      <c r="G2871" s="146"/>
    </row>
    <row r="2872" ht="15.75">
      <c r="E2872" s="144"/>
      <c r="G2872" s="146"/>
    </row>
    <row r="2873" ht="15.75">
      <c r="E2873" s="144"/>
      <c r="G2873" s="146"/>
    </row>
    <row r="2874" ht="15.75">
      <c r="E2874" s="144"/>
      <c r="G2874" s="146"/>
    </row>
    <row r="2875" ht="15.75">
      <c r="E2875" s="144"/>
      <c r="G2875" s="146"/>
    </row>
    <row r="2876" ht="15.75">
      <c r="E2876" s="144"/>
      <c r="G2876" s="146"/>
    </row>
    <row r="2877" ht="15.75">
      <c r="E2877" s="144"/>
      <c r="G2877" s="146"/>
    </row>
    <row r="2878" ht="15.75">
      <c r="E2878" s="144"/>
      <c r="G2878" s="146"/>
    </row>
    <row r="2879" ht="15.75">
      <c r="E2879" s="144"/>
      <c r="G2879" s="146"/>
    </row>
    <row r="2880" ht="15.75">
      <c r="E2880" s="144"/>
      <c r="G2880" s="146"/>
    </row>
    <row r="2881" ht="15.75">
      <c r="E2881" s="144"/>
      <c r="G2881" s="146"/>
    </row>
    <row r="2882" ht="15.75">
      <c r="E2882" s="144"/>
      <c r="G2882" s="146"/>
    </row>
    <row r="2883" ht="15.75">
      <c r="E2883" s="144"/>
      <c r="G2883" s="146"/>
    </row>
    <row r="2884" ht="15.75">
      <c r="E2884" s="144"/>
      <c r="G2884" s="146"/>
    </row>
    <row r="2885" ht="15.75">
      <c r="E2885" s="144"/>
      <c r="G2885" s="146"/>
    </row>
    <row r="2886" ht="15.75">
      <c r="E2886" s="144"/>
      <c r="G2886" s="146"/>
    </row>
    <row r="2887" ht="15.75">
      <c r="E2887" s="144"/>
      <c r="G2887" s="146"/>
    </row>
    <row r="2888" ht="15.75">
      <c r="E2888" s="144"/>
      <c r="G2888" s="146"/>
    </row>
    <row r="2889" ht="15.75">
      <c r="E2889" s="144"/>
      <c r="G2889" s="146"/>
    </row>
    <row r="2890" ht="15.75">
      <c r="E2890" s="144"/>
      <c r="G2890" s="146"/>
    </row>
    <row r="2891" ht="15.75">
      <c r="E2891" s="144"/>
      <c r="G2891" s="146"/>
    </row>
    <row r="2892" ht="15.75">
      <c r="E2892" s="144"/>
      <c r="G2892" s="146"/>
    </row>
    <row r="2893" ht="15.75">
      <c r="E2893" s="144"/>
      <c r="G2893" s="146"/>
    </row>
    <row r="2894" ht="15.75">
      <c r="E2894" s="144"/>
      <c r="G2894" s="146"/>
    </row>
    <row r="2895" ht="15.75">
      <c r="E2895" s="144"/>
      <c r="G2895" s="146"/>
    </row>
    <row r="2896" ht="15.75">
      <c r="E2896" s="144"/>
      <c r="G2896" s="146"/>
    </row>
    <row r="2897" ht="15.75">
      <c r="E2897" s="144"/>
      <c r="G2897" s="146"/>
    </row>
    <row r="2898" ht="15.75">
      <c r="E2898" s="144"/>
      <c r="G2898" s="146"/>
    </row>
    <row r="2899" ht="15.75">
      <c r="E2899" s="144"/>
      <c r="G2899" s="146"/>
    </row>
    <row r="2900" ht="15.75">
      <c r="E2900" s="144"/>
      <c r="G2900" s="146"/>
    </row>
    <row r="2901" ht="15.75">
      <c r="E2901" s="144"/>
      <c r="G2901" s="146"/>
    </row>
    <row r="2902" ht="15.75">
      <c r="E2902" s="144"/>
      <c r="G2902" s="146"/>
    </row>
    <row r="2903" ht="15.75">
      <c r="E2903" s="144"/>
      <c r="G2903" s="146"/>
    </row>
    <row r="2904" ht="15.75">
      <c r="E2904" s="144"/>
      <c r="G2904" s="146"/>
    </row>
    <row r="2905" ht="15.75">
      <c r="E2905" s="144"/>
      <c r="G2905" s="146"/>
    </row>
    <row r="2906" ht="15.75">
      <c r="E2906" s="144"/>
      <c r="G2906" s="146"/>
    </row>
    <row r="2907" ht="15.75">
      <c r="E2907" s="144"/>
      <c r="G2907" s="146"/>
    </row>
    <row r="2908" ht="15.75">
      <c r="E2908" s="144"/>
      <c r="G2908" s="146"/>
    </row>
    <row r="2909" ht="15.75">
      <c r="E2909" s="144"/>
      <c r="G2909" s="146"/>
    </row>
    <row r="2910" ht="15.75">
      <c r="E2910" s="144"/>
      <c r="G2910" s="146"/>
    </row>
    <row r="2911" ht="15.75">
      <c r="E2911" s="144"/>
      <c r="G2911" s="146"/>
    </row>
    <row r="2912" ht="15.75">
      <c r="E2912" s="144"/>
      <c r="G2912" s="146"/>
    </row>
    <row r="2913" ht="15.75">
      <c r="E2913" s="144"/>
      <c r="G2913" s="146"/>
    </row>
    <row r="2914" ht="15.75">
      <c r="E2914" s="144"/>
      <c r="G2914" s="146"/>
    </row>
    <row r="2915" ht="15.75">
      <c r="E2915" s="144"/>
      <c r="G2915" s="146"/>
    </row>
    <row r="2916" ht="15.75">
      <c r="E2916" s="144"/>
      <c r="G2916" s="146"/>
    </row>
    <row r="2917" ht="15.75">
      <c r="E2917" s="144"/>
      <c r="G2917" s="146"/>
    </row>
    <row r="2918" ht="15.75">
      <c r="E2918" s="144"/>
      <c r="G2918" s="146"/>
    </row>
    <row r="2919" ht="15.75">
      <c r="E2919" s="144"/>
      <c r="G2919" s="146"/>
    </row>
    <row r="2920" ht="15.75">
      <c r="E2920" s="144"/>
      <c r="G2920" s="146"/>
    </row>
    <row r="2921" ht="15.75">
      <c r="E2921" s="144"/>
      <c r="G2921" s="146"/>
    </row>
    <row r="2922" ht="15.75">
      <c r="E2922" s="144"/>
      <c r="G2922" s="146"/>
    </row>
    <row r="2923" ht="15.75">
      <c r="E2923" s="144"/>
      <c r="G2923" s="146"/>
    </row>
    <row r="2924" ht="15.75">
      <c r="E2924" s="144"/>
      <c r="G2924" s="146"/>
    </row>
    <row r="2925" ht="15.75">
      <c r="E2925" s="144"/>
      <c r="G2925" s="146"/>
    </row>
    <row r="2926" ht="15.75">
      <c r="E2926" s="144"/>
      <c r="G2926" s="146"/>
    </row>
    <row r="2927" ht="15.75">
      <c r="E2927" s="144"/>
      <c r="G2927" s="146"/>
    </row>
    <row r="2928" ht="15.75">
      <c r="E2928" s="144"/>
      <c r="G2928" s="146"/>
    </row>
    <row r="2929" ht="15.75">
      <c r="E2929" s="144"/>
      <c r="G2929" s="146"/>
    </row>
    <row r="2930" ht="15.75">
      <c r="E2930" s="144"/>
      <c r="G2930" s="146"/>
    </row>
    <row r="2931" ht="15.75">
      <c r="E2931" s="144"/>
      <c r="G2931" s="146"/>
    </row>
    <row r="2932" ht="15.75">
      <c r="E2932" s="144"/>
      <c r="G2932" s="146"/>
    </row>
    <row r="2933" ht="15.75">
      <c r="E2933" s="144"/>
      <c r="G2933" s="146"/>
    </row>
    <row r="2934" ht="15.75">
      <c r="E2934" s="144"/>
      <c r="G2934" s="146"/>
    </row>
    <row r="2935" ht="15.75">
      <c r="E2935" s="144"/>
      <c r="G2935" s="146"/>
    </row>
    <row r="2936" ht="15.75">
      <c r="E2936" s="144"/>
      <c r="G2936" s="146"/>
    </row>
    <row r="2937" ht="15.75">
      <c r="E2937" s="144"/>
      <c r="G2937" s="146"/>
    </row>
    <row r="2938" ht="15.75">
      <c r="E2938" s="144"/>
      <c r="G2938" s="146"/>
    </row>
    <row r="2939" ht="15.75">
      <c r="E2939" s="144"/>
      <c r="G2939" s="146"/>
    </row>
    <row r="2940" ht="15.75">
      <c r="E2940" s="144"/>
      <c r="G2940" s="146"/>
    </row>
    <row r="2941" ht="15.75">
      <c r="E2941" s="144"/>
      <c r="G2941" s="146"/>
    </row>
    <row r="2942" ht="15.75">
      <c r="E2942" s="144"/>
      <c r="G2942" s="146"/>
    </row>
    <row r="2943" ht="15.75">
      <c r="E2943" s="144"/>
      <c r="G2943" s="146"/>
    </row>
    <row r="2944" ht="15.75">
      <c r="E2944" s="144"/>
      <c r="G2944" s="146"/>
    </row>
    <row r="2945" ht="15.75">
      <c r="E2945" s="144"/>
      <c r="G2945" s="146"/>
    </row>
    <row r="2946" ht="15.75">
      <c r="E2946" s="144"/>
      <c r="G2946" s="146"/>
    </row>
    <row r="2947" ht="15.75">
      <c r="E2947" s="144"/>
      <c r="G2947" s="146"/>
    </row>
    <row r="2948" ht="15.75">
      <c r="E2948" s="144"/>
      <c r="G2948" s="146"/>
    </row>
    <row r="2949" ht="15.75">
      <c r="E2949" s="144"/>
      <c r="G2949" s="146"/>
    </row>
    <row r="2950" ht="15.75">
      <c r="E2950" s="144"/>
      <c r="G2950" s="146"/>
    </row>
    <row r="2951" ht="15.75">
      <c r="E2951" s="144"/>
      <c r="G2951" s="146"/>
    </row>
    <row r="2952" ht="15.75">
      <c r="E2952" s="144"/>
      <c r="G2952" s="146"/>
    </row>
    <row r="2953" ht="15.75">
      <c r="E2953" s="144"/>
      <c r="G2953" s="146"/>
    </row>
    <row r="2954" ht="15.75">
      <c r="E2954" s="144"/>
      <c r="G2954" s="146"/>
    </row>
    <row r="2955" ht="15.75">
      <c r="E2955" s="144"/>
      <c r="G2955" s="146"/>
    </row>
    <row r="2956" ht="15.75">
      <c r="E2956" s="144"/>
      <c r="G2956" s="146"/>
    </row>
    <row r="2957" ht="15.75">
      <c r="E2957" s="144"/>
      <c r="G2957" s="146"/>
    </row>
    <row r="2958" ht="15.75">
      <c r="E2958" s="144"/>
      <c r="G2958" s="146"/>
    </row>
    <row r="2959" ht="15.75">
      <c r="E2959" s="144"/>
      <c r="G2959" s="146"/>
    </row>
    <row r="2960" ht="15.75">
      <c r="E2960" s="144"/>
      <c r="G2960" s="146"/>
    </row>
    <row r="2961" ht="15.75">
      <c r="E2961" s="144"/>
      <c r="G2961" s="146"/>
    </row>
    <row r="2962" ht="15.75">
      <c r="E2962" s="144"/>
      <c r="G2962" s="146"/>
    </row>
    <row r="2963" ht="15.75">
      <c r="E2963" s="144"/>
      <c r="G2963" s="146"/>
    </row>
    <row r="2964" ht="15.75">
      <c r="E2964" s="144"/>
      <c r="G2964" s="146"/>
    </row>
    <row r="2965" ht="15.75">
      <c r="E2965" s="144"/>
      <c r="G2965" s="146"/>
    </row>
    <row r="2966" ht="15.75">
      <c r="E2966" s="144"/>
      <c r="G2966" s="146"/>
    </row>
    <row r="2967" ht="15.75">
      <c r="E2967" s="144"/>
      <c r="G2967" s="146"/>
    </row>
    <row r="2968" ht="15.75">
      <c r="E2968" s="144"/>
      <c r="G2968" s="146"/>
    </row>
    <row r="2969" ht="15.75">
      <c r="E2969" s="144"/>
      <c r="G2969" s="146"/>
    </row>
    <row r="2970" ht="15.75">
      <c r="E2970" s="144"/>
      <c r="G2970" s="146"/>
    </row>
    <row r="2971" ht="15.75">
      <c r="E2971" s="144"/>
      <c r="G2971" s="146"/>
    </row>
    <row r="2972" ht="15.75">
      <c r="E2972" s="144"/>
      <c r="G2972" s="146"/>
    </row>
    <row r="2973" ht="15.75">
      <c r="E2973" s="144"/>
      <c r="G2973" s="146"/>
    </row>
    <row r="2974" ht="15.75">
      <c r="E2974" s="144"/>
      <c r="G2974" s="146"/>
    </row>
    <row r="2975" ht="15.75">
      <c r="E2975" s="144"/>
      <c r="G2975" s="146"/>
    </row>
    <row r="2976" ht="15.75">
      <c r="E2976" s="144"/>
      <c r="G2976" s="146"/>
    </row>
    <row r="2977" ht="15.75">
      <c r="E2977" s="144"/>
      <c r="G2977" s="146"/>
    </row>
    <row r="2978" ht="15.75">
      <c r="E2978" s="144"/>
      <c r="G2978" s="146"/>
    </row>
    <row r="2979" ht="15.75">
      <c r="E2979" s="144"/>
      <c r="G2979" s="146"/>
    </row>
    <row r="2980" ht="15.75">
      <c r="E2980" s="144"/>
      <c r="G2980" s="146"/>
    </row>
    <row r="2981" ht="15.75">
      <c r="E2981" s="144"/>
      <c r="G2981" s="146"/>
    </row>
    <row r="2982" ht="15.75">
      <c r="E2982" s="144"/>
      <c r="G2982" s="146"/>
    </row>
    <row r="2983" ht="15.75">
      <c r="E2983" s="144"/>
      <c r="G2983" s="146"/>
    </row>
    <row r="2984" ht="15.75">
      <c r="E2984" s="144"/>
      <c r="G2984" s="146"/>
    </row>
    <row r="2985" ht="15.75">
      <c r="E2985" s="144"/>
      <c r="G2985" s="146"/>
    </row>
    <row r="2986" ht="15.75">
      <c r="E2986" s="144"/>
      <c r="G2986" s="146"/>
    </row>
    <row r="2987" ht="15.75">
      <c r="E2987" s="144"/>
      <c r="G2987" s="146"/>
    </row>
    <row r="2988" ht="15.75">
      <c r="E2988" s="144"/>
      <c r="G2988" s="146"/>
    </row>
    <row r="2989" ht="15.75">
      <c r="E2989" s="144"/>
      <c r="G2989" s="146"/>
    </row>
    <row r="2990" ht="15.75">
      <c r="E2990" s="144"/>
      <c r="G2990" s="146"/>
    </row>
    <row r="2991" ht="15.75">
      <c r="E2991" s="144"/>
      <c r="G2991" s="146"/>
    </row>
    <row r="2992" ht="15.75">
      <c r="E2992" s="144"/>
      <c r="G2992" s="146"/>
    </row>
    <row r="2993" ht="15.75">
      <c r="E2993" s="144"/>
      <c r="G2993" s="146"/>
    </row>
    <row r="2994" ht="15.75">
      <c r="E2994" s="144"/>
      <c r="G2994" s="146"/>
    </row>
    <row r="2995" ht="15.75">
      <c r="E2995" s="144"/>
      <c r="G2995" s="146"/>
    </row>
    <row r="2996" ht="15.75">
      <c r="E2996" s="144"/>
      <c r="G2996" s="146"/>
    </row>
    <row r="2997" ht="15.75">
      <c r="E2997" s="144"/>
      <c r="G2997" s="146"/>
    </row>
    <row r="2998" ht="15.75">
      <c r="E2998" s="144"/>
      <c r="G2998" s="146"/>
    </row>
    <row r="2999" ht="15.75">
      <c r="E2999" s="144"/>
      <c r="G2999" s="146"/>
    </row>
    <row r="3000" ht="15.75">
      <c r="E3000" s="144"/>
      <c r="G3000" s="146"/>
    </row>
    <row r="3001" ht="15.75">
      <c r="E3001" s="144"/>
      <c r="G3001" s="146"/>
    </row>
    <row r="3002" ht="15.75">
      <c r="E3002" s="144"/>
      <c r="G3002" s="146"/>
    </row>
    <row r="3003" ht="15.75">
      <c r="E3003" s="144"/>
      <c r="G3003" s="146"/>
    </row>
    <row r="3004" ht="15.75">
      <c r="E3004" s="144"/>
      <c r="G3004" s="146"/>
    </row>
    <row r="3005" ht="15.75">
      <c r="E3005" s="144"/>
      <c r="G3005" s="146"/>
    </row>
    <row r="3006" ht="15.75">
      <c r="E3006" s="144"/>
      <c r="G3006" s="146"/>
    </row>
    <row r="3007" ht="15.75">
      <c r="E3007" s="144"/>
      <c r="G3007" s="146"/>
    </row>
    <row r="3008" ht="15.75">
      <c r="E3008" s="144"/>
      <c r="G3008" s="146"/>
    </row>
    <row r="3009" ht="15.75">
      <c r="E3009" s="144"/>
      <c r="G3009" s="146"/>
    </row>
    <row r="3010" ht="15.75">
      <c r="E3010" s="144"/>
      <c r="G3010" s="146"/>
    </row>
    <row r="3011" ht="15.75">
      <c r="E3011" s="144"/>
      <c r="G3011" s="146"/>
    </row>
    <row r="3012" ht="15.75">
      <c r="E3012" s="144"/>
      <c r="G3012" s="146"/>
    </row>
    <row r="3013" ht="15.75">
      <c r="E3013" s="144"/>
      <c r="G3013" s="146"/>
    </row>
    <row r="3014" ht="15.75">
      <c r="E3014" s="144"/>
      <c r="G3014" s="146"/>
    </row>
    <row r="3015" ht="15.75">
      <c r="E3015" s="144"/>
      <c r="G3015" s="146"/>
    </row>
    <row r="3016" ht="15.75">
      <c r="E3016" s="144"/>
      <c r="G3016" s="146"/>
    </row>
    <row r="3017" ht="15.75">
      <c r="E3017" s="144"/>
      <c r="G3017" s="146"/>
    </row>
    <row r="3018" ht="15.75">
      <c r="E3018" s="144"/>
      <c r="G3018" s="146"/>
    </row>
    <row r="3019" ht="15.75">
      <c r="E3019" s="144"/>
      <c r="G3019" s="146"/>
    </row>
    <row r="3020" ht="15.75">
      <c r="E3020" s="144"/>
      <c r="G3020" s="146"/>
    </row>
    <row r="3021" ht="15.75">
      <c r="E3021" s="144"/>
      <c r="G3021" s="146"/>
    </row>
    <row r="3022" ht="15.75">
      <c r="E3022" s="144"/>
      <c r="G3022" s="146"/>
    </row>
    <row r="3023" ht="15.75">
      <c r="E3023" s="144"/>
      <c r="G3023" s="146"/>
    </row>
    <row r="3024" ht="15.75">
      <c r="E3024" s="144"/>
      <c r="G3024" s="146"/>
    </row>
    <row r="3025" ht="15.75">
      <c r="E3025" s="144"/>
      <c r="G3025" s="146"/>
    </row>
    <row r="3026" ht="15.75">
      <c r="E3026" s="144"/>
      <c r="G3026" s="146"/>
    </row>
    <row r="3027" ht="15.75">
      <c r="E3027" s="144"/>
      <c r="G3027" s="146"/>
    </row>
    <row r="3028" ht="15.75">
      <c r="E3028" s="144"/>
      <c r="G3028" s="146"/>
    </row>
    <row r="3029" ht="15.75">
      <c r="E3029" s="144"/>
      <c r="G3029" s="146"/>
    </row>
    <row r="3030" ht="15.75">
      <c r="E3030" s="144"/>
      <c r="G3030" s="146"/>
    </row>
    <row r="3031" ht="15.75">
      <c r="E3031" s="144"/>
      <c r="G3031" s="146"/>
    </row>
    <row r="3032" ht="15.75">
      <c r="E3032" s="144"/>
      <c r="G3032" s="146"/>
    </row>
    <row r="3033" ht="15.75">
      <c r="E3033" s="144"/>
      <c r="G3033" s="146"/>
    </row>
    <row r="3034" ht="15.75">
      <c r="E3034" s="144"/>
      <c r="G3034" s="146"/>
    </row>
    <row r="3035" ht="15.75">
      <c r="E3035" s="144"/>
      <c r="G3035" s="146"/>
    </row>
    <row r="3036" ht="15.75">
      <c r="E3036" s="144"/>
      <c r="G3036" s="146"/>
    </row>
    <row r="3037" ht="15.75">
      <c r="E3037" s="144"/>
      <c r="G3037" s="146"/>
    </row>
    <row r="3038" ht="15.75">
      <c r="E3038" s="144"/>
      <c r="G3038" s="146"/>
    </row>
    <row r="3039" ht="15.75">
      <c r="E3039" s="144"/>
      <c r="G3039" s="146"/>
    </row>
    <row r="3040" ht="15.75">
      <c r="E3040" s="144"/>
      <c r="G3040" s="146"/>
    </row>
    <row r="3041" ht="15.75">
      <c r="E3041" s="144"/>
      <c r="G3041" s="146"/>
    </row>
    <row r="3042" ht="15.75">
      <c r="E3042" s="144"/>
      <c r="G3042" s="146"/>
    </row>
    <row r="3043" ht="15.75">
      <c r="E3043" s="144"/>
      <c r="G3043" s="146"/>
    </row>
    <row r="3044" ht="15.75">
      <c r="E3044" s="144"/>
      <c r="G3044" s="146"/>
    </row>
    <row r="3045" ht="15.75">
      <c r="E3045" s="144"/>
      <c r="G3045" s="146"/>
    </row>
    <row r="3046" ht="15.75">
      <c r="E3046" s="144"/>
      <c r="G3046" s="146"/>
    </row>
    <row r="3047" ht="15.75">
      <c r="E3047" s="144"/>
      <c r="G3047" s="146"/>
    </row>
    <row r="3048" ht="15.75">
      <c r="E3048" s="144"/>
      <c r="G3048" s="146"/>
    </row>
    <row r="3049" ht="15.75">
      <c r="E3049" s="144"/>
      <c r="G3049" s="146"/>
    </row>
    <row r="3050" ht="15.75">
      <c r="E3050" s="144"/>
      <c r="G3050" s="146"/>
    </row>
    <row r="3051" ht="15.75">
      <c r="E3051" s="144"/>
      <c r="G3051" s="146"/>
    </row>
    <row r="3052" ht="15.75">
      <c r="E3052" s="144"/>
      <c r="G3052" s="146"/>
    </row>
    <row r="3053" ht="15.75">
      <c r="E3053" s="144"/>
      <c r="G3053" s="146"/>
    </row>
    <row r="3054" ht="15.75">
      <c r="E3054" s="144"/>
      <c r="G3054" s="146"/>
    </row>
    <row r="3055" ht="15.75">
      <c r="E3055" s="144"/>
      <c r="G3055" s="146"/>
    </row>
    <row r="3056" ht="15.75">
      <c r="E3056" s="144"/>
      <c r="G3056" s="146"/>
    </row>
    <row r="3057" ht="15.75">
      <c r="E3057" s="144"/>
      <c r="G3057" s="146"/>
    </row>
    <row r="3058" ht="15.75">
      <c r="E3058" s="144"/>
      <c r="G3058" s="146"/>
    </row>
    <row r="3059" ht="15.75">
      <c r="E3059" s="144"/>
      <c r="G3059" s="146"/>
    </row>
    <row r="3060" ht="15.75">
      <c r="E3060" s="144"/>
      <c r="G3060" s="146"/>
    </row>
    <row r="3061" ht="15.75">
      <c r="E3061" s="144"/>
      <c r="G3061" s="146"/>
    </row>
    <row r="3062" ht="15.75">
      <c r="E3062" s="144"/>
      <c r="G3062" s="146"/>
    </row>
    <row r="3063" ht="15.75">
      <c r="E3063" s="144"/>
      <c r="G3063" s="146"/>
    </row>
    <row r="3064" ht="15.75">
      <c r="E3064" s="144"/>
      <c r="G3064" s="146"/>
    </row>
    <row r="3065" ht="15.75">
      <c r="E3065" s="144"/>
      <c r="G3065" s="146"/>
    </row>
    <row r="3066" ht="15.75">
      <c r="E3066" s="144"/>
      <c r="G3066" s="146"/>
    </row>
    <row r="3067" ht="15.75">
      <c r="E3067" s="144"/>
      <c r="G3067" s="146"/>
    </row>
    <row r="3068" ht="15.75">
      <c r="E3068" s="144"/>
      <c r="G3068" s="146"/>
    </row>
    <row r="3069" ht="15.75">
      <c r="E3069" s="144"/>
      <c r="G3069" s="146"/>
    </row>
    <row r="3070" ht="15.75">
      <c r="E3070" s="144"/>
      <c r="G3070" s="146"/>
    </row>
    <row r="3071" ht="15.75">
      <c r="E3071" s="144"/>
      <c r="G3071" s="146"/>
    </row>
    <row r="3072" ht="15.75">
      <c r="E3072" s="144"/>
      <c r="G3072" s="146"/>
    </row>
    <row r="3073" ht="15.75">
      <c r="E3073" s="144"/>
      <c r="G3073" s="146"/>
    </row>
    <row r="3074" ht="15.75">
      <c r="E3074" s="144"/>
      <c r="G3074" s="146"/>
    </row>
    <row r="3075" ht="15.75">
      <c r="E3075" s="144"/>
      <c r="G3075" s="146"/>
    </row>
    <row r="3076" ht="15.75">
      <c r="E3076" s="144"/>
      <c r="G3076" s="146"/>
    </row>
    <row r="3077" ht="15.75">
      <c r="E3077" s="144"/>
      <c r="G3077" s="146"/>
    </row>
    <row r="3078" ht="15.75">
      <c r="E3078" s="144"/>
      <c r="G3078" s="146"/>
    </row>
    <row r="3079" ht="15.75">
      <c r="E3079" s="144"/>
      <c r="G3079" s="146"/>
    </row>
    <row r="3080" ht="15.75">
      <c r="E3080" s="144"/>
      <c r="G3080" s="146"/>
    </row>
    <row r="3081" ht="15.75">
      <c r="E3081" s="144"/>
      <c r="G3081" s="146"/>
    </row>
    <row r="3082" ht="15.75">
      <c r="E3082" s="144"/>
      <c r="G3082" s="146"/>
    </row>
    <row r="3083" ht="15.75">
      <c r="E3083" s="144"/>
      <c r="G3083" s="146"/>
    </row>
    <row r="3084" ht="15.75">
      <c r="E3084" s="144"/>
      <c r="G3084" s="146"/>
    </row>
    <row r="3085" ht="15.75">
      <c r="E3085" s="144"/>
      <c r="G3085" s="146"/>
    </row>
    <row r="3086" ht="15.75">
      <c r="E3086" s="144"/>
      <c r="G3086" s="146"/>
    </row>
    <row r="3087" ht="15.75">
      <c r="E3087" s="144"/>
      <c r="G3087" s="146"/>
    </row>
    <row r="3088" ht="15.75">
      <c r="E3088" s="144"/>
      <c r="G3088" s="146"/>
    </row>
    <row r="3089" ht="15.75">
      <c r="E3089" s="144"/>
      <c r="G3089" s="146"/>
    </row>
    <row r="3090" ht="15.75">
      <c r="E3090" s="144"/>
      <c r="G3090" s="146"/>
    </row>
    <row r="3091" ht="15.75">
      <c r="E3091" s="144"/>
      <c r="G3091" s="146"/>
    </row>
    <row r="3092" ht="15.75">
      <c r="E3092" s="144"/>
      <c r="G3092" s="146"/>
    </row>
    <row r="3093" ht="15.75">
      <c r="E3093" s="144"/>
      <c r="G3093" s="146"/>
    </row>
    <row r="3094" ht="15.75">
      <c r="E3094" s="144"/>
      <c r="G3094" s="146"/>
    </row>
    <row r="3095" ht="15.75">
      <c r="E3095" s="144"/>
      <c r="G3095" s="146"/>
    </row>
    <row r="3096" ht="15.75">
      <c r="E3096" s="144"/>
      <c r="G3096" s="146"/>
    </row>
    <row r="3097" ht="15.75">
      <c r="E3097" s="144"/>
      <c r="G3097" s="146"/>
    </row>
    <row r="3098" ht="15.75">
      <c r="E3098" s="144"/>
      <c r="G3098" s="146"/>
    </row>
    <row r="3099" ht="15.75">
      <c r="E3099" s="144"/>
      <c r="G3099" s="146"/>
    </row>
    <row r="3100" ht="15.75">
      <c r="E3100" s="144"/>
      <c r="G3100" s="146"/>
    </row>
    <row r="3101" ht="15.75">
      <c r="E3101" s="144"/>
      <c r="G3101" s="146"/>
    </row>
    <row r="3102" ht="15.75">
      <c r="E3102" s="144"/>
      <c r="G3102" s="146"/>
    </row>
    <row r="3103" ht="15.75">
      <c r="E3103" s="144"/>
      <c r="G3103" s="146"/>
    </row>
    <row r="3104" ht="15.75">
      <c r="E3104" s="144"/>
      <c r="G3104" s="146"/>
    </row>
    <row r="3105" ht="15.75">
      <c r="E3105" s="144"/>
      <c r="G3105" s="146"/>
    </row>
    <row r="3106" ht="15.75">
      <c r="E3106" s="144"/>
      <c r="G3106" s="146"/>
    </row>
    <row r="3107" ht="15.75">
      <c r="E3107" s="144"/>
      <c r="G3107" s="146"/>
    </row>
    <row r="3108" ht="15.75">
      <c r="E3108" s="144"/>
      <c r="G3108" s="146"/>
    </row>
    <row r="3109" ht="15.75">
      <c r="E3109" s="144"/>
      <c r="G3109" s="146"/>
    </row>
    <row r="3110" ht="15.75">
      <c r="E3110" s="144"/>
      <c r="G3110" s="146"/>
    </row>
    <row r="3111" ht="15.75">
      <c r="E3111" s="144"/>
      <c r="G3111" s="146"/>
    </row>
    <row r="3112" ht="15.75">
      <c r="E3112" s="144"/>
      <c r="G3112" s="146"/>
    </row>
    <row r="3113" ht="15.75">
      <c r="E3113" s="144"/>
      <c r="G3113" s="146"/>
    </row>
    <row r="3114" ht="15.75">
      <c r="E3114" s="144"/>
      <c r="G3114" s="146"/>
    </row>
    <row r="3115" ht="15.75">
      <c r="E3115" s="144"/>
      <c r="G3115" s="146"/>
    </row>
    <row r="3116" ht="15.75">
      <c r="E3116" s="144"/>
      <c r="G3116" s="146"/>
    </row>
    <row r="3117" ht="15.75">
      <c r="E3117" s="144"/>
      <c r="G3117" s="146"/>
    </row>
    <row r="3118" ht="15.75">
      <c r="E3118" s="144"/>
      <c r="G3118" s="146"/>
    </row>
    <row r="3119" ht="15.75">
      <c r="E3119" s="144"/>
      <c r="G3119" s="146"/>
    </row>
    <row r="3120" ht="15.75">
      <c r="E3120" s="144"/>
      <c r="G3120" s="146"/>
    </row>
    <row r="3121" ht="15.75">
      <c r="E3121" s="144"/>
      <c r="G3121" s="146"/>
    </row>
    <row r="3122" ht="15.75">
      <c r="E3122" s="144"/>
      <c r="G3122" s="146"/>
    </row>
    <row r="3123" ht="15.75">
      <c r="E3123" s="144"/>
      <c r="G3123" s="146"/>
    </row>
    <row r="3124" ht="15.75">
      <c r="E3124" s="144"/>
      <c r="G3124" s="146"/>
    </row>
    <row r="3125" ht="15.75">
      <c r="E3125" s="144"/>
      <c r="G3125" s="146"/>
    </row>
    <row r="3126" ht="15.75">
      <c r="E3126" s="144"/>
      <c r="G3126" s="146"/>
    </row>
    <row r="3127" ht="15.75">
      <c r="E3127" s="144"/>
      <c r="G3127" s="146"/>
    </row>
    <row r="3128" ht="15.75">
      <c r="E3128" s="144"/>
      <c r="G3128" s="146"/>
    </row>
    <row r="3129" ht="15.75">
      <c r="E3129" s="144"/>
      <c r="G3129" s="146"/>
    </row>
    <row r="3130" ht="15.75">
      <c r="E3130" s="144"/>
      <c r="G3130" s="146"/>
    </row>
    <row r="3131" ht="15.75">
      <c r="E3131" s="144"/>
      <c r="G3131" s="146"/>
    </row>
    <row r="3132" ht="15.75">
      <c r="E3132" s="144"/>
      <c r="G3132" s="146"/>
    </row>
    <row r="3133" ht="15.75">
      <c r="E3133" s="144"/>
      <c r="G3133" s="146"/>
    </row>
    <row r="3134" ht="15.75">
      <c r="E3134" s="144"/>
      <c r="G3134" s="146"/>
    </row>
    <row r="3135" ht="15.75">
      <c r="E3135" s="144"/>
      <c r="G3135" s="146"/>
    </row>
    <row r="3136" ht="15.75">
      <c r="E3136" s="144"/>
      <c r="G3136" s="146"/>
    </row>
    <row r="3137" ht="15.75">
      <c r="E3137" s="144"/>
      <c r="G3137" s="146"/>
    </row>
    <row r="3138" ht="15.75">
      <c r="E3138" s="144"/>
      <c r="G3138" s="146"/>
    </row>
    <row r="3139" ht="15.75">
      <c r="E3139" s="144"/>
      <c r="G3139" s="146"/>
    </row>
    <row r="3140" ht="15.75">
      <c r="E3140" s="144"/>
      <c r="G3140" s="146"/>
    </row>
    <row r="3141" ht="15.75">
      <c r="E3141" s="144"/>
      <c r="G3141" s="146"/>
    </row>
    <row r="3142" ht="15.75">
      <c r="E3142" s="144"/>
      <c r="G3142" s="146"/>
    </row>
    <row r="3143" ht="15.75">
      <c r="E3143" s="144"/>
      <c r="G3143" s="146"/>
    </row>
    <row r="3144" ht="15.75">
      <c r="E3144" s="144"/>
      <c r="G3144" s="146"/>
    </row>
    <row r="3145" ht="15.75">
      <c r="E3145" s="144"/>
      <c r="G3145" s="146"/>
    </row>
    <row r="3146" ht="15.75">
      <c r="E3146" s="144"/>
      <c r="G3146" s="146"/>
    </row>
    <row r="3147" ht="15.75">
      <c r="E3147" s="144"/>
      <c r="G3147" s="146"/>
    </row>
    <row r="3148" ht="15.75">
      <c r="E3148" s="144"/>
      <c r="G3148" s="146"/>
    </row>
    <row r="3149" ht="15.75">
      <c r="E3149" s="144"/>
      <c r="G3149" s="146"/>
    </row>
    <row r="3150" ht="15.75">
      <c r="E3150" s="144"/>
      <c r="G3150" s="146"/>
    </row>
    <row r="3151" ht="15.75">
      <c r="E3151" s="144"/>
      <c r="G3151" s="146"/>
    </row>
    <row r="3152" ht="15.75">
      <c r="E3152" s="144"/>
      <c r="G3152" s="146"/>
    </row>
    <row r="3153" ht="15.75">
      <c r="E3153" s="144"/>
      <c r="G3153" s="146"/>
    </row>
    <row r="3154" ht="15.75">
      <c r="E3154" s="144"/>
      <c r="G3154" s="146"/>
    </row>
    <row r="3155" ht="15.75">
      <c r="E3155" s="144"/>
      <c r="G3155" s="146"/>
    </row>
    <row r="3156" ht="15.75">
      <c r="E3156" s="144"/>
      <c r="G3156" s="146"/>
    </row>
    <row r="3157" ht="15.75">
      <c r="E3157" s="144"/>
      <c r="G3157" s="146"/>
    </row>
    <row r="3158" ht="15.75">
      <c r="E3158" s="144"/>
      <c r="G3158" s="146"/>
    </row>
    <row r="3159" ht="15.75">
      <c r="E3159" s="144"/>
      <c r="G3159" s="146"/>
    </row>
    <row r="3160" ht="15.75">
      <c r="E3160" s="144"/>
      <c r="G3160" s="146"/>
    </row>
    <row r="3161" ht="15.75">
      <c r="E3161" s="144"/>
      <c r="G3161" s="146"/>
    </row>
    <row r="3162" ht="15.75">
      <c r="E3162" s="144"/>
      <c r="G3162" s="146"/>
    </row>
    <row r="3163" ht="15.75">
      <c r="E3163" s="144"/>
      <c r="G3163" s="146"/>
    </row>
    <row r="3164" ht="15.75">
      <c r="E3164" s="144"/>
      <c r="G3164" s="146"/>
    </row>
    <row r="3165" ht="15.75">
      <c r="E3165" s="144"/>
      <c r="G3165" s="146"/>
    </row>
    <row r="3166" ht="15.75">
      <c r="E3166" s="144"/>
      <c r="G3166" s="146"/>
    </row>
    <row r="3167" ht="15.75">
      <c r="E3167" s="144"/>
      <c r="G3167" s="146"/>
    </row>
    <row r="3168" ht="15.75">
      <c r="E3168" s="144"/>
      <c r="G3168" s="146"/>
    </row>
    <row r="3169" ht="15.75">
      <c r="E3169" s="144"/>
      <c r="G3169" s="146"/>
    </row>
    <row r="3170" ht="15.75">
      <c r="E3170" s="144"/>
      <c r="G3170" s="146"/>
    </row>
    <row r="3171" ht="15.75">
      <c r="E3171" s="144"/>
      <c r="G3171" s="146"/>
    </row>
    <row r="3172" ht="15.75">
      <c r="E3172" s="144"/>
      <c r="G3172" s="146"/>
    </row>
    <row r="3173" ht="15.75">
      <c r="E3173" s="144"/>
      <c r="G3173" s="146"/>
    </row>
    <row r="3174" ht="15.75">
      <c r="E3174" s="144"/>
      <c r="G3174" s="146"/>
    </row>
    <row r="3175" ht="15.75">
      <c r="E3175" s="144"/>
      <c r="G3175" s="146"/>
    </row>
    <row r="3176" ht="15.75">
      <c r="E3176" s="144"/>
      <c r="G3176" s="146"/>
    </row>
    <row r="3177" ht="15.75">
      <c r="E3177" s="144"/>
      <c r="G3177" s="146"/>
    </row>
    <row r="3178" ht="15.75">
      <c r="E3178" s="144"/>
      <c r="G3178" s="146"/>
    </row>
    <row r="3179" ht="15.75">
      <c r="E3179" s="144"/>
      <c r="G3179" s="146"/>
    </row>
    <row r="3180" ht="15.75">
      <c r="E3180" s="144"/>
      <c r="G3180" s="146"/>
    </row>
    <row r="3181" ht="15.75">
      <c r="E3181" s="144"/>
      <c r="G3181" s="146"/>
    </row>
    <row r="3182" ht="15.75">
      <c r="E3182" s="144"/>
      <c r="G3182" s="146"/>
    </row>
    <row r="3183" ht="15.75">
      <c r="E3183" s="144"/>
      <c r="G3183" s="146"/>
    </row>
    <row r="3184" ht="15.75">
      <c r="E3184" s="144"/>
      <c r="G3184" s="146"/>
    </row>
    <row r="3185" ht="15.75">
      <c r="E3185" s="144"/>
      <c r="G3185" s="146"/>
    </row>
    <row r="3186" ht="15.75">
      <c r="E3186" s="144"/>
      <c r="G3186" s="146"/>
    </row>
    <row r="3187" ht="15.75">
      <c r="E3187" s="144"/>
      <c r="G3187" s="146"/>
    </row>
    <row r="3188" ht="15.75">
      <c r="E3188" s="144"/>
      <c r="G3188" s="146"/>
    </row>
    <row r="3189" ht="15.75">
      <c r="E3189" s="144"/>
      <c r="G3189" s="146"/>
    </row>
    <row r="3190" ht="15.75">
      <c r="E3190" s="144"/>
      <c r="G3190" s="146"/>
    </row>
    <row r="3191" ht="15.75">
      <c r="E3191" s="144"/>
      <c r="G3191" s="146"/>
    </row>
    <row r="3192" ht="15.75">
      <c r="E3192" s="144"/>
      <c r="G3192" s="146"/>
    </row>
    <row r="3193" ht="15.75">
      <c r="E3193" s="144"/>
      <c r="G3193" s="146"/>
    </row>
    <row r="3194" ht="15.75">
      <c r="E3194" s="144"/>
      <c r="G3194" s="146"/>
    </row>
    <row r="3195" ht="15.75">
      <c r="E3195" s="144"/>
      <c r="G3195" s="146"/>
    </row>
    <row r="3196" ht="15.75">
      <c r="E3196" s="144"/>
      <c r="G3196" s="146"/>
    </row>
    <row r="3197" ht="15.75">
      <c r="E3197" s="144"/>
      <c r="G3197" s="146"/>
    </row>
    <row r="3198" ht="15.75">
      <c r="E3198" s="144"/>
      <c r="G3198" s="146"/>
    </row>
    <row r="3199" ht="15.75">
      <c r="E3199" s="144"/>
      <c r="G3199" s="146"/>
    </row>
    <row r="3200" ht="15.75">
      <c r="E3200" s="144"/>
      <c r="G3200" s="146"/>
    </row>
    <row r="3201" ht="15.75">
      <c r="E3201" s="144"/>
      <c r="G3201" s="146"/>
    </row>
    <row r="3202" ht="15.75">
      <c r="E3202" s="144"/>
      <c r="G3202" s="146"/>
    </row>
    <row r="3203" ht="15.75">
      <c r="E3203" s="144"/>
      <c r="G3203" s="146"/>
    </row>
    <row r="3204" ht="15.75">
      <c r="E3204" s="144"/>
      <c r="G3204" s="146"/>
    </row>
    <row r="3205" ht="15.75">
      <c r="E3205" s="144"/>
      <c r="G3205" s="146"/>
    </row>
    <row r="3206" ht="15.75">
      <c r="E3206" s="144"/>
      <c r="G3206" s="146"/>
    </row>
    <row r="3207" ht="15.75">
      <c r="E3207" s="144"/>
      <c r="G3207" s="146"/>
    </row>
    <row r="3208" ht="15.75">
      <c r="E3208" s="144"/>
      <c r="G3208" s="146"/>
    </row>
    <row r="3209" ht="15.75">
      <c r="E3209" s="144"/>
      <c r="G3209" s="146"/>
    </row>
    <row r="3210" ht="15.75">
      <c r="E3210" s="144"/>
      <c r="G3210" s="146"/>
    </row>
    <row r="3211" ht="15.75">
      <c r="E3211" s="144"/>
      <c r="G3211" s="146"/>
    </row>
    <row r="3212" ht="15.75">
      <c r="E3212" s="144"/>
      <c r="G3212" s="146"/>
    </row>
    <row r="3213" ht="15.75">
      <c r="E3213" s="144"/>
      <c r="G3213" s="146"/>
    </row>
    <row r="3214" ht="15.75">
      <c r="E3214" s="144"/>
      <c r="G3214" s="146"/>
    </row>
    <row r="3215" ht="15.75">
      <c r="E3215" s="144"/>
      <c r="G3215" s="146"/>
    </row>
    <row r="3216" ht="15.75">
      <c r="E3216" s="144"/>
      <c r="G3216" s="146"/>
    </row>
    <row r="3217" ht="15.75">
      <c r="E3217" s="144"/>
      <c r="G3217" s="146"/>
    </row>
    <row r="3218" ht="15.75">
      <c r="E3218" s="144"/>
      <c r="G3218" s="146"/>
    </row>
    <row r="3219" ht="15.75">
      <c r="E3219" s="144"/>
      <c r="G3219" s="146"/>
    </row>
    <row r="3220" ht="15.75">
      <c r="E3220" s="144"/>
      <c r="G3220" s="146"/>
    </row>
    <row r="3221" ht="15.75">
      <c r="E3221" s="144"/>
      <c r="G3221" s="146"/>
    </row>
    <row r="3222" ht="15.75">
      <c r="E3222" s="144"/>
      <c r="G3222" s="146"/>
    </row>
    <row r="3223" ht="15.75">
      <c r="E3223" s="144"/>
      <c r="G3223" s="146"/>
    </row>
    <row r="3224" ht="15.75">
      <c r="E3224" s="144"/>
      <c r="G3224" s="146"/>
    </row>
    <row r="3225" ht="15.75">
      <c r="E3225" s="144"/>
      <c r="G3225" s="146"/>
    </row>
    <row r="3226" ht="15.75">
      <c r="E3226" s="144"/>
      <c r="G3226" s="146"/>
    </row>
    <row r="3227" ht="15.75">
      <c r="E3227" s="144"/>
      <c r="G3227" s="146"/>
    </row>
    <row r="3228" ht="15.75">
      <c r="E3228" s="144"/>
      <c r="G3228" s="146"/>
    </row>
    <row r="3229" ht="15.75">
      <c r="E3229" s="144"/>
      <c r="G3229" s="146"/>
    </row>
    <row r="3230" ht="15.75">
      <c r="E3230" s="144"/>
      <c r="G3230" s="146"/>
    </row>
    <row r="3231" ht="15.75">
      <c r="E3231" s="144"/>
      <c r="G3231" s="146"/>
    </row>
    <row r="3232" ht="15.75">
      <c r="E3232" s="144"/>
      <c r="G3232" s="146"/>
    </row>
    <row r="3233" ht="15.75">
      <c r="E3233" s="144"/>
      <c r="G3233" s="146"/>
    </row>
    <row r="3234" ht="15.75">
      <c r="E3234" s="144"/>
      <c r="G3234" s="146"/>
    </row>
    <row r="3235" ht="15.75">
      <c r="E3235" s="144"/>
      <c r="G3235" s="146"/>
    </row>
    <row r="3236" ht="15.75">
      <c r="E3236" s="144"/>
      <c r="G3236" s="146"/>
    </row>
    <row r="3237" ht="15.75">
      <c r="E3237" s="144"/>
      <c r="G3237" s="146"/>
    </row>
    <row r="3238" ht="15.75">
      <c r="E3238" s="144"/>
      <c r="G3238" s="146"/>
    </row>
    <row r="3239" ht="15.75">
      <c r="E3239" s="144"/>
      <c r="G3239" s="146"/>
    </row>
    <row r="3240" ht="15.75">
      <c r="E3240" s="144"/>
      <c r="G3240" s="146"/>
    </row>
    <row r="3241" ht="15.75">
      <c r="E3241" s="144"/>
      <c r="G3241" s="146"/>
    </row>
    <row r="3242" ht="15.75">
      <c r="E3242" s="144"/>
      <c r="G3242" s="146"/>
    </row>
    <row r="3243" ht="15.75">
      <c r="E3243" s="144"/>
      <c r="G3243" s="146"/>
    </row>
    <row r="3244" ht="15.75">
      <c r="E3244" s="144"/>
      <c r="G3244" s="146"/>
    </row>
    <row r="3245" ht="15.75">
      <c r="E3245" s="144"/>
      <c r="G3245" s="146"/>
    </row>
    <row r="3246" ht="15.75">
      <c r="E3246" s="144"/>
      <c r="G3246" s="146"/>
    </row>
    <row r="3247" ht="15.75">
      <c r="E3247" s="144"/>
      <c r="G3247" s="146"/>
    </row>
    <row r="3248" ht="15.75">
      <c r="E3248" s="144"/>
      <c r="G3248" s="146"/>
    </row>
    <row r="3249" ht="15.75">
      <c r="E3249" s="144"/>
      <c r="G3249" s="146"/>
    </row>
    <row r="3250" ht="15.75">
      <c r="E3250" s="144"/>
      <c r="G3250" s="146"/>
    </row>
    <row r="3251" ht="15.75">
      <c r="E3251" s="144"/>
      <c r="G3251" s="146"/>
    </row>
    <row r="3252" ht="15.75">
      <c r="E3252" s="144"/>
      <c r="G3252" s="146"/>
    </row>
    <row r="3253" ht="15.75">
      <c r="E3253" s="144"/>
      <c r="G3253" s="146"/>
    </row>
    <row r="3254" ht="15.75">
      <c r="E3254" s="144"/>
      <c r="G3254" s="146"/>
    </row>
    <row r="3255" ht="15.75">
      <c r="E3255" s="144"/>
      <c r="G3255" s="146"/>
    </row>
    <row r="3256" ht="15.75">
      <c r="E3256" s="144"/>
      <c r="G3256" s="146"/>
    </row>
    <row r="3257" ht="15.75">
      <c r="E3257" s="144"/>
      <c r="G3257" s="146"/>
    </row>
    <row r="3258" ht="15.75">
      <c r="E3258" s="144"/>
      <c r="G3258" s="146"/>
    </row>
    <row r="3259" ht="15.75">
      <c r="E3259" s="144"/>
      <c r="G3259" s="146"/>
    </row>
    <row r="3260" ht="15.75">
      <c r="E3260" s="144"/>
      <c r="G3260" s="146"/>
    </row>
    <row r="3261" ht="15.75">
      <c r="E3261" s="144"/>
      <c r="G3261" s="146"/>
    </row>
    <row r="3262" ht="15.75">
      <c r="E3262" s="144"/>
      <c r="G3262" s="146"/>
    </row>
    <row r="3263" ht="15.75">
      <c r="E3263" s="144"/>
      <c r="G3263" s="146"/>
    </row>
    <row r="3264" ht="15.75">
      <c r="E3264" s="144"/>
      <c r="G3264" s="146"/>
    </row>
    <row r="3265" ht="15.75">
      <c r="E3265" s="144"/>
      <c r="G3265" s="146"/>
    </row>
    <row r="3266" ht="15.75">
      <c r="E3266" s="144"/>
      <c r="G3266" s="146"/>
    </row>
    <row r="3267" ht="15.75">
      <c r="E3267" s="144"/>
      <c r="G3267" s="146"/>
    </row>
    <row r="3268" ht="15.75">
      <c r="E3268" s="144"/>
      <c r="G3268" s="146"/>
    </row>
    <row r="3269" ht="15.75">
      <c r="E3269" s="144"/>
      <c r="G3269" s="146"/>
    </row>
    <row r="3270" ht="15.75">
      <c r="E3270" s="144"/>
      <c r="G3270" s="146"/>
    </row>
    <row r="3271" ht="15.75">
      <c r="E3271" s="144"/>
      <c r="G3271" s="146"/>
    </row>
    <row r="3272" ht="15.75">
      <c r="E3272" s="144"/>
      <c r="G3272" s="146"/>
    </row>
    <row r="3273" ht="15.75">
      <c r="E3273" s="144"/>
      <c r="G3273" s="146"/>
    </row>
    <row r="3274" ht="15.75">
      <c r="E3274" s="144"/>
      <c r="G3274" s="146"/>
    </row>
    <row r="3275" ht="15.75">
      <c r="E3275" s="144"/>
      <c r="G3275" s="146"/>
    </row>
    <row r="3276" ht="15.75">
      <c r="E3276" s="144"/>
      <c r="G3276" s="146"/>
    </row>
    <row r="3277" ht="15.75">
      <c r="E3277" s="144"/>
      <c r="G3277" s="146"/>
    </row>
    <row r="3278" ht="15.75">
      <c r="E3278" s="144"/>
      <c r="G3278" s="146"/>
    </row>
    <row r="3279" ht="15.75">
      <c r="E3279" s="144"/>
      <c r="G3279" s="146"/>
    </row>
    <row r="3280" ht="15.75">
      <c r="E3280" s="144"/>
      <c r="G3280" s="146"/>
    </row>
    <row r="3281" ht="15.75">
      <c r="E3281" s="144"/>
      <c r="G3281" s="146"/>
    </row>
    <row r="3282" ht="15.75">
      <c r="E3282" s="144"/>
      <c r="G3282" s="146"/>
    </row>
    <row r="3283" ht="15.75">
      <c r="E3283" s="144"/>
      <c r="G3283" s="146"/>
    </row>
    <row r="3284" ht="15.75">
      <c r="E3284" s="144"/>
      <c r="G3284" s="146"/>
    </row>
    <row r="3285" ht="15.75">
      <c r="E3285" s="144"/>
      <c r="G3285" s="146"/>
    </row>
    <row r="3286" ht="15.75">
      <c r="E3286" s="144"/>
      <c r="G3286" s="146"/>
    </row>
    <row r="3287" ht="15.75">
      <c r="E3287" s="144"/>
      <c r="G3287" s="146"/>
    </row>
    <row r="3288" ht="15.75">
      <c r="E3288" s="144"/>
      <c r="G3288" s="146"/>
    </row>
    <row r="3289" ht="15.75">
      <c r="E3289" s="144"/>
      <c r="G3289" s="146"/>
    </row>
    <row r="3290" ht="15.75">
      <c r="E3290" s="144"/>
      <c r="G3290" s="146"/>
    </row>
    <row r="3291" ht="15.75">
      <c r="E3291" s="144"/>
      <c r="G3291" s="146"/>
    </row>
    <row r="3292" ht="15.75">
      <c r="E3292" s="144"/>
      <c r="G3292" s="146"/>
    </row>
    <row r="3293" ht="15.75">
      <c r="E3293" s="144"/>
      <c r="G3293" s="146"/>
    </row>
    <row r="3294" ht="15.75">
      <c r="E3294" s="144"/>
      <c r="G3294" s="146"/>
    </row>
    <row r="3295" ht="15.75">
      <c r="E3295" s="144"/>
      <c r="G3295" s="146"/>
    </row>
    <row r="3296" ht="15.75">
      <c r="E3296" s="144"/>
      <c r="G3296" s="146"/>
    </row>
    <row r="3297" ht="15.75">
      <c r="E3297" s="144"/>
      <c r="G3297" s="146"/>
    </row>
    <row r="3298" ht="15.75">
      <c r="E3298" s="144"/>
      <c r="G3298" s="146"/>
    </row>
    <row r="3299" ht="15.75">
      <c r="E3299" s="144"/>
      <c r="G3299" s="146"/>
    </row>
    <row r="3300" ht="15.75">
      <c r="E3300" s="144"/>
      <c r="G3300" s="146"/>
    </row>
    <row r="3301" ht="15.75">
      <c r="E3301" s="144"/>
      <c r="G3301" s="146"/>
    </row>
    <row r="3302" ht="15.75">
      <c r="E3302" s="144"/>
      <c r="G3302" s="146"/>
    </row>
    <row r="3303" ht="15.75">
      <c r="E3303" s="144"/>
      <c r="G3303" s="146"/>
    </row>
    <row r="3304" ht="15.75">
      <c r="E3304" s="144"/>
      <c r="G3304" s="146"/>
    </row>
    <row r="3305" ht="15.75">
      <c r="E3305" s="144"/>
      <c r="G3305" s="146"/>
    </row>
    <row r="3306" ht="15.75">
      <c r="E3306" s="144"/>
      <c r="G3306" s="146"/>
    </row>
    <row r="3307" ht="15.75">
      <c r="E3307" s="144"/>
      <c r="G3307" s="146"/>
    </row>
    <row r="3308" ht="15.75">
      <c r="E3308" s="144"/>
      <c r="G3308" s="146"/>
    </row>
    <row r="3309" ht="15.75">
      <c r="E3309" s="144"/>
      <c r="G3309" s="146"/>
    </row>
    <row r="3310" ht="15.75">
      <c r="E3310" s="144"/>
      <c r="G3310" s="146"/>
    </row>
    <row r="3311" ht="15.75">
      <c r="E3311" s="144"/>
      <c r="G3311" s="146"/>
    </row>
    <row r="3312" ht="15.75">
      <c r="E3312" s="144"/>
      <c r="G3312" s="146"/>
    </row>
    <row r="3313" ht="15.75">
      <c r="E3313" s="144"/>
      <c r="G3313" s="146"/>
    </row>
    <row r="3314" ht="15.75">
      <c r="E3314" s="144"/>
      <c r="G3314" s="146"/>
    </row>
    <row r="3315" ht="15.75">
      <c r="E3315" s="144"/>
      <c r="G3315" s="146"/>
    </row>
    <row r="3316" ht="15.75">
      <c r="E3316" s="144"/>
      <c r="G3316" s="146"/>
    </row>
    <row r="3317" ht="15.75">
      <c r="E3317" s="144"/>
      <c r="G3317" s="146"/>
    </row>
    <row r="3318" ht="15.75">
      <c r="E3318" s="144"/>
      <c r="G3318" s="146"/>
    </row>
    <row r="3319" ht="15.75">
      <c r="E3319" s="144"/>
      <c r="G3319" s="146"/>
    </row>
    <row r="3320" ht="15.75">
      <c r="E3320" s="144"/>
      <c r="G3320" s="146"/>
    </row>
    <row r="3321" ht="15.75">
      <c r="E3321" s="144"/>
      <c r="G3321" s="146"/>
    </row>
    <row r="3322" ht="15.75">
      <c r="E3322" s="144"/>
      <c r="G3322" s="146"/>
    </row>
    <row r="3323" ht="15.75">
      <c r="E3323" s="144"/>
      <c r="G3323" s="146"/>
    </row>
    <row r="3324" ht="15.75">
      <c r="E3324" s="144"/>
      <c r="G3324" s="146"/>
    </row>
    <row r="3325" ht="15.75">
      <c r="E3325" s="144"/>
      <c r="G3325" s="146"/>
    </row>
    <row r="3326" ht="15.75">
      <c r="E3326" s="144"/>
      <c r="G3326" s="146"/>
    </row>
    <row r="3327" ht="15.75">
      <c r="E3327" s="144"/>
      <c r="G3327" s="146"/>
    </row>
    <row r="3328" ht="15.75">
      <c r="E3328" s="144"/>
      <c r="G3328" s="146"/>
    </row>
    <row r="3329" ht="15.75">
      <c r="E3329" s="144"/>
      <c r="G3329" s="146"/>
    </row>
    <row r="3330" ht="15.75">
      <c r="E3330" s="144"/>
      <c r="G3330" s="146"/>
    </row>
    <row r="3331" ht="15.75">
      <c r="E3331" s="144"/>
      <c r="G3331" s="146"/>
    </row>
    <row r="3332" ht="15.75">
      <c r="E3332" s="144"/>
      <c r="G3332" s="146"/>
    </row>
    <row r="3333" ht="15.75">
      <c r="E3333" s="144"/>
      <c r="G3333" s="146"/>
    </row>
    <row r="3334" ht="15.75">
      <c r="E3334" s="144"/>
      <c r="G3334" s="146"/>
    </row>
    <row r="3335" ht="15.75">
      <c r="E3335" s="144"/>
      <c r="G3335" s="146"/>
    </row>
    <row r="3336" ht="15.75">
      <c r="E3336" s="144"/>
      <c r="G3336" s="146"/>
    </row>
    <row r="3337" ht="15.75">
      <c r="E3337" s="144"/>
      <c r="G3337" s="146"/>
    </row>
    <row r="3338" ht="15.75">
      <c r="E3338" s="144"/>
      <c r="G3338" s="146"/>
    </row>
    <row r="3339" ht="15.75">
      <c r="E3339" s="144"/>
      <c r="G3339" s="146"/>
    </row>
    <row r="3340" ht="15.75">
      <c r="E3340" s="144"/>
      <c r="G3340" s="146"/>
    </row>
    <row r="3341" ht="15.75">
      <c r="E3341" s="144"/>
      <c r="G3341" s="146"/>
    </row>
    <row r="3342" ht="15.75">
      <c r="E3342" s="144"/>
      <c r="G3342" s="146"/>
    </row>
    <row r="3343" ht="15.75">
      <c r="E3343" s="144"/>
      <c r="G3343" s="146"/>
    </row>
    <row r="3344" ht="15.75">
      <c r="E3344" s="144"/>
      <c r="G3344" s="146"/>
    </row>
    <row r="3345" ht="15.75">
      <c r="E3345" s="144"/>
      <c r="G3345" s="146"/>
    </row>
    <row r="3346" ht="15.75">
      <c r="E3346" s="144"/>
      <c r="G3346" s="146"/>
    </row>
    <row r="3347" ht="15.75">
      <c r="E3347" s="144"/>
      <c r="G3347" s="146"/>
    </row>
    <row r="3348" ht="15.75">
      <c r="E3348" s="144"/>
      <c r="G3348" s="146"/>
    </row>
    <row r="3349" ht="15.75">
      <c r="E3349" s="144"/>
      <c r="G3349" s="146"/>
    </row>
    <row r="3350" ht="15.75">
      <c r="E3350" s="144"/>
      <c r="G3350" s="146"/>
    </row>
    <row r="3351" ht="15.75">
      <c r="E3351" s="144"/>
      <c r="G3351" s="146"/>
    </row>
    <row r="3352" ht="15.75">
      <c r="E3352" s="144"/>
      <c r="G3352" s="146"/>
    </row>
    <row r="3353" ht="15.75">
      <c r="E3353" s="144"/>
      <c r="G3353" s="146"/>
    </row>
    <row r="3354" ht="15.75">
      <c r="E3354" s="144"/>
      <c r="G3354" s="146"/>
    </row>
    <row r="3355" ht="15.75">
      <c r="E3355" s="144"/>
      <c r="G3355" s="146"/>
    </row>
    <row r="3356" ht="15.75">
      <c r="E3356" s="144"/>
      <c r="G3356" s="146"/>
    </row>
    <row r="3357" ht="15.75">
      <c r="E3357" s="144"/>
      <c r="G3357" s="146"/>
    </row>
    <row r="3358" ht="15.75">
      <c r="E3358" s="144"/>
      <c r="G3358" s="146"/>
    </row>
    <row r="3359" ht="15.75">
      <c r="E3359" s="144"/>
      <c r="G3359" s="146"/>
    </row>
    <row r="3360" ht="15.75">
      <c r="E3360" s="144"/>
      <c r="G3360" s="146"/>
    </row>
    <row r="3361" ht="15.75">
      <c r="E3361" s="144"/>
      <c r="G3361" s="146"/>
    </row>
    <row r="3362" ht="15.75">
      <c r="E3362" s="144"/>
      <c r="G3362" s="146"/>
    </row>
    <row r="3363" ht="15.75">
      <c r="E3363" s="144"/>
      <c r="G3363" s="146"/>
    </row>
    <row r="3364" ht="15.75">
      <c r="E3364" s="144"/>
      <c r="G3364" s="146"/>
    </row>
    <row r="3365" ht="15.75">
      <c r="E3365" s="144"/>
      <c r="G3365" s="146"/>
    </row>
    <row r="3366" ht="15.75">
      <c r="E3366" s="144"/>
      <c r="G3366" s="146"/>
    </row>
    <row r="3367" ht="15.75">
      <c r="E3367" s="144"/>
      <c r="G3367" s="146"/>
    </row>
    <row r="3368" ht="15.75">
      <c r="E3368" s="144"/>
      <c r="G3368" s="146"/>
    </row>
    <row r="3369" ht="15.75">
      <c r="E3369" s="144"/>
      <c r="G3369" s="146"/>
    </row>
    <row r="3370" ht="15.75">
      <c r="E3370" s="144"/>
      <c r="G3370" s="146"/>
    </row>
    <row r="3371" ht="15.75">
      <c r="E3371" s="144"/>
      <c r="G3371" s="146"/>
    </row>
    <row r="3372" ht="15.75">
      <c r="E3372" s="144"/>
      <c r="G3372" s="146"/>
    </row>
    <row r="3373" ht="15.75">
      <c r="E3373" s="144"/>
      <c r="G3373" s="146"/>
    </row>
    <row r="3374" ht="15.75">
      <c r="E3374" s="144"/>
      <c r="G3374" s="146"/>
    </row>
    <row r="3375" ht="15.75">
      <c r="E3375" s="144"/>
      <c r="G3375" s="146"/>
    </row>
    <row r="3376" ht="15.75">
      <c r="E3376" s="144"/>
      <c r="G3376" s="146"/>
    </row>
    <row r="3377" ht="15.75">
      <c r="E3377" s="144"/>
      <c r="G3377" s="146"/>
    </row>
    <row r="3378" ht="15.75">
      <c r="E3378" s="144"/>
      <c r="G3378" s="146"/>
    </row>
    <row r="3379" ht="15.75">
      <c r="E3379" s="144"/>
      <c r="G3379" s="146"/>
    </row>
    <row r="3380" ht="15.75">
      <c r="E3380" s="144"/>
      <c r="G3380" s="146"/>
    </row>
    <row r="3381" ht="15.75">
      <c r="E3381" s="144"/>
      <c r="G3381" s="146"/>
    </row>
    <row r="3382" ht="15.75">
      <c r="E3382" s="144"/>
      <c r="G3382" s="146"/>
    </row>
    <row r="3383" ht="15.75">
      <c r="E3383" s="144"/>
      <c r="G3383" s="146"/>
    </row>
    <row r="3384" ht="15.75">
      <c r="E3384" s="144"/>
      <c r="G3384" s="146"/>
    </row>
    <row r="3385" ht="15.75">
      <c r="E3385" s="144"/>
      <c r="G3385" s="146"/>
    </row>
    <row r="3386" ht="15.75">
      <c r="E3386" s="144"/>
      <c r="G3386" s="146"/>
    </row>
    <row r="3387" ht="15.75">
      <c r="E3387" s="144"/>
      <c r="G3387" s="146"/>
    </row>
    <row r="3388" ht="15.75">
      <c r="E3388" s="144"/>
      <c r="G3388" s="146"/>
    </row>
    <row r="3389" ht="15.75">
      <c r="E3389" s="144"/>
      <c r="G3389" s="146"/>
    </row>
  </sheetData>
  <sheetProtection algorithmName="SHA-512" hashValue="O8s6RYJEHndwNGPcEjE3kqILH+lLcV0qmHvq+B9xg6tBvNGdYzITs4L2nqmoJykHkCxVlhOKSCzaEtK3qzxE5Q==" saltValue="lr5ytf06bK7hFeKqbowyog==" spinCount="100000" sheet="1" objects="1" scenarios="1"/>
  <mergeCells>
    <mergeCell ref="B1:H1"/>
  </mergeCells>
  <phoneticPr fontId="16" type="noConversion"/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12A00A-A01D-40FF-8EC6-F36D1B8778AD}">
          <x14:formula1>
            <xm:f>Sheet1!$B$2:$B$138</xm:f>
          </x14:formula1>
          <xm:sqref>E3:E3389 G4:G3389 G3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48"/>
  <sheetViews>
    <sheetView view="pageBreakPreview" zoomScaleNormal="100" zoomScaleSheetLayoutView="100" workbookViewId="0">
      <selection activeCell="B18" sqref="B18"/>
    </sheetView>
  </sheetViews>
  <sheetFormatPr defaultColWidth="8.85546875" defaultRowHeight="15.75" x14ac:dyDescent="0.25"/>
  <cols>
    <col min="1" max="1" width="11.140625" customWidth="1" style="199"/>
    <col min="2" max="2" bestFit="1" width="54.7109375" customWidth="1" style="18"/>
    <col min="3" max="3" bestFit="1" width="24" customWidth="1" style="18"/>
    <col min="4" max="4" width="11.42578125" customWidth="1" style="18"/>
    <col min="5" max="5" bestFit="1" width="19.5703125" customWidth="1" style="18"/>
    <col min="6" max="16384" width="8.85546875" customWidth="1" style="18"/>
  </cols>
  <sheetData>
    <row r="2" ht="16.5">
      <c r="B2" s="16"/>
      <c r="C2" s="17"/>
    </row>
    <row r="3" ht="15.75" customHeight="1">
      <c r="A3" s="272" t="s">
        <v>0</v>
      </c>
      <c r="B3" s="273"/>
      <c r="C3" s="273"/>
      <c r="D3" s="273"/>
      <c r="E3" s="274"/>
    </row>
    <row r="4" ht="15.6" customHeight="1">
      <c r="A4" s="275"/>
      <c r="B4" s="276"/>
      <c r="C4" s="276"/>
      <c r="D4" s="276"/>
      <c r="E4" s="277"/>
    </row>
    <row r="5" ht="32.25">
      <c r="A5" s="200"/>
      <c r="B5" s="128" t="s">
        <v>1</v>
      </c>
      <c r="C5" s="129" t="s">
        <v>2</v>
      </c>
      <c r="D5" s="129" t="s">
        <v>3</v>
      </c>
      <c r="E5" s="130" t="s">
        <v>4</v>
      </c>
    </row>
    <row r="6">
      <c r="A6" s="204" t="s">
        <v>5</v>
      </c>
      <c r="B6" s="134" t="s">
        <v>6</v>
      </c>
      <c r="C6" s="171"/>
      <c r="D6" s="172"/>
      <c r="E6" s="173"/>
    </row>
    <row r="7">
      <c r="A7" s="205" t="s">
        <v>7</v>
      </c>
      <c r="B7" s="132" t="s">
        <v>8</v>
      </c>
      <c r="C7" s="174"/>
      <c r="D7" s="175"/>
      <c r="E7" s="176"/>
    </row>
    <row r="8">
      <c r="A8" s="205" t="s">
        <v>9</v>
      </c>
      <c r="B8" s="135" t="s">
        <v>10</v>
      </c>
      <c r="C8" s="174"/>
      <c r="D8" s="175"/>
      <c r="E8" s="176"/>
    </row>
    <row r="9">
      <c r="A9" s="205" t="s">
        <v>11</v>
      </c>
      <c r="B9" s="135" t="s">
        <v>12</v>
      </c>
      <c r="C9" s="174"/>
      <c r="D9" s="175"/>
      <c r="E9" s="176"/>
    </row>
    <row r="10">
      <c r="A10" s="205" t="s">
        <v>13</v>
      </c>
      <c r="B10" s="135" t="s">
        <v>14</v>
      </c>
      <c r="C10" s="174"/>
      <c r="D10" s="175"/>
      <c r="E10" s="176"/>
    </row>
    <row r="11">
      <c r="A11" s="205" t="s">
        <v>15</v>
      </c>
      <c r="B11" s="132" t="s">
        <v>16</v>
      </c>
      <c r="C11" s="174"/>
      <c r="D11" s="175"/>
      <c r="E11" s="176"/>
    </row>
    <row r="12">
      <c r="A12" s="205" t="s">
        <v>17</v>
      </c>
      <c r="B12" s="136" t="s">
        <v>18</v>
      </c>
      <c r="C12" s="177"/>
      <c r="D12" s="178"/>
      <c r="E12" s="179"/>
    </row>
    <row r="13" ht="16.5">
      <c r="A13" s="205" t="s">
        <v>19</v>
      </c>
      <c r="B13" s="135" t="s">
        <v>20</v>
      </c>
      <c r="C13" s="174"/>
      <c r="D13" s="175"/>
      <c r="E13" s="176"/>
    </row>
    <row r="14" ht="32.25">
      <c r="A14" s="201"/>
      <c r="B14" s="128" t="s">
        <v>21</v>
      </c>
      <c r="C14" s="129" t="s">
        <v>2</v>
      </c>
      <c r="D14" s="129" t="s">
        <v>3</v>
      </c>
      <c r="E14" s="130" t="s">
        <v>4</v>
      </c>
    </row>
    <row r="15">
      <c r="A15" s="206" t="s">
        <v>22</v>
      </c>
      <c r="B15" s="131" t="s">
        <v>6</v>
      </c>
      <c r="C15" s="180"/>
      <c r="D15" s="181"/>
      <c r="E15" s="182"/>
    </row>
    <row r="16">
      <c r="A16" s="207" t="s">
        <v>23</v>
      </c>
      <c r="B16" s="132" t="s">
        <v>8</v>
      </c>
      <c r="C16" s="174"/>
      <c r="D16" s="175"/>
      <c r="E16" s="176"/>
    </row>
    <row r="17">
      <c r="A17" s="207" t="s">
        <v>24</v>
      </c>
      <c r="B17" s="135" t="s">
        <v>10</v>
      </c>
      <c r="C17" s="174"/>
      <c r="D17" s="175"/>
      <c r="E17" s="176"/>
    </row>
    <row r="18">
      <c r="A18" s="207" t="s">
        <v>25</v>
      </c>
      <c r="B18" s="135" t="s">
        <v>12</v>
      </c>
      <c r="C18" s="174"/>
      <c r="D18" s="175"/>
      <c r="E18" s="176"/>
    </row>
    <row r="19">
      <c r="A19" s="207" t="s">
        <v>26</v>
      </c>
      <c r="B19" s="135" t="s">
        <v>14</v>
      </c>
      <c r="C19" s="174"/>
      <c r="D19" s="175"/>
      <c r="E19" s="176"/>
    </row>
    <row r="20" ht="16.5">
      <c r="A20" s="208" t="s">
        <v>27</v>
      </c>
      <c r="B20" s="137" t="s">
        <v>16</v>
      </c>
      <c r="C20" s="183"/>
      <c r="D20" s="184"/>
      <c r="E20" s="185"/>
    </row>
    <row r="21" ht="16.5">
      <c r="B21" s="138"/>
    </row>
    <row r="22" ht="16.15" customHeight="1">
      <c r="A22" s="278" t="s">
        <v>28</v>
      </c>
      <c r="B22" s="279"/>
      <c r="C22" s="279"/>
      <c r="D22" s="279"/>
      <c r="E22" s="280"/>
    </row>
    <row r="23" ht="32.25">
      <c r="A23" s="200"/>
      <c r="B23" s="128" t="s">
        <v>1</v>
      </c>
      <c r="C23" s="129" t="s">
        <v>2</v>
      </c>
      <c r="D23" s="129" t="s">
        <v>3</v>
      </c>
      <c r="E23" s="130" t="s">
        <v>4</v>
      </c>
    </row>
    <row r="24">
      <c r="A24" s="209" t="s">
        <v>29</v>
      </c>
      <c r="B24" s="134" t="s">
        <v>30</v>
      </c>
      <c r="C24" s="171"/>
      <c r="D24" s="172"/>
      <c r="E24" s="173"/>
    </row>
    <row r="25">
      <c r="A25" s="209" t="s">
        <v>31</v>
      </c>
      <c r="B25" s="132" t="s">
        <v>32</v>
      </c>
      <c r="C25" s="174">
        <v>27.53526</v>
      </c>
      <c r="D25" s="175">
        <v>76</v>
      </c>
      <c r="E25" s="176"/>
    </row>
    <row r="26" s="215" customFormat="1">
      <c r="A26" s="243" t="s">
        <v>33</v>
      </c>
      <c r="B26" s="231" t="s">
        <v>34</v>
      </c>
      <c r="C26" s="223">
        <v>27.53526</v>
      </c>
      <c r="D26" s="224">
        <v>76</v>
      </c>
      <c r="E26" s="225"/>
    </row>
    <row r="27">
      <c r="A27" s="209" t="s">
        <v>35</v>
      </c>
      <c r="B27" s="132" t="s">
        <v>36</v>
      </c>
      <c r="C27" s="174"/>
      <c r="D27" s="175"/>
      <c r="E27" s="176"/>
    </row>
    <row r="28">
      <c r="A28" s="209" t="s">
        <v>37</v>
      </c>
      <c r="B28" s="133" t="s">
        <v>38</v>
      </c>
      <c r="C28" s="186"/>
      <c r="D28" s="187"/>
      <c r="E28" s="188"/>
    </row>
    <row r="29">
      <c r="A29" s="209" t="s">
        <v>39</v>
      </c>
      <c r="B29" s="134" t="s">
        <v>40</v>
      </c>
      <c r="C29" s="171"/>
      <c r="D29" s="172"/>
      <c r="E29" s="173"/>
    </row>
    <row r="30">
      <c r="A30" s="209" t="s">
        <v>41</v>
      </c>
      <c r="B30" s="132" t="s">
        <v>32</v>
      </c>
      <c r="C30" s="174">
        <v>0</v>
      </c>
      <c r="D30" s="175">
        <v>0</v>
      </c>
      <c r="E30" s="176"/>
    </row>
    <row r="31" s="215" customFormat="1">
      <c r="A31" s="243" t="s">
        <v>42</v>
      </c>
      <c r="B31" s="231" t="s">
        <v>34</v>
      </c>
      <c r="C31" s="223">
        <v>0</v>
      </c>
      <c r="D31" s="224">
        <v>0</v>
      </c>
      <c r="E31" s="225"/>
    </row>
    <row r="32">
      <c r="A32" s="243" t="s">
        <v>43</v>
      </c>
      <c r="B32" s="232" t="s">
        <v>36</v>
      </c>
      <c r="C32" s="223"/>
      <c r="D32" s="224"/>
      <c r="E32" s="225"/>
    </row>
    <row r="33">
      <c r="A33" s="243" t="s">
        <v>44</v>
      </c>
      <c r="B33" s="233" t="s">
        <v>38</v>
      </c>
      <c r="C33" s="223"/>
      <c r="D33" s="224"/>
      <c r="E33" s="225"/>
    </row>
    <row r="34" s="215" customFormat="1">
      <c r="A34" s="243" t="s">
        <v>45</v>
      </c>
      <c r="B34" s="222" t="s">
        <v>46</v>
      </c>
      <c r="C34" s="223"/>
      <c r="D34" s="224"/>
      <c r="E34" s="225"/>
    </row>
    <row r="35" ht="16.5" s="215" customFormat="1">
      <c r="A35" s="243" t="s">
        <v>47</v>
      </c>
      <c r="B35" s="231" t="s">
        <v>34</v>
      </c>
      <c r="C35" s="223">
        <v>0</v>
      </c>
      <c r="D35" s="224">
        <v>0</v>
      </c>
      <c r="E35" s="225"/>
    </row>
    <row r="36" ht="32.25">
      <c r="A36" s="200"/>
      <c r="B36" s="128" t="s">
        <v>21</v>
      </c>
      <c r="C36" s="129">
        <v>0</v>
      </c>
      <c r="D36" s="129">
        <v>0</v>
      </c>
      <c r="E36" s="130" t="s">
        <v>4</v>
      </c>
    </row>
    <row r="37">
      <c r="A37" s="210" t="s">
        <v>48</v>
      </c>
      <c r="B37" s="131" t="s">
        <v>30</v>
      </c>
      <c r="C37" s="180"/>
      <c r="D37" s="181"/>
      <c r="E37" s="182"/>
    </row>
    <row r="38">
      <c r="A38" s="211" t="s">
        <v>49</v>
      </c>
      <c r="B38" s="132" t="s">
        <v>32</v>
      </c>
      <c r="C38" s="174"/>
      <c r="D38" s="175"/>
      <c r="E38" s="176"/>
    </row>
    <row r="39" s="215" customFormat="1">
      <c r="A39" s="221" t="s">
        <v>50</v>
      </c>
      <c r="B39" s="231" t="s">
        <v>34</v>
      </c>
      <c r="C39" s="223"/>
      <c r="D39" s="224"/>
      <c r="E39" s="225"/>
    </row>
    <row r="40">
      <c r="A40" s="221" t="s">
        <v>51</v>
      </c>
      <c r="B40" s="232" t="s">
        <v>36</v>
      </c>
      <c r="C40" s="223"/>
      <c r="D40" s="224"/>
      <c r="E40" s="225"/>
    </row>
    <row r="41">
      <c r="A41" s="221" t="s">
        <v>52</v>
      </c>
      <c r="B41" s="233" t="s">
        <v>38</v>
      </c>
      <c r="C41" s="234"/>
      <c r="D41" s="235"/>
      <c r="E41" s="236"/>
    </row>
    <row r="42">
      <c r="A42" s="221" t="s">
        <v>53</v>
      </c>
      <c r="B42" s="222" t="s">
        <v>40</v>
      </c>
      <c r="C42" s="237"/>
      <c r="D42" s="238"/>
      <c r="E42" s="239"/>
    </row>
    <row r="43">
      <c r="A43" s="221" t="s">
        <v>54</v>
      </c>
      <c r="B43" s="232" t="s">
        <v>32</v>
      </c>
      <c r="C43" s="223"/>
      <c r="D43" s="224"/>
      <c r="E43" s="225"/>
    </row>
    <row r="44" s="215" customFormat="1">
      <c r="A44" s="221" t="s">
        <v>55</v>
      </c>
      <c r="B44" s="231" t="s">
        <v>34</v>
      </c>
      <c r="C44" s="240"/>
      <c r="D44" s="241"/>
      <c r="E44" s="242"/>
    </row>
    <row r="45">
      <c r="A45" s="221" t="s">
        <v>56</v>
      </c>
      <c r="B45" s="232" t="s">
        <v>36</v>
      </c>
      <c r="C45" s="223"/>
      <c r="D45" s="224"/>
      <c r="E45" s="225"/>
    </row>
    <row r="46">
      <c r="A46" s="211" t="s">
        <v>57</v>
      </c>
      <c r="B46" s="133" t="s">
        <v>38</v>
      </c>
      <c r="C46" s="174"/>
      <c r="D46" s="175"/>
      <c r="E46" s="176"/>
    </row>
    <row r="47" s="215" customFormat="1">
      <c r="A47" s="221" t="s">
        <v>58</v>
      </c>
      <c r="B47" s="222" t="s">
        <v>46</v>
      </c>
      <c r="C47" s="223"/>
      <c r="D47" s="224"/>
      <c r="E47" s="225"/>
    </row>
    <row r="48" ht="16.5" s="215" customFormat="1">
      <c r="A48" s="226" t="s">
        <v>59</v>
      </c>
      <c r="B48" s="227" t="s">
        <v>34</v>
      </c>
      <c r="C48" s="228"/>
      <c r="D48" s="229"/>
      <c r="E48" s="230"/>
    </row>
  </sheetData>
  <sheetProtection algorithmName="SHA-512" hashValue="31j5C9fBWdaX9BbX/HBIQtbgTN/VxyEOGKu6bO3MwVdyKhnM9t7gapV1ZkOeGw82VJhnYSNXzdOpwkNrpaa/Fw==" saltValue="jmr8303E/z1aIGsDhGtN9Q==" spinCount="100000" sheet="1" objects="1" scenarios="1"/>
  <mergeCells>
    <mergeCell ref="A3:E4"/>
    <mergeCell ref="A22:E22"/>
  </mergeCells>
  <phoneticPr fontId="16" type="noConversion"/>
  <pageMargins left="0.7" right="0.7" top="0.75" bottom="0.75" header="0.3" footer="0.3"/>
  <pageSetup scale="74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54"/>
  <sheetViews>
    <sheetView topLeftCell="A25" workbookViewId="0">
      <selection activeCell="A53" sqref="A53"/>
    </sheetView>
  </sheetViews>
  <sheetFormatPr defaultRowHeight="15" x14ac:dyDescent="0.25"/>
  <sheetData>
    <row r="1">
      <c r="A1" s="2" t="s">
        <v>484</v>
      </c>
    </row>
    <row r="2">
      <c r="A2" s="2" t="s">
        <v>214</v>
      </c>
    </row>
    <row r="3">
      <c r="A3" s="2" t="s">
        <v>215</v>
      </c>
    </row>
    <row r="4">
      <c r="A4" s="2" t="s">
        <v>216</v>
      </c>
    </row>
    <row r="5">
      <c r="A5" s="2" t="s">
        <v>217</v>
      </c>
    </row>
    <row r="6">
      <c r="A6" s="2" t="s">
        <v>218</v>
      </c>
    </row>
    <row r="7">
      <c r="A7" s="2" t="s">
        <v>219</v>
      </c>
    </row>
    <row r="8">
      <c r="A8" s="2" t="s">
        <v>220</v>
      </c>
    </row>
    <row r="9">
      <c r="A9" s="2" t="s">
        <v>221</v>
      </c>
    </row>
    <row r="10">
      <c r="A10" s="2" t="s">
        <v>222</v>
      </c>
    </row>
    <row r="11">
      <c r="A11" s="2" t="s">
        <v>223</v>
      </c>
    </row>
    <row r="12">
      <c r="A12" s="2" t="s">
        <v>224</v>
      </c>
    </row>
    <row r="13">
      <c r="A13" s="2" t="s">
        <v>225</v>
      </c>
    </row>
    <row r="14">
      <c r="A14" s="2" t="s">
        <v>226</v>
      </c>
    </row>
    <row r="15">
      <c r="A15" s="2" t="s">
        <v>227</v>
      </c>
    </row>
    <row r="16">
      <c r="A16" s="2" t="s">
        <v>228</v>
      </c>
    </row>
    <row r="17">
      <c r="A17" s="2" t="s">
        <v>229</v>
      </c>
    </row>
    <row r="18">
      <c r="A18" s="2" t="s">
        <v>230</v>
      </c>
    </row>
    <row r="19">
      <c r="A19" s="2" t="s">
        <v>231</v>
      </c>
    </row>
    <row r="20">
      <c r="A20" s="2" t="s">
        <v>232</v>
      </c>
    </row>
    <row r="21">
      <c r="A21" s="2" t="s">
        <v>233</v>
      </c>
    </row>
    <row r="22">
      <c r="A22" s="2" t="s">
        <v>234</v>
      </c>
    </row>
    <row r="23">
      <c r="A23" s="2" t="s">
        <v>235</v>
      </c>
    </row>
    <row r="24">
      <c r="A24" s="2" t="s">
        <v>236</v>
      </c>
    </row>
    <row r="25">
      <c r="A25" s="2" t="s">
        <v>237</v>
      </c>
    </row>
    <row r="26">
      <c r="A26" s="2" t="s">
        <v>238</v>
      </c>
    </row>
    <row r="27">
      <c r="A27" s="2" t="s">
        <v>239</v>
      </c>
    </row>
    <row r="28">
      <c r="A28" s="2" t="s">
        <v>240</v>
      </c>
    </row>
    <row r="29">
      <c r="A29" s="2" t="s">
        <v>241</v>
      </c>
    </row>
    <row r="30">
      <c r="A30" s="2" t="s">
        <v>242</v>
      </c>
    </row>
    <row r="31">
      <c r="A31" s="2" t="s">
        <v>243</v>
      </c>
    </row>
    <row r="32">
      <c r="A32" s="2" t="s">
        <v>244</v>
      </c>
    </row>
    <row r="33">
      <c r="A33" s="2" t="s">
        <v>245</v>
      </c>
    </row>
    <row r="34">
      <c r="A34" s="2" t="s">
        <v>246</v>
      </c>
    </row>
    <row r="35">
      <c r="A35" s="2" t="s">
        <v>247</v>
      </c>
    </row>
    <row r="36">
      <c r="A36" s="2" t="s">
        <v>248</v>
      </c>
    </row>
    <row r="37">
      <c r="A37" s="2" t="s">
        <v>249</v>
      </c>
    </row>
    <row r="38">
      <c r="A38" s="2" t="s">
        <v>250</v>
      </c>
    </row>
    <row r="39">
      <c r="A39" s="2" t="s">
        <v>251</v>
      </c>
    </row>
    <row r="40">
      <c r="A40" s="2" t="s">
        <v>252</v>
      </c>
    </row>
    <row r="41">
      <c r="A41" s="2" t="s">
        <v>253</v>
      </c>
    </row>
    <row r="42">
      <c r="A42" s="2" t="s">
        <v>254</v>
      </c>
    </row>
    <row r="43">
      <c r="A43" s="2" t="s">
        <v>255</v>
      </c>
    </row>
    <row r="44">
      <c r="A44" s="2" t="s">
        <v>256</v>
      </c>
    </row>
    <row r="45">
      <c r="A45" s="2" t="s">
        <v>257</v>
      </c>
    </row>
    <row r="46">
      <c r="A46" s="2" t="s">
        <v>258</v>
      </c>
    </row>
    <row r="47">
      <c r="A47" s="2" t="s">
        <v>259</v>
      </c>
    </row>
    <row r="48">
      <c r="A48" s="2" t="s">
        <v>260</v>
      </c>
    </row>
    <row r="49">
      <c r="A49" s="2" t="s">
        <v>261</v>
      </c>
    </row>
    <row r="50">
      <c r="A50" s="2" t="s">
        <v>262</v>
      </c>
    </row>
    <row r="51">
      <c r="A51" s="2" t="s">
        <v>263</v>
      </c>
    </row>
    <row r="52">
      <c r="A52" s="2" t="s">
        <v>264</v>
      </c>
    </row>
    <row r="53">
      <c r="A53" s="2" t="s">
        <v>265</v>
      </c>
    </row>
    <row r="54">
      <c r="A54" s="2"/>
    </row>
  </sheetData>
  <sheetProtection algorithmName="SHA-512" hashValue="5utsplkuyAVWNHR4GLcdlrg2k4pBYo/MMA3odsvnWemYPABRcO2/GsP+9TZoDgmt2owrcu++kCD0l44Y6LXYig==" saltValue="QiOth0WR/WbNK/XHMuLxZA==" spinCount="100000" sheet="1" objects="1" scenarios="1"/>
  <protectedRanges>
    <protectedRange sqref="A10" name="Range5_1"/>
  </protectedRanges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Daily-Report</vt:lpstr>
      <vt:lpstr>Sheet1</vt:lpstr>
      <vt:lpstr>comments</vt:lpstr>
      <vt:lpstr>Daily_Credit_Deposit</vt:lpstr>
      <vt:lpstr>cur</vt:lpstr>
      <vt:lpstr>Daily_Credit_Deposit!Print_Area</vt:lpstr>
      <vt:lpstr>'Daily-Report'!Print_Area</vt:lpstr>
      <vt:lpstr>SEL_CURR</vt:lpstr>
      <vt:lpstr>SELECTED</vt:lpstr>
    </vt:vector>
  </TitlesOfParts>
  <Company>nba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CMirzayev</dc:creator>
  <cp:keywords>01</cp:keywords>
  <cp:lastModifiedBy>Mehemmed Bekirov</cp:lastModifiedBy>
  <cp:lastPrinted>2023-12-20T10:40:27Z</cp:lastPrinted>
  <dcterms:created xsi:type="dcterms:W3CDTF">2009-04-09T04:28:04Z</dcterms:created>
  <dcterms:modified xsi:type="dcterms:W3CDTF">2025-04-09T11:44:57Z</dcterms:modified>
</cp:coreProperties>
</file>