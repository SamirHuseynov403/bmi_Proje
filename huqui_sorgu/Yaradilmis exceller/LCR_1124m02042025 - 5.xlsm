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<sst xmlns="http://schemas.openxmlformats.org/spreadsheetml/2006/main" count="211" uniqueCount="211">
  <si>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</si>
  <si>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</si>
  <si>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</si>
  <si>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</si>
  <si>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</si>
  <si>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</si>
  <si>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</si>
  <si>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</si>
  <si>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</si>
  <si>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</si>
  <si>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</si>
  <si>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</si>
  <si>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</si>
  <si>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</si>
  <si>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</si>
  <si>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</si>
  <si>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</si>
  <si>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</si>
  <si>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</si>
  <si>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</si>
  <si>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</si>
  <si>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</si>
  <si>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</si>
  <si>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</si>
  <si>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</si>
  <si>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</si>
  <si>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</si>
  <si>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</si>
  <si>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</si>
  <si>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</si>
  <si>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</si>
  <si>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</si>
  <si>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</si>
  <si>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</si>
  <si>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</si>
  <si>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</si>
  <si>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</si>
  <si>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</si>
  <si>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</si>
  <si>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</si>
  <si>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</si>
  <si>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</si>
  <si>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</si>
  <si>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</si>
  <si>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</si>
  <si>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</si>
  <si>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</si>
  <si>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</si>
  <si>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</si>
  <si>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</si>
  <si>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</si>
  <si>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</si>
  <si>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</si>
  <si>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</si>
  <si>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</si>
  <si>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</si>
  <si>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</si>
  <si>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</si>
  <si>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</si>
  <si>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</si>
  <si>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</si>
  <si>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</si>
  <si>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</si>
  <si>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</si>
  <si>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</si>
  <si>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</si>
  <si>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</si>
  <si>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</si>
  <si>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</si>
  <si>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</si>
  <si>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</si>
  <si>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</si>
  <si>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</si>
  <si>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</si>
  <si>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</si>
  <si>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</si>
  <si>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</si>
  <si>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</si>
  <si>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</si>
  <si>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</si>
  <si>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</si>
  <si>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</si>
  <si>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</si>
  <si>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</si>
  <si>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</si>
  <si>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</si>
  <si>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</si>
  <si>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</si>
  <si>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</si>
  <si>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</si>
  <si>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</si>
  <si>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</si>
  <si>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</si>
  <si>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</si>
  <si>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</si>
  <si>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</si>
  <si>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</si>
  <si>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</si>
  <si>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</si>
  <si>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</si>
  <si>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</si>
  <si>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</si>
  <si>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</si>
  <si>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</si>
  <si>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</si>
  <si>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</si>
  <si>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</si>
  <si>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</si>
  <si>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</si>
  <si>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</si>
  <si>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</si>
  <si>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</si>
  <si>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</si>
  <si>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</si>
  <si>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</si>
  <si>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</si>
  <si>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</si>
  <si>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</si>
  <si>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</si>
  <si>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</si>
  <si>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</si>
  <si>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</si>
  <si>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</si>
  <si>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</si>
  <si>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</si>
  <si>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</si>
  <si>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</si>
  <si>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</si>
  <si>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</si>
  <si>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</si>
  <si>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</si>
  <si>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</si>
  <si>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</si>
  <si>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</si>
  <si>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</si>
  <si>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</si>
  <si>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</si>
  <si>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</si>
  <si>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</si>
  <si>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</si>
  <si>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</si>
  <si>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</si>
  <si>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</si>
  <si>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</si>
  <si>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</si>
  <si>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</si>
  <si>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</si>
  <si>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</si>
  <si>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</si>
  <si>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</si>
  <si>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</si>
  <si>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</si>
  <si>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</si>
  <si>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</si>
  <si>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</si>
  <si>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</si>
  <si>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</si>
  <si>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</si>
  <si>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</si>
  <si>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</si>
  <si>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</si>
  <si>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</si>
  <si>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</si>
  <si>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</si>
  <si>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</si>
  <si>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</si>
  <si>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</si>
  <si>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</si>
  <si>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</si>
  <si>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</si>
  <si>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</si>
  <si>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</si>
  <si>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</si>
  <si>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</si>
  <si>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</si>
  <si>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</si>
  <si>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</si>
  <si>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</si>
  <si>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</si>
  <si>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</si>
  <si>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</si>
  <si>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</si>
  <si>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</si>
  <si>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</si>
  <si>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</si>
  <si>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</si>
  <si>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02-04-2025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</si>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</sst>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54467.110980000005</v>
      </c>
      <c r="J8" s="20">
        <f t="shared" si="0"/>
        <v>35324.8731</v>
      </c>
      <c r="K8" s="20">
        <f>K21+K38</f>
        <v>89791.98408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54467.72254</v>
      </c>
      <c r="D21" s="20">
        <f>D15+D16+D17+D18+D19+D20</f>
        <v>35324.8731</v>
      </c>
      <c r="E21" s="20">
        <f>C21+D21</f>
        <v>89792.59564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54467.110980000005</v>
      </c>
      <c r="J21" s="20">
        <f t="shared" si="2"/>
        <v>35324.8731</v>
      </c>
      <c r="K21" s="20">
        <f t="shared" si="2"/>
        <v>89791.98408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12081.1689295</v>
      </c>
      <c r="Q10" s="44">
        <f>Q25+Q52+Q66+Q92</f>
        <v>24055.9321142</v>
      </c>
      <c r="R10" s="44">
        <f>R25+R52+R66+R92</f>
        <v>36137.101043699993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44.499965999999993</v>
      </c>
      <c r="Q19" s="48">
        <f>SUM(Q20:Q21)</f>
        <v>178.6576672</v>
      </c>
      <c r="R19" s="48">
        <f>SUM(R20:R21)</f>
        <v>223.1576332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44.499965999999993</v>
      </c>
      <c r="Q21" s="48">
        <f>D21*M21</f>
        <v>178.6576672</v>
      </c>
      <c r="R21" s="48">
        <f>P21+Q21</f>
        <v>223.1576332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44.499965999999993</v>
      </c>
      <c r="Q25" s="44">
        <f>Q19+Q22</f>
        <v>178.6576672</v>
      </c>
      <c r="R25" s="44">
        <f>R19+R22</f>
        <v>223.1576332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23844.42882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17154.90882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16723.8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6689.52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12036.6689635</v>
      </c>
      <c r="Q41" s="48">
        <f>SUM(Q42:Q45)</f>
        <v>32.845627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12.067112000000002</v>
      </c>
      <c r="Q42" s="48">
        <f>D42*M42</f>
        <v>9.7779564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12036.6689635</v>
      </c>
      <c r="Q52" s="44">
        <f>Q34+Q35+Q38+Q41+Q46+Q51</f>
        <v>23877.274447</v>
      </c>
      <c r="R52" s="44">
        <f t="shared" si="16"/>
        <v>35913.9434105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45628.19812</v>
      </c>
      <c r="Q10" s="44">
        <f>Q24+Q52+Q39</f>
        <v>2.392695</v>
      </c>
      <c r="R10" s="44">
        <f>R24+R52+R39</f>
        <v>45630.590815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256.39624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128.19812</v>
      </c>
      <c r="Q19" s="48">
        <f>D19*M19</f>
        <v>2.392695</v>
      </c>
      <c r="R19" s="48">
        <f>P19+Q19</f>
        <v>130.590815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128.19812</v>
      </c>
      <c r="Q24" s="44">
        <f>SUM(Q19:Q23)</f>
        <v>2.392695</v>
      </c>
      <c r="R24" s="44">
        <f>SUM(R19:R23)</f>
        <v>130.590815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45500</v>
      </c>
      <c r="Q37" s="48">
        <f>D37*M37</f>
        <v>0</v>
      </c>
      <c r="R37" s="48">
        <f>P37+Q37</f>
        <v>45500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45500</v>
      </c>
      <c r="Q39" s="44">
        <f>Q33+Q35+Q36+Q38+Q37</f>
        <v>0</v>
      </c>
      <c r="R39" s="44">
        <f>R33+R35+R36+R38+R37</f>
        <v>45500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9.9390356710037189</v>
      </c>
      <c r="D6" s="72">
        <f>IFERROR(D7/D10,0)</f>
        <v>18.033722166404385</v>
      </c>
      <c r="E6" s="72">
        <f>IFERROR(E7/E10,0)</f>
        <v>1.4685935605719214</v>
      </c>
    </row>
    <row r="7" ht="15" customHeight="1" s="65" customFormat="1">
      <c r="A7" s="71" t="s">
        <v>203</v>
      </c>
      <c r="B7" s="29" t="s">
        <v>204</v>
      </c>
      <c r="C7" s="73">
        <f>'L2'!K8</f>
        <v>89791.98408</v>
      </c>
      <c r="D7" s="73">
        <f>'L2'!I8</f>
        <v>54467.110980000005</v>
      </c>
      <c r="E7" s="73">
        <f>'L2'!J8</f>
        <v>35324.8731</v>
      </c>
    </row>
    <row r="8" ht="15" customHeight="1" s="65" customFormat="1">
      <c r="A8" s="71" t="s">
        <v>205</v>
      </c>
      <c r="B8" s="29" t="s">
        <v>206</v>
      </c>
      <c r="C8" s="73">
        <f>'L3 (A)'!R10</f>
        <v>36137.101043699993</v>
      </c>
      <c r="D8" s="73">
        <f>'L3 (A)'!P10</f>
        <v>12081.1689295</v>
      </c>
      <c r="E8" s="73">
        <f>'L3 (A)'!Q10</f>
        <v>24055.9321142</v>
      </c>
    </row>
    <row r="9" ht="15" customHeight="1" s="65" customFormat="1">
      <c r="A9" s="71" t="s">
        <v>207</v>
      </c>
      <c r="B9" s="29" t="s">
        <v>208</v>
      </c>
      <c r="C9" s="73">
        <f>'L3 (B)'!R10</f>
        <v>45630.590815</v>
      </c>
      <c r="D9" s="73">
        <f>'L3 (B)'!P10</f>
        <v>45628.19812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9034.2752609249983</v>
      </c>
      <c r="D10" s="73">
        <f>D8-MIN(D9,0.75*D8)</f>
        <v>3020.292232374999</v>
      </c>
      <c r="E10" s="73">
        <f>E8-MIN(E9,0.75*E8)</f>
        <v>24053.539419200002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