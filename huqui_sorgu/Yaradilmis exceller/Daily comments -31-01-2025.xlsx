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23970" windowHeight="9000" tabRatio="662" activeTab="2"/>
  </bookViews>
  <sheets>
    <sheet name="Daily" sheetId="13" r:id="rId1"/>
    <sheet name="Sheet2" sheetId="14" state="hidden" r:id="rId2"/>
    <sheet name="Daily-Report" sheetId="1" r:id="rId3"/>
    <sheet name="1" sheetId="12" r:id="rId4"/>
    <sheet name="2a" sheetId="2" r:id="rId5"/>
    <sheet name="2b" sheetId="3" r:id="rId6"/>
    <sheet name="2c" sheetId="4" r:id="rId7"/>
    <sheet name="5 Mal.inst dep ve kreditler" sheetId="7" state="hidden" r:id="rId8"/>
    <sheet name="3" sheetId="5" r:id="rId9"/>
    <sheet name="4" sheetId="6" r:id="rId10"/>
    <sheet name="3.Akkreditivlər" sheetId="16" state="hidden" r:id="rId11"/>
    <sheet name="7.Digər balansarxası öhdəliklər" sheetId="17" state="hidden" r:id="rId12"/>
    <sheet name="5" sheetId="20" r:id="rId13"/>
    <sheet name="6" sheetId="8" r:id="rId14"/>
    <sheet name="6a" sheetId="18" r:id="rId15"/>
    <sheet name="2" sheetId="19" r:id="rId16"/>
    <sheet name="10+11" sheetId="9" r:id="rId17"/>
    <sheet name="13" sheetId="10" r:id="rId18"/>
    <sheet name="14" sheetId="11" r:id="rId19"/>
  </sheets>
  <definedNames>
    <definedName name="_xlnm.Print_Area" localSheetId="2">'Daily-Report'!$A$1:$H$64</definedName>
  </definedNames>
  <calcPr calcId="162913" fullCalcOnLoad="1"/>
</workbook>
</file>

<file path=xl/sharedStrings.xml><?xml version="1.0" encoding="utf-8"?>
<sst xmlns="http://schemas.openxmlformats.org/spreadsheetml/2006/main" count="164" uniqueCount="164">
  <si>
    <t>Açıqlamalar aşağıdakı kimidir</t>
  </si>
  <si>
    <t>AKTİVLƏR</t>
  </si>
  <si>
    <t>CƏMİ</t>
  </si>
  <si>
    <t>MANAT</t>
  </si>
  <si>
    <t>USD</t>
  </si>
  <si>
    <t>EURO</t>
  </si>
  <si>
    <t>RUBL</t>
  </si>
  <si>
    <t>DİGƏR</t>
  </si>
  <si>
    <t>Nağd vəsaitlər</t>
  </si>
  <si>
    <t>Musteri adi</t>
  </si>
  <si>
    <t>Valyutasi</t>
  </si>
  <si>
    <t>min AZN ekvivalentinde</t>
  </si>
  <si>
    <t>FERQ</t>
  </si>
  <si>
    <t>Diger emeliyyatlar (&lt;100k)</t>
  </si>
  <si>
    <r xmlns="http://schemas.openxmlformats.org/spreadsheetml/2006/main">
      <t xml:space="preserve">Xalis artma (azalma) - </t>
    </r>
    <r xmlns="http://schemas.openxmlformats.org/spreadsheetml/2006/main">
      <rPr>
        <b/>
        <sz val="10"/>
        <color indexed="10"/>
        <rFont val="Times New Roman"/>
        <family val="1"/>
      </rPr>
      <t>AZN equal.</t>
    </r>
  </si>
  <si>
    <t>AKTİV VƏ PASSİVLƏRİN VALYUTA STRUKTURU</t>
  </si>
  <si>
    <t>Bank Melli İran Bakı filialı</t>
  </si>
  <si>
    <t>Tarix:31-01-2025</t>
  </si>
  <si>
    <t>Tarix :30-01-2025</t>
  </si>
  <si>
    <t xml:space="preserve"> - </t>
  </si>
  <si>
    <t>I Hissə – Balans hesabatı - valyuta stukturu (min manatla)</t>
  </si>
  <si>
    <t>FƏRQ</t>
  </si>
  <si>
    <t>bax: səhifə</t>
  </si>
  <si>
    <t>1 Nağd vəsaitlər</t>
  </si>
  <si>
    <t>Müxbir hesablar</t>
  </si>
  <si>
    <t>2a</t>
  </si>
  <si>
    <t>AMB</t>
  </si>
  <si>
    <t xml:space="preserve"> 2a AMB</t>
  </si>
  <si>
    <t>2a.1</t>
  </si>
  <si>
    <t>o cümlədən blokda olan vəsaitlər</t>
  </si>
  <si>
    <t>2b</t>
  </si>
  <si>
    <t>Rezident banklarda müxbir hesablar (xalis)</t>
  </si>
  <si>
    <t>2b Rez. banklarda muxbir</t>
  </si>
  <si>
    <t>2b.1</t>
  </si>
  <si>
    <t>2c</t>
  </si>
  <si>
    <t>Qeyri-rezident banklarda müxbir hesablar (xalis)</t>
  </si>
  <si>
    <t>2c Qeyri Rez.banklarda muxbir</t>
  </si>
  <si>
    <t>2c.1</t>
  </si>
  <si>
    <t>Qiymətli kağızlar (xalis)</t>
  </si>
  <si>
    <t xml:space="preserve">3 Qiymətli kağızlar </t>
  </si>
  <si>
    <t>Banklara depozitlər və kreditlər (xalis)</t>
  </si>
  <si>
    <t>4 banklara dep ve kreditler</t>
  </si>
  <si>
    <t>4a</t>
  </si>
  <si>
    <t xml:space="preserve">Banklara depozitlər və kreditlər üzrə məqsədli ehtiyatlar </t>
  </si>
  <si>
    <t>Maliyyə institutlarına depozitlər və kreditlər (xalis)</t>
  </si>
  <si>
    <t>5 Mal.inst dep ve kreditler</t>
  </si>
  <si>
    <t>5a</t>
  </si>
  <si>
    <t>Maliyyə institutlarına depozitlər və kreditlər üzrə məqsədli ehtiyatlar</t>
  </si>
  <si>
    <t>Müştərilərə verilən kreditlər və lizinqlər</t>
  </si>
  <si>
    <t>6.Musterilere verilen kreditler</t>
  </si>
  <si>
    <t>6a</t>
  </si>
  <si>
    <t>Kreditlər üzrə məqsədli ehtiyatlar</t>
  </si>
  <si>
    <t>6b</t>
  </si>
  <si>
    <t>Müştərilərə verilən kreditlər (xalis)</t>
  </si>
  <si>
    <t>Amortizasiya çıxılmaqla əsas vəsaitlər (bank işində istifadə olunmayan əsas vəsaitlər daxil olmaqla)</t>
  </si>
  <si>
    <t>İnvestisiyalar və maliyyə iştirakı (xalis)</t>
  </si>
  <si>
    <t>Digər aktivlər (xalis)</t>
  </si>
  <si>
    <t>9a</t>
  </si>
  <si>
    <t>O cümlədən, hesablanmış alınası faizlər (xalis)</t>
  </si>
  <si>
    <t>9b</t>
  </si>
  <si>
    <t xml:space="preserve">hesablanmış alınası faizlər üzrə məqsədli ehtiyatlar </t>
  </si>
  <si>
    <t>Digər məqsədli ehtiyatlar (4a,5a,6a,9b bəndləri istisna olmaqla)</t>
  </si>
  <si>
    <t>AKTİVLƏR CƏMİ</t>
  </si>
  <si>
    <t>PASSİVLƏR</t>
  </si>
  <si>
    <t>Tələbli depozitləri</t>
  </si>
  <si>
    <t>10a</t>
  </si>
  <si>
    <t>Hüquqi şəxslər</t>
  </si>
  <si>
    <t>10 telebli ve 11muddetli dep+</t>
  </si>
  <si>
    <t>10b</t>
  </si>
  <si>
    <t>Fiziki şəxslər</t>
  </si>
  <si>
    <t>Müddətli depozitləri</t>
  </si>
  <si>
    <t>11a</t>
  </si>
  <si>
    <t>11b</t>
  </si>
  <si>
    <t>AMB-nin banka qarşı tələbi</t>
  </si>
  <si>
    <t>Bankların tələbləri (Loro)</t>
  </si>
  <si>
    <t>13 banklarin telebleri loro</t>
  </si>
  <si>
    <t>Maliyyə sektoru institutlarından cəlb edilən vəsaitlər</t>
  </si>
  <si>
    <t>14a</t>
  </si>
  <si>
    <t>Bankların depozitləri və kreditləri</t>
  </si>
  <si>
    <t>14c</t>
  </si>
  <si>
    <t>Maliyyə institutlarının depozitləri və kreditləri</t>
  </si>
  <si>
    <t>14 mal.inst celb edilen vesait+</t>
  </si>
  <si>
    <t>Digər öhdəliklər</t>
  </si>
  <si>
    <t>REPO EMELIYYATI</t>
  </si>
  <si>
    <t>15a</t>
  </si>
  <si>
    <t>O cümlədən, hesablanmış ödəniləsi faizlər</t>
  </si>
  <si>
    <t>PASSİVLƏR CƏMİ</t>
  </si>
  <si>
    <t xml:space="preserve">Balans kapital </t>
  </si>
  <si>
    <t>O cümlədən, cari ilin xalis mənfəəti</t>
  </si>
  <si>
    <t>ÖHDƏLİKLƏR VƏ KAPİTALIN cəmi</t>
  </si>
  <si>
    <t>II Hissə – Balansdankənar hesabat - valyuta stukturu (min manatla)</t>
  </si>
  <si>
    <t>BALANSARXASI ÖHDƏLİKLƏR</t>
  </si>
  <si>
    <t>Qarantiyalar</t>
  </si>
  <si>
    <t>Kredit xətləri</t>
  </si>
  <si>
    <t>Akkreditivlər</t>
  </si>
  <si>
    <t>Forvard</t>
  </si>
  <si>
    <t>Fyuçers</t>
  </si>
  <si>
    <t xml:space="preserve">Svop </t>
  </si>
  <si>
    <t>Digər balansarxası öhdəliklər</t>
  </si>
  <si>
    <t xml:space="preserve">BALANSARXASI ÖHDƏLİKLƏR CƏMİ </t>
  </si>
  <si>
    <t>BALANSARXASI TƏLƏBLƏR</t>
  </si>
  <si>
    <t>Alınmış kredit xətləri</t>
  </si>
  <si>
    <t>Ümidsiz borclar</t>
  </si>
  <si>
    <t xml:space="preserve">BALANSARXASI TƏLƏBLƏR CƏMİ </t>
  </si>
  <si>
    <t>Əlavə məlumatlar</t>
  </si>
  <si>
    <t>Fiziki şəxslərin tələbli depozitlərinə mədaxil</t>
  </si>
  <si>
    <t>Fiziki şəxslərin müddətli depozitlərinə mədaxil</t>
  </si>
  <si>
    <t>Fiziki şəxslərin tələbli depozitlərindən məxaric</t>
  </si>
  <si>
    <t>Fiziki şəxslərin müddətli depozitlərindən məxaric</t>
  </si>
  <si>
    <t>Hüquqi şəxslərin tələbli depozitlərinə mədaxil</t>
  </si>
  <si>
    <t>Hüquqi şəxslərin müddətli depozitlərinə mədaxil</t>
  </si>
  <si>
    <t>Hüquqi şəxslərin tələbli depozitlərindən məxaric</t>
  </si>
  <si>
    <t>Hüquqi şəxslərin müddətli depozitlərindən məxaric</t>
  </si>
  <si>
    <t>Gün ərzində cəmi verilmiş kreditlər</t>
  </si>
  <si>
    <t>Gün ərzində qaytarılmış kreditlər</t>
  </si>
  <si>
    <t>Vaxtı keçmiş kreditlər (30+)</t>
  </si>
  <si>
    <t>O cümlədən qeyri-işlək kreditlər (90+)</t>
  </si>
  <si>
    <t>Likvid aktivlər/cari öhdəliklər</t>
  </si>
  <si>
    <t>Likvid aktivlər/cəmi aktivlər</t>
  </si>
  <si>
    <t>Gün ərzində verilmiş istehlak kreditləri</t>
  </si>
  <si>
    <t>Biznes kreditləri ( günün sonuna qalığı)</t>
  </si>
  <si>
    <t>İstehlak kreditləri (günün sonuna qalığı)</t>
  </si>
  <si>
    <t>o cümlədən ipoteka kreditləri (günün sonuna qalığı)</t>
  </si>
  <si>
    <t>min manatla</t>
  </si>
  <si>
    <t>N</t>
  </si>
  <si>
    <t>Bankın adı</t>
  </si>
  <si>
    <t>Aktivlərdə xalis dəyişmə</t>
  </si>
  <si>
    <t>Aktivlərdə xalis dəyişmə,%-lə</t>
  </si>
  <si>
    <t>Likvid aktivlər/cari öhdəliklər, %-lə</t>
  </si>
  <si>
    <t>Likvid aktivlər/cəmi aktivlər,%-lə</t>
  </si>
  <si>
    <t>KP-nin əsas məbləği üzrə məqsədli ehtiyatlarda dəyişmə, %-lə</t>
  </si>
  <si>
    <t>Gün ərzində fiziki şəxslərin müddətli əmanətlərində xalis dəyişmə,%</t>
  </si>
  <si>
    <r xmlns="http://schemas.openxmlformats.org/spreadsheetml/2006/main">
      <t xml:space="preserve">Cari ilin mənfəətində </t>
    </r>
    <r xmlns="http://schemas.openxmlformats.org/spreadsheetml/2006/main">
      <rPr>
        <b/>
        <sz val="9"/>
        <color rgb="FFFF0000"/>
        <rFont val="Arial"/>
        <family val="2"/>
      </rPr>
      <t>(zərərində)</t>
    </r>
    <r xmlns="http://schemas.openxmlformats.org/spreadsheetml/2006/main">
      <rPr>
        <b/>
        <sz val="9"/>
        <color theme="1"/>
        <rFont val="Arial"/>
        <family val="2"/>
      </rPr>
      <t xml:space="preserve"> dəyişmə</t>
    </r>
  </si>
  <si>
    <t>Balans kapitalında xalis dəyişmə,%-lə</t>
  </si>
  <si>
    <t>Gün ərzində verilmiş kreditlər,cəmi</t>
  </si>
  <si>
    <t>BANKIN ADI</t>
  </si>
  <si>
    <t>Balans məlumatları və digər maliyyə göstəricilərinin gündəlik dəyişməsi hesabatı</t>
  </si>
  <si>
    <t xml:space="preserve"> Balans hesabatı </t>
  </si>
  <si>
    <t>Bank Melli İran</t>
  </si>
  <si>
    <t>Fərq,%-lə</t>
  </si>
  <si>
    <t>Fərq məbləğlə</t>
  </si>
  <si>
    <t>Balansdankənar hesabat - (min manatla)</t>
  </si>
  <si>
    <t>Qeyd 1</t>
  </si>
  <si>
    <t>Gün ərzində cəmi verilmiş kreditləri və Gün ərzində verilmiş istehlak kreditlərini hesablayarkən restrukturizasiya olunmuş, uzadılmış kreditlər nəzərə alınmamalıdır, sırf yeni verilmiş kreditlər nəzərə alınır. İstifadə olunmuş kredit xəttləri nəzərə alınmalıdır.</t>
  </si>
  <si>
    <t>Qeyd 2</t>
  </si>
  <si>
    <t>Likvid aktivlərin hesablanmasında prudensial hesabatdakı M5 yanaşması, cari öhdəliklərin hesablanmasında prudensialdakı M6 yanaşması nəzərə alınmalıdır.</t>
  </si>
  <si>
    <t>Biznes kreditləri ( günün sonuna qalığı )</t>
  </si>
  <si>
    <t>o cümlədən ipoteka kreditləri (günün sonuna qalığı )</t>
  </si>
  <si>
    <t>AZN</t>
  </si>
  <si>
    <t>ehtiyatın % dərəcəsi</t>
  </si>
  <si>
    <t>Balansdankənar hesabat</t>
  </si>
  <si>
    <t>Balansdankənar</t>
  </si>
  <si>
    <t>Telebli Dep+</t>
  </si>
  <si>
    <t>Muddetli Dep+</t>
  </si>
  <si>
    <t>PASSIVLƏR</t>
  </si>
  <si>
    <t>10a Hüquqi şəxslər</t>
  </si>
  <si>
    <t>musteri no:</t>
  </si>
  <si>
    <t>valyuta</t>
  </si>
  <si>
    <t>min AZN ekv.</t>
  </si>
  <si>
    <t>10b Fiziki şəxslər</t>
  </si>
  <si>
    <t>11a Hüquqi şəxslər</t>
  </si>
  <si>
    <t>11b Fiziki şəxslər</t>
  </si>
  <si>
    <t>Diger emeliyyatlar (&lt;150k)</t>
  </si>
  <si>
    <t>Xalis artma (azalma) - AZN equal.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</si>
</sst>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,##0.00_-;\-* #,##0.00_-;_-* &quot;-&quot;??_-;_-@_-"/>
    <numFmt numFmtId="165" formatCode="&quot;£&quot;#,##0;\-&quot;£&quot;#,##0"/>
    <numFmt numFmtId="166" formatCode="_-* #,##0.00_р_._-;\-* #,##0.00_р_._-;_-* &quot;-&quot;??_р_._-;_-@_-"/>
    <numFmt numFmtId="167" formatCode="_(* #,##0_);_(* \(#,##0\);_(* &quot;-&quot;??_);_(@_)"/>
    <numFmt numFmtId="168" formatCode="dd/mm/yy;@"/>
    <numFmt numFmtId="169" formatCode="_-* #,##0_-;\-* #,##0_-;_-* &quot;-&quot;??_-;_-@_-"/>
    <numFmt numFmtId="170" formatCode="0.0000"/>
    <numFmt numFmtId="171" formatCode="[$-409]d\-mmm\-yy;@"/>
    <numFmt numFmtId="172" formatCode="_-* #,##0.0000_р_._-;\-* #,##0.0000_р_._-;_-* &quot;-&quot;??_р_._-;_-@_-"/>
    <numFmt numFmtId="173" formatCode="0.0000000"/>
  </numFmts>
  <fonts count="67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charset val="204"/>
    </font>
    <font>
      <b/>
      <sz val="11"/>
      <color indexed="8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22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0"/>
      <color rgb="FF00008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i/>
      <sz val="11"/>
      <name val="Times New Roman"/>
      <family val="1"/>
    </font>
    <font>
      <b/>
      <i/>
      <sz val="11"/>
      <color rgb="FFFF0000"/>
      <name val="Times New Roman"/>
      <family val="1"/>
    </font>
    <font>
      <b/>
      <sz val="12"/>
      <color indexed="8"/>
      <name val="Times New Roman"/>
      <family val="1"/>
    </font>
    <font>
      <b/>
      <i/>
      <sz val="12"/>
      <name val="Times New Roman"/>
      <family val="1"/>
    </font>
    <font>
      <b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i/>
      <sz val="11"/>
      <name val="Times New Roman"/>
      <family val="1"/>
    </font>
    <font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0" fillId="0" borderId="0"/>
    <xf numFmtId="0" applyNumberFormat="0" fontId="36" applyFont="1" fillId="21" applyFill="1" borderId="0" applyBorder="0" applyProtection="0" applyAlignment="0"/>
    <xf numFmtId="0" applyNumberFormat="0" fontId="36" applyFont="1" fillId="25" applyFill="1" borderId="0" applyBorder="0" applyProtection="0" applyAlignment="0"/>
    <xf numFmtId="0" applyNumberFormat="0" fontId="36" applyFont="1" fillId="29" applyFill="1" borderId="0" applyBorder="0" applyProtection="0" applyAlignment="0"/>
    <xf numFmtId="0" applyNumberFormat="0" fontId="36" applyFont="1" fillId="33" applyFill="1" borderId="0" applyBorder="0" applyProtection="0" applyAlignment="0"/>
    <xf numFmtId="0" applyNumberFormat="0" fontId="36" applyFont="1" fillId="37" applyFill="1" borderId="0" applyBorder="0" applyProtection="0" applyAlignment="0"/>
    <xf numFmtId="0" applyNumberFormat="0" fontId="36" applyFont="1" fillId="41" applyFill="1" borderId="0" applyBorder="0" applyProtection="0" applyAlignment="0"/>
    <xf numFmtId="0" applyNumberFormat="0" fontId="36" applyFont="1" fillId="22" applyFill="1" borderId="0" applyBorder="0" applyProtection="0" applyAlignment="0"/>
    <xf numFmtId="0" applyNumberFormat="0" fontId="36" applyFont="1" fillId="26" applyFill="1" borderId="0" applyBorder="0" applyProtection="0" applyAlignment="0"/>
    <xf numFmtId="0" applyNumberFormat="0" fontId="36" applyFont="1" fillId="30" applyFill="1" borderId="0" applyBorder="0" applyProtection="0" applyAlignment="0"/>
    <xf numFmtId="0" applyNumberFormat="0" fontId="36" applyFont="1" fillId="34" applyFill="1" borderId="0" applyBorder="0" applyProtection="0" applyAlignment="0"/>
    <xf numFmtId="0" applyNumberFormat="0" fontId="36" applyFont="1" fillId="38" applyFill="1" borderId="0" applyBorder="0" applyProtection="0" applyAlignment="0"/>
    <xf numFmtId="0" applyNumberFormat="0" fontId="36" applyFont="1" fillId="42" applyFill="1" borderId="0" applyBorder="0" applyProtection="0" applyAlignment="0"/>
    <xf numFmtId="0" applyNumberFormat="0" fontId="63" applyFont="1" fillId="23" applyFill="1" borderId="0" applyBorder="0" applyProtection="0" applyAlignment="0"/>
    <xf numFmtId="0" applyNumberFormat="0" fontId="63" applyFont="1" fillId="27" applyFill="1" borderId="0" applyBorder="0" applyProtection="0" applyAlignment="0"/>
    <xf numFmtId="0" applyNumberFormat="0" fontId="63" applyFont="1" fillId="31" applyFill="1" borderId="0" applyBorder="0" applyProtection="0" applyAlignment="0"/>
    <xf numFmtId="0" applyNumberFormat="0" fontId="63" applyFont="1" fillId="35" applyFill="1" borderId="0" applyBorder="0" applyProtection="0" applyAlignment="0"/>
    <xf numFmtId="0" applyNumberFormat="0" fontId="63" applyFont="1" fillId="39" applyFill="1" borderId="0" applyBorder="0" applyProtection="0" applyAlignment="0"/>
    <xf numFmtId="0" applyNumberFormat="0" fontId="63" applyFont="1" fillId="43" applyFill="1" borderId="0" applyBorder="0" applyProtection="0" applyAlignment="0"/>
    <xf numFmtId="0" applyNumberFormat="0" fontId="63" applyFont="1" fillId="20" applyFill="1" borderId="0" applyBorder="0" applyProtection="0" applyAlignment="0"/>
    <xf numFmtId="0" applyNumberFormat="0" fontId="63" applyFont="1" fillId="24" applyFill="1" borderId="0" applyBorder="0" applyProtection="0" applyAlignment="0"/>
    <xf numFmtId="0" applyNumberFormat="0" fontId="63" applyFont="1" fillId="28" applyFill="1" borderId="0" applyBorder="0" applyProtection="0" applyAlignment="0"/>
    <xf numFmtId="0" applyNumberFormat="0" fontId="63" applyFont="1" fillId="32" applyFill="1" borderId="0" applyBorder="0" applyProtection="0" applyAlignment="0"/>
    <xf numFmtId="0" applyNumberFormat="0" fontId="63" applyFont="1" fillId="36" applyFill="1" borderId="0" applyBorder="0" applyProtection="0" applyAlignment="0"/>
    <xf numFmtId="0" applyNumberFormat="0" fontId="63" applyFont="1" fillId="40" applyFill="1" borderId="0" applyBorder="0" applyProtection="0" applyAlignment="0"/>
    <xf numFmtId="0" applyNumberFormat="0" fontId="53" applyFont="1" fillId="14" applyFill="1" borderId="0" applyBorder="0" applyProtection="0" applyAlignment="0"/>
    <xf numFmtId="0" applyNumberFormat="0" fontId="57" applyFont="1" fillId="17" applyFill="1" borderId="29" applyBorder="1" applyProtection="0" applyAlignment="0"/>
    <xf numFmtId="0" applyNumberFormat="0" fontId="59" applyFont="1" fillId="18" applyFill="1" borderId="32" applyBorder="1" applyProtection="0" applyAlignment="0"/>
    <xf numFmtId="166" applyNumberFormat="1" fontId="1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6" applyNumberFormat="1" fontId="1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5" applyNumberFormat="1" fontId="8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5" applyNumberFormat="1" fontId="1" applyFont="0" fillId="0" applyFill="0" borderId="0" applyBorder="0" applyProtection="0" applyAlignment="0"/>
    <xf numFmtId="165" applyNumberFormat="1" fontId="66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36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6" applyNumberFormat="1" fontId="36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166" applyNumberFormat="1" fontId="36" applyFont="0" fillId="0" applyFill="0" borderId="0" applyBorder="0" applyProtection="0" applyAlignment="0"/>
    <xf numFmtId="164" applyNumberFormat="1" fontId="65" applyFont="0" fillId="0" applyFill="0" borderId="0" applyBorder="0" applyProtection="0" applyAlignment="0"/>
    <xf numFmtId="0" applyNumberFormat="0" fontId="61" applyFont="1" fillId="0" applyFill="0" borderId="0" applyBorder="0" applyProtection="0" applyAlignment="0"/>
    <xf numFmtId="0" applyNumberFormat="0" fontId="52" applyFont="1" fillId="13" applyFill="1" borderId="0" applyBorder="0" applyProtection="0" applyAlignment="0"/>
    <xf numFmtId="0" applyNumberFormat="0" fontId="49" applyFont="1" fillId="0" applyFill="0" borderId="26" applyBorder="1" applyProtection="0" applyAlignment="0"/>
    <xf numFmtId="0" applyNumberFormat="0" fontId="50" applyFont="1" fillId="0" applyFill="0" borderId="27" applyBorder="1" applyProtection="0" applyAlignment="0"/>
    <xf numFmtId="0" applyNumberFormat="0" fontId="51" applyFont="1" fillId="0" applyFill="0" borderId="28" applyBorder="1" applyProtection="0" applyAlignment="0"/>
    <xf numFmtId="0" applyNumberFormat="0" fontId="51" applyFont="1" fillId="0" applyFill="0" borderId="0" applyBorder="0" applyProtection="0" applyAlignment="0"/>
    <xf numFmtId="0" applyNumberFormat="0" fontId="55" applyFont="1" fillId="16" applyFill="1" borderId="29" applyBorder="1" applyProtection="0" applyAlignment="0"/>
    <xf numFmtId="0" applyNumberFormat="0" fontId="58" applyFont="1" fillId="0" applyFill="0" borderId="31" applyBorder="1" applyProtection="0" applyAlignment="0"/>
    <xf numFmtId="0" applyNumberFormat="0" fontId="54" applyFont="1" fillId="15" applyFill="1" borderId="0" applyBorder="0" applyProtection="0" applyAlignment="0"/>
    <xf numFmtId="0" fontId="35" applyFont="1" fillId="0" borderId="0"/>
    <xf numFmtId="0" fontId="35" applyFont="1" fillId="0" borderId="0"/>
    <xf numFmtId="0" fontId="8" applyFont="1" fillId="0" borderId="0"/>
    <xf numFmtId="0" fontId="35" applyFont="1" fillId="0" borderId="0"/>
    <xf numFmtId="0" fontId="35" applyFont="1" fillId="0" borderId="0"/>
    <xf numFmtId="0" fontId="35" applyFont="1" fillId="0" borderId="0"/>
    <xf numFmtId="0" fontId="35" applyFont="1" fillId="0" borderId="0"/>
    <xf numFmtId="0" fontId="36" applyFont="1" fillId="0" borderId="0"/>
    <xf numFmtId="0" fontId="36" applyFont="1" fillId="0" borderId="0"/>
    <xf numFmtId="0" fontId="36" applyFont="1" fillId="0" borderId="0"/>
    <xf numFmtId="0" fontId="36" applyFont="1" fillId="0" borderId="0"/>
    <xf numFmtId="0" fontId="36" applyFont="1" fillId="0" borderId="0"/>
    <xf numFmtId="0" fontId="36" applyFont="1" fillId="0" borderId="0"/>
    <xf numFmtId="0" fontId="36" applyFont="1" fillId="0" borderId="0"/>
    <xf numFmtId="0" fontId="36" applyFont="1" fillId="0" borderId="0"/>
    <xf numFmtId="0" applyNumberFormat="0" fontId="64" applyFont="1" fillId="0" borderId="0" applyBorder="0" applyProtection="0" applyAlignment="0"/>
    <xf numFmtId="0" fontId="65" applyFont="1" fillId="0" borderId="0"/>
    <xf numFmtId="0" applyNumberFormat="0" fontId="36" applyFont="0" fillId="19" applyFill="1" borderId="33" applyBorder="1" applyProtection="0" applyAlignment="0"/>
    <xf numFmtId="0" applyNumberFormat="0" fontId="56" applyFont="1" fillId="17" applyFill="1" borderId="30" applyBorder="1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36" applyFont="0" fillId="0" applyFill="0" borderId="0" applyBorder="0" applyProtection="0" applyAlignment="0"/>
    <xf numFmtId="9" applyNumberFormat="1" fontId="65" applyFont="0" fillId="0" applyFill="0" borderId="0" applyBorder="0" applyProtection="0" applyAlignment="0"/>
    <xf numFmtId="0" applyNumberFormat="0" fontId="48" applyFont="1" fillId="0" applyFill="0" borderId="0" applyBorder="0" applyProtection="0" applyAlignment="0"/>
    <xf numFmtId="0" applyNumberFormat="0" fontId="62" applyFont="1" fillId="0" applyFill="0" borderId="34" applyBorder="1" applyProtection="0" applyAlignment="0"/>
    <xf numFmtId="0" applyNumberFormat="0" fontId="60" applyFont="1" fillId="0" applyFill="0" borderId="0" applyBorder="0" applyProtection="0" applyAlignment="0"/>
  </cellStyleXfs>
  <cellXfs count="254">
    <xf numFmtId="0" fontId="0" fillId="0" borderId="0" xfId="0"/>
    <xf numFmtId="0" fontId="4" applyFont="1" fillId="0" borderId="0" xfId="0" applyAlignment="1">
      <alignment horizontal="center" vertical="center" wrapText="1"/>
    </xf>
    <xf numFmtId="0" fontId="3" applyFont="1" fillId="0" borderId="1" applyBorder="1" xfId="0" applyAlignment="1">
      <alignment horizontal="left" vertical="center" wrapText="1"/>
    </xf>
    <xf numFmtId="0" fontId="2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5" applyFont="1" fillId="0" borderId="1" applyBorder="1" xfId="0" applyAlignment="1">
      <alignment horizontal="center" vertical="center" wrapText="1"/>
    </xf>
    <xf numFmtId="0" fontId="2" applyFont="1" fillId="0" borderId="1" applyBorder="1" xfId="0" applyAlignment="1">
      <alignment horizontal="left" vertical="center" wrapText="1" indent="1"/>
    </xf>
    <xf numFmtId="0" fontId="6" applyFont="1" fillId="0" borderId="0" xfId="0" applyAlignment="1">
      <alignment vertical="center"/>
    </xf>
    <xf numFmtId="166" applyNumberFormat="1" fontId="6" applyFont="1" fillId="0" borderId="0" applyBorder="1" xfId="28" applyAlignment="1">
      <alignment vertical="center"/>
    </xf>
    <xf numFmtId="166" applyNumberFormat="1" fontId="6" applyFont="1" fillId="0" borderId="0" xfId="28" applyAlignment="1">
      <alignment vertical="center"/>
    </xf>
    <xf numFmtId="0" fontId="3" applyFont="1" fillId="0" borderId="0" xfId="0" applyAlignment="1">
      <alignment horizontal="center" vertical="center" wrapText="1"/>
    </xf>
    <xf numFmtId="164" applyNumberFormat="1" fontId="7" applyFont="1" fillId="0" borderId="0" xfId="0" applyAlignment="1">
      <alignment horizontal="center" vertical="center" wrapText="1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1" applyBorder="1" xfId="0" applyAlignment="1">
      <alignment horizontal="left" vertical="center" wrapText="1"/>
    </xf>
    <xf numFmtId="166" applyNumberFormat="1" fontId="9" applyFont="1" fillId="2" applyFill="1" borderId="1" applyBorder="1" xfId="28" applyAlignment="1">
      <alignment horizontal="left" vertical="center"/>
    </xf>
    <xf numFmtId="166" applyNumberFormat="1" fontId="10" applyFont="1" fillId="3" applyFill="1" borderId="1" applyBorder="1" xfId="28" applyAlignment="1">
      <alignment horizontal="center" vertical="center" wrapText="1"/>
    </xf>
    <xf numFmtId="166" applyNumberFormat="1" fontId="6" applyFont="1" fillId="3" applyFill="1" borderId="1" applyBorder="1" xfId="28" applyAlignment="1">
      <alignment horizontal="left" vertical="center"/>
    </xf>
    <xf numFmtId="166" applyNumberFormat="1" fontId="10" applyFont="1" fillId="4" applyFill="1" borderId="1" applyBorder="1" xfId="28" applyAlignment="1">
      <alignment horizontal="center" vertical="center" wrapText="1"/>
    </xf>
    <xf numFmtId="166" applyNumberFormat="1" fontId="6" applyFont="1" fillId="4" applyFill="1" borderId="1" applyBorder="1" xfId="28" applyAlignment="1">
      <alignment horizontal="left" vertical="center"/>
    </xf>
    <xf numFmtId="166" applyNumberFormat="1" fontId="9" applyFont="1" fillId="5" applyFill="1" borderId="1" applyBorder="1" xfId="28" applyAlignment="1">
      <alignment horizontal="left" vertical="center"/>
    </xf>
    <xf numFmtId="164" applyNumberFormat="1" fontId="11" applyFont="1" fillId="3" applyFill="1" borderId="1" applyBorder="1" xfId="0" applyAlignment="1">
      <alignment horizontal="center" vertical="center" wrapText="1"/>
    </xf>
    <xf numFmtId="166" applyNumberFormat="1" fontId="9" applyFont="1" fillId="3" applyFill="1" borderId="1" applyBorder="1" xfId="28" applyAlignment="1">
      <alignment horizontal="left" vertical="center"/>
    </xf>
    <xf numFmtId="166" applyNumberFormat="1" fontId="6" applyFont="1" fillId="0" applyFill="1" borderId="1" applyBorder="1" xfId="28" applyAlignment="1">
      <alignment horizontal="left" vertical="center"/>
    </xf>
    <xf numFmtId="0" fontId="2" applyFont="1" fillId="0" borderId="2" applyBorder="1" xfId="0" applyAlignment="1">
      <alignment horizontal="left" vertical="center" wrapText="1" indent="1"/>
    </xf>
    <xf numFmtId="164" applyNumberFormat="1" fontId="13" applyFont="1" fillId="0" borderId="0" xfId="0" applyAlignment="1">
      <alignment horizontal="center" vertical="center" wrapText="1"/>
    </xf>
    <xf numFmtId="166" applyNumberFormat="1" fontId="6" applyFont="1" fillId="0" borderId="0" applyBorder="1" xfId="30" applyAlignment="1">
      <alignment vertical="center"/>
    </xf>
    <xf numFmtId="166" applyNumberFormat="1" fontId="10" applyFont="1" fillId="3" applyFill="1" borderId="1" applyBorder="1" xfId="30" applyAlignment="1">
      <alignment horizontal="center" vertical="center" wrapText="1"/>
    </xf>
    <xf numFmtId="166" applyNumberFormat="1" fontId="9" applyFont="1" fillId="2" applyFill="1" borderId="1" applyBorder="1" xfId="30" applyAlignment="1">
      <alignment horizontal="left" vertical="center"/>
    </xf>
    <xf numFmtId="166" applyNumberFormat="1" fontId="9" applyFont="1" fillId="3" applyFill="1" borderId="1" applyBorder="1" xfId="30" applyAlignment="1">
      <alignment horizontal="left" vertical="center"/>
    </xf>
    <xf numFmtId="166" applyNumberFormat="1" fontId="6" applyFont="1" fillId="3" applyFill="1" borderId="1" applyBorder="1" xfId="30" applyAlignment="1">
      <alignment horizontal="left" vertical="center"/>
    </xf>
    <xf numFmtId="166" applyNumberFormat="1" fontId="10" applyFont="1" fillId="4" applyFill="1" borderId="1" applyBorder="1" xfId="30" applyAlignment="1">
      <alignment horizontal="center" vertical="center" wrapText="1"/>
    </xf>
    <xf numFmtId="166" applyNumberFormat="1" fontId="9" applyFont="1" fillId="5" applyFill="1" borderId="1" applyBorder="1" xfId="30" applyAlignment="1">
      <alignment horizontal="left" vertical="center"/>
    </xf>
    <xf numFmtId="166" applyNumberFormat="1" fontId="6" applyFont="1" fillId="4" applyFill="1" borderId="1" applyBorder="1" xfId="30" applyAlignment="1">
      <alignment horizontal="left" vertical="center"/>
    </xf>
    <xf numFmtId="166" applyNumberFormat="1" fontId="6" applyFont="1" fillId="0" applyFill="1" borderId="1" applyBorder="1" xfId="30" applyAlignment="1">
      <alignment horizontal="left" vertical="center"/>
    </xf>
    <xf numFmtId="0" fontId="7" applyFont="1" fillId="6" applyFill="1" borderId="0" xfId="0" applyAlignment="1">
      <alignment horizontal="center" vertical="center" wrapText="1"/>
    </xf>
    <xf numFmtId="0" fontId="9" applyFont="1" fillId="0" borderId="0" xfId="0" applyAlignment="1">
      <alignment horizontal="left" vertical="center"/>
    </xf>
    <xf numFmtId="0" fontId="7" applyFont="1" fillId="6" applyFill="1" borderId="0" xfId="0" applyAlignment="1">
      <alignment horizontal="right" vertical="center"/>
    </xf>
    <xf numFmtId="166" applyNumberFormat="1" fontId="9" applyFont="1" fillId="7" applyFill="1" borderId="1" applyBorder="1" xfId="30" applyAlignment="1">
      <alignment horizontal="left" vertical="center"/>
    </xf>
    <xf numFmtId="0" fontId="2" applyFont="1" fillId="0" borderId="0" xfId="0" applyAlignment="1">
      <alignment horizontal="left" vertical="center" wrapText="1" indent="1"/>
    </xf>
    <xf numFmtId="166" applyNumberFormat="1" fontId="6" applyFont="1" fillId="0" applyFill="1" borderId="0" applyBorder="1" xfId="28" applyAlignment="1">
      <alignment horizontal="left" vertical="center"/>
    </xf>
    <xf numFmtId="0" fontId="3" applyFont="1" fillId="7" applyFill="1" borderId="0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166" applyNumberFormat="1" fontId="6" applyFont="1" fillId="0" applyFill="1" borderId="0" applyBorder="1" xfId="30" applyAlignment="1">
      <alignment horizontal="left" vertical="center"/>
    </xf>
    <xf numFmtId="0" fontId="4" applyFont="1" fillId="0" borderId="0" xfId="0" applyAlignment="1">
      <alignment horizontal="left" vertical="center" wrapText="1"/>
    </xf>
    <xf numFmtId="4" applyNumberFormat="1" fontId="4" applyFont="1" fillId="7" applyFill="1" borderId="0" xfId="0" applyAlignment="1">
      <alignment horizontal="center" vertical="center" wrapText="1"/>
    </xf>
    <xf numFmtId="164" applyNumberFormat="1" fontId="6" applyFont="1" fillId="0" borderId="0" xfId="51" applyAlignment="1">
      <alignment horizontal="center" vertical="center"/>
    </xf>
    <xf numFmtId="164" applyNumberFormat="1" fontId="6" applyFont="1" fillId="0" borderId="0" xfId="51" applyAlignment="1">
      <alignment vertical="center"/>
    </xf>
    <xf numFmtId="0" fontId="6" applyFont="1" fillId="0" borderId="0" xfId="103" applyAlignment="1">
      <alignment vertical="center"/>
    </xf>
    <xf numFmtId="0" fontId="4" applyFont="1" fillId="0" borderId="0" xfId="103" applyAlignment="1">
      <alignment horizontal="center" vertical="center" wrapText="1"/>
    </xf>
    <xf numFmtId="164" applyNumberFormat="1" fontId="0" applyFont="1" fillId="0" borderId="0" xfId="51" applyAlignment="1">
      <alignment horizontal="center" vertical="center"/>
    </xf>
    <xf numFmtId="9" applyNumberFormat="1" fontId="9" applyFont="1" fillId="2" applyFill="1" borderId="1" applyBorder="1" xfId="116" applyAlignment="1">
      <alignment horizontal="center" vertical="center"/>
    </xf>
    <xf numFmtId="0" fontId="3" applyFont="1" fillId="0" borderId="1" applyBorder="1" xfId="103" applyAlignment="1">
      <alignment horizontal="center" vertical="center" wrapText="1"/>
    </xf>
    <xf numFmtId="0" fontId="6" applyFont="1" fillId="0" borderId="1" applyBorder="1" xfId="103" applyAlignment="1">
      <alignment vertical="center"/>
    </xf>
    <xf numFmtId="0" fontId="6" applyFont="1" fillId="0" borderId="1" applyBorder="1" xfId="103" applyAlignment="1">
      <alignment horizontal="right" vertical="center"/>
    </xf>
    <xf numFmtId="164" applyNumberFormat="1" fontId="16" applyFont="1" fillId="3" applyFill="1" borderId="1" applyBorder="1" xfId="51" applyAlignment="1">
      <alignment horizontal="center" vertical="center" wrapText="1"/>
    </xf>
    <xf numFmtId="9" applyNumberFormat="1" fontId="16" applyFont="1" fillId="3" applyFill="1" borderId="1" applyBorder="1" xfId="116" applyAlignment="1">
      <alignment horizontal="center" vertical="center" wrapText="1"/>
    </xf>
    <xf numFmtId="167" applyNumberFormat="1" fontId="9" applyFont="1" fillId="2" applyFill="1" borderId="1" applyBorder="1" xfId="51" applyAlignment="1">
      <alignment horizontal="center" vertical="center"/>
    </xf>
    <xf numFmtId="164" applyNumberFormat="1" fontId="17" applyFont="1" fillId="0" applyFill="1" borderId="1" applyBorder="1" xfId="51" applyAlignment="1">
      <alignment horizontal="left" vertical="center"/>
    </xf>
    <xf numFmtId="0" fontId="3" applyFont="1" fillId="0" borderId="1" applyBorder="1" xfId="103" applyAlignment="1">
      <alignment horizontal="left" vertical="center" wrapText="1"/>
    </xf>
    <xf numFmtId="164" applyNumberFormat="1" fontId="9" applyFont="1" fillId="3" applyFill="1" borderId="1" applyBorder="1" xfId="51" applyAlignment="1">
      <alignment horizontal="center" vertical="center"/>
    </xf>
    <xf numFmtId="9" applyNumberFormat="1" fontId="9" applyFont="1" fillId="3" applyFill="1" borderId="1" applyBorder="1" xfId="116" applyAlignment="1">
      <alignment horizontal="center" vertical="center"/>
    </xf>
    <xf numFmtId="164" applyNumberFormat="1" fontId="9" applyFont="1" fillId="0" applyFill="1" borderId="1" applyBorder="1" xfId="51" applyAlignment="1">
      <alignment horizontal="left" vertical="center"/>
    </xf>
    <xf numFmtId="0" fontId="15" applyFont="1" fillId="0" borderId="0" xfId="103" applyAlignment="1">
      <alignment horizontal="center" vertical="center"/>
    </xf>
    <xf numFmtId="164" applyNumberFormat="1" fontId="16" applyFont="1" fillId="0" borderId="0" xfId="103" applyAlignment="1">
      <alignment horizontal="center" vertical="center" wrapText="1"/>
    </xf>
    <xf numFmtId="0" fontId="3" applyFont="1" fillId="0" borderId="0" xfId="103" applyAlignment="1">
      <alignment horizontal="center" vertical="center" wrapText="1"/>
    </xf>
    <xf numFmtId="164" applyNumberFormat="1" fontId="9" applyFont="1" fillId="3" applyFill="1" borderId="1" applyBorder="1" xfId="51" applyAlignment="1">
      <alignment horizontal="left" vertical="center"/>
    </xf>
    <xf numFmtId="0" fontId="2" applyFont="1" fillId="0" borderId="1" applyBorder="1" xfId="103" applyAlignment="1">
      <alignment horizontal="center" vertical="center" wrapText="1"/>
    </xf>
    <xf numFmtId="0" fontId="3" applyFont="1" fillId="2" applyFill="1" borderId="1" applyBorder="1" xfId="103" applyAlignment="1">
      <alignment horizontal="left" vertical="center" wrapText="1"/>
    </xf>
    <xf numFmtId="0" fontId="3" applyFont="1" fillId="2" applyFill="1" borderId="1" applyBorder="1" xfId="103" applyAlignment="1">
      <alignment horizontal="center" vertical="center" wrapText="1"/>
    </xf>
    <xf numFmtId="0" fontId="5" applyFont="1" fillId="0" borderId="1" applyBorder="1" xfId="103" applyAlignment="1">
      <alignment horizontal="center" vertical="center" wrapText="1"/>
    </xf>
    <xf numFmtId="164" applyNumberFormat="1" fontId="3" applyFont="1" fillId="3" applyFill="1" borderId="1" applyBorder="1" xfId="51" applyAlignment="1">
      <alignment horizontal="center" vertical="center" wrapText="1"/>
    </xf>
    <xf numFmtId="168" applyNumberFormat="1" fontId="16" applyFont="1" fillId="3" applyFill="1" borderId="1" applyBorder="1" xfId="51" applyAlignment="1">
      <alignment horizontal="center" vertical="center"/>
    </xf>
    <xf numFmtId="0" fontId="18" applyFont="1" fillId="8" applyFill="1" borderId="1" applyBorder="1" xfId="103" applyAlignment="1">
      <alignment horizontal="center" vertical="center"/>
    </xf>
    <xf numFmtId="0" fontId="5" applyFont="1" fillId="8" applyFill="1" borderId="1" applyBorder="1" xfId="103" applyAlignment="1">
      <alignment vertical="center"/>
    </xf>
    <xf numFmtId="164" applyNumberFormat="1" fontId="9" applyFont="1" fillId="0" borderId="0" applyBorder="1" xfId="51" applyAlignment="1">
      <alignment horizontal="center" vertical="center"/>
    </xf>
    <xf numFmtId="164" applyNumberFormat="1" fontId="6" applyFont="1" fillId="0" borderId="0" applyBorder="1" xfId="51" applyAlignment="1">
      <alignment horizontal="center" vertical="center"/>
    </xf>
    <xf numFmtId="164" applyNumberFormat="1" fontId="6" applyFont="1" fillId="0" borderId="0" applyBorder="1" xfId="51" applyAlignment="1">
      <alignment vertical="center"/>
    </xf>
    <xf numFmtId="0" fontId="36" applyFont="1" fillId="0" borderId="0" xfId="103"/>
    <xf numFmtId="9" applyNumberFormat="1" fontId="0" applyFont="1" fillId="0" borderId="0" xfId="116" applyProtection="1" applyAlignment="1"/>
    <xf numFmtId="164" applyNumberFormat="1" fontId="36" applyFont="1" fillId="0" borderId="0" xfId="103"/>
    <xf numFmtId="164" applyNumberFormat="1" fontId="20" applyFont="1" fillId="0" applyFill="1" borderId="4" applyBorder="1" xfId="51" applyProtection="1" applyAlignment="1">
      <alignment horizontal="left" vertical="center"/>
    </xf>
    <xf numFmtId="164" applyNumberFormat="1" fontId="20" applyFont="1" fillId="0" applyFill="1" borderId="5" applyBorder="1" xfId="51" applyProtection="1" applyAlignment="1">
      <alignment horizontal="center" vertical="center"/>
    </xf>
    <xf numFmtId="9" applyNumberFormat="1" fontId="20" applyFont="1" fillId="0" applyFill="1" borderId="5" applyBorder="1" xfId="116" applyProtection="1" applyAlignment="1">
      <alignment horizontal="center" vertical="center"/>
    </xf>
    <xf numFmtId="169" applyNumberFormat="1" fontId="20" applyFont="1" fillId="0" applyFill="1" borderId="5" applyBorder="1" xfId="51" applyProtection="1" applyAlignment="1">
      <alignment horizontal="left" vertical="center"/>
    </xf>
    <xf numFmtId="170" applyNumberFormat="1" fontId="21" applyFont="1" fillId="9" applyFill="1" borderId="6" applyBorder="1" xfId="103" applyAlignment="1">
      <alignment horizontal="left" vertical="center"/>
    </xf>
    <xf numFmtId="169" applyNumberFormat="1" fontId="21" applyFont="1" fillId="9" applyFill="1" borderId="6" applyBorder="1" xfId="51" applyProtection="1" applyAlignment="1">
      <alignment horizontal="center" vertical="center"/>
    </xf>
    <xf numFmtId="170" applyNumberFormat="1" fontId="22" applyFont="1" fillId="0" borderId="7" applyBorder="1" xfId="103" applyAlignment="1">
      <alignment horizontal="center" vertical="center" wrapText="1"/>
    </xf>
    <xf numFmtId="170" applyNumberFormat="1" fontId="22" applyFont="1" fillId="0" borderId="8" applyBorder="1" xfId="103" applyAlignment="1">
      <alignment horizontal="center" vertical="center" wrapText="1"/>
    </xf>
    <xf numFmtId="170" applyNumberFormat="1" fontId="21" applyFont="1" fillId="0" borderId="9" applyBorder="1" xfId="103" applyAlignment="1">
      <alignment horizontal="center" vertical="center" wrapText="1"/>
    </xf>
    <xf numFmtId="170" applyNumberFormat="1" fontId="21" applyFont="1" fillId="0" borderId="10" applyBorder="1" xfId="103" applyAlignment="1">
      <alignment horizontal="center" vertical="center" wrapText="1"/>
    </xf>
    <xf numFmtId="170" applyNumberFormat="1" fontId="23" applyFont="1" fillId="0" borderId="0" xfId="103" applyAlignment="1">
      <alignment horizontal="center" vertical="center" wrapText="1"/>
    </xf>
    <xf numFmtId="0" fontId="24" applyFont="1" fillId="0" borderId="0" xfId="103"/>
    <xf numFmtId="0" fontId="24" applyFont="1" fillId="0" borderId="0" xfId="103" applyAlignment="1">
      <alignment vertical="top"/>
    </xf>
    <xf numFmtId="166" applyNumberFormat="1" fontId="6" applyFont="1" fillId="0" borderId="1" applyBorder="1" xfId="28" applyAlignment="1">
      <alignment vertical="center"/>
    </xf>
    <xf numFmtId="164" applyNumberFormat="1" fontId="25" applyFont="1" fillId="0" borderId="0" xfId="103" applyAlignment="1">
      <alignment horizontal="center" vertical="center" wrapText="1"/>
    </xf>
    <xf numFmtId="164" applyNumberFormat="1" fontId="7" applyFont="1" fillId="3" applyFill="1" borderId="1" applyBorder="1" xfId="0" applyAlignment="1">
      <alignment horizontal="center" vertical="center" wrapText="1"/>
    </xf>
    <xf numFmtId="166" applyNumberFormat="1" fontId="6" applyFont="1" fillId="0" borderId="1" applyBorder="1" xfId="30" applyAlignment="1">
      <alignment vertical="center"/>
    </xf>
    <xf numFmtId="0" fontId="26" applyFont="1" fillId="0" borderId="0" xfId="0" applyAlignment="1">
      <alignment vertical="center"/>
    </xf>
    <xf numFmtId="166" applyNumberFormat="1" fontId="3" applyFont="1" fillId="3" applyFill="1" borderId="1" applyBorder="1" xfId="28" applyAlignment="1">
      <alignment horizontal="center" vertical="center" wrapText="1"/>
    </xf>
    <xf numFmtId="166" applyNumberFormat="1" fontId="29" applyFont="1" fillId="2" applyFill="1" borderId="1" applyBorder="1" xfId="28" applyAlignment="1">
      <alignment horizontal="left" vertical="center"/>
    </xf>
    <xf numFmtId="166" applyNumberFormat="1" fontId="30" applyFont="1" fillId="0" applyFill="1" borderId="1" applyBorder="1" xfId="28" applyAlignment="1">
      <alignment horizontal="left" vertical="center"/>
    </xf>
    <xf numFmtId="166" applyNumberFormat="1" fontId="30" applyFont="1" fillId="0" applyFill="1" borderId="0" applyBorder="1" xfId="28" applyAlignment="1">
      <alignment horizontal="left" vertical="center"/>
    </xf>
    <xf numFmtId="0" fontId="28" applyFont="1" fillId="0" borderId="0" xfId="0" applyAlignment="1">
      <alignment vertical="center"/>
    </xf>
    <xf numFmtId="4" applyNumberFormat="1" fontId="28" applyFont="1" fillId="0" borderId="0" xfId="0" applyAlignment="1">
      <alignment vertical="center"/>
    </xf>
    <xf numFmtId="14" applyNumberFormat="1" fontId="27" applyFont="1" fillId="7" applyFill="1" borderId="0" xfId="0" applyAlignment="1">
      <alignment vertical="center"/>
    </xf>
    <xf numFmtId="0" fontId="2" applyFont="1" fillId="0" borderId="0" xfId="0" applyAlignment="1">
      <alignment horizontal="left" vertical="center" wrapText="1"/>
    </xf>
    <xf numFmtId="0" fontId="2" applyFont="1" fillId="0" borderId="1" applyBorder="1" xfId="0" applyAlignment="1">
      <alignment horizontal="left" vertical="center" wrapText="1"/>
    </xf>
    <xf numFmtId="0" fontId="28" applyFont="1" fillId="0" borderId="0" xfId="0" applyAlignment="1">
      <alignment vertical="center" wrapText="1"/>
    </xf>
    <xf numFmtId="0" fontId="27" applyFont="1" fillId="7" applyFill="1" borderId="0" xfId="0" applyAlignment="1">
      <alignment horizontal="center" vertical="center"/>
    </xf>
    <xf numFmtId="4" applyNumberFormat="1" fontId="31" applyFont="1" fillId="0" borderId="0" xfId="0" applyAlignment="1">
      <alignment vertical="center"/>
    </xf>
    <xf numFmtId="4" applyNumberFormat="1" fontId="4" applyFont="1" fillId="0" borderId="0" xfId="0" applyAlignment="1">
      <alignment vertical="center"/>
    </xf>
    <xf numFmtId="0" fontId="28" applyFont="1" fillId="0" borderId="0" xfId="0" applyAlignment="1">
      <alignment horizontal="center" vertical="center"/>
    </xf>
    <xf numFmtId="0" fontId="26" applyFont="1" fillId="0" borderId="11" applyBorder="1" xfId="0" applyAlignment="1">
      <alignment vertical="center"/>
    </xf>
    <xf numFmtId="166" applyNumberFormat="1" fontId="3" applyFont="1" fillId="3" applyFill="1" borderId="1" applyBorder="1" xfId="30" applyAlignment="1">
      <alignment horizontal="center" vertical="center" wrapText="1"/>
    </xf>
    <xf numFmtId="166" applyNumberFormat="1" fontId="29" applyFont="1" fillId="2" applyFill="1" borderId="1" applyBorder="1" xfId="30" applyAlignment="1">
      <alignment horizontal="left" vertical="center"/>
    </xf>
    <xf numFmtId="166" applyNumberFormat="1" fontId="30" applyFont="1" fillId="0" applyFill="1" borderId="1" applyBorder="1" xfId="30" applyAlignment="1">
      <alignment horizontal="left" vertical="center"/>
    </xf>
    <xf numFmtId="166" applyNumberFormat="1" fontId="30" applyFont="1" fillId="0" applyFill="1" borderId="0" applyBorder="1" xfId="30" applyAlignment="1">
      <alignment horizontal="left" vertical="center"/>
    </xf>
    <xf numFmtId="0" fontId="32" applyFont="1" fillId="0" borderId="0" xfId="0" applyAlignment="1">
      <alignment vertical="center"/>
    </xf>
    <xf numFmtId="4" applyNumberFormat="1" fontId="4" applyFont="1" fillId="0" borderId="0" xfId="0" applyAlignment="1">
      <alignment horizontal="center" vertical="center"/>
    </xf>
    <xf numFmtId="4" applyNumberFormat="1" fontId="31" applyFont="1" fillId="0" borderId="0" xfId="0" applyAlignment="1">
      <alignment horizontal="center" vertical="center"/>
    </xf>
    <xf numFmtId="0" fontId="15" applyFont="1" fillId="0" borderId="0" xfId="0" applyAlignment="1">
      <alignment vertical="center"/>
    </xf>
    <xf numFmtId="4" applyNumberFormat="1" fontId="33" applyFont="1" fillId="0" borderId="0" xfId="0" applyAlignment="1">
      <alignment horizontal="center" vertical="center"/>
    </xf>
    <xf numFmtId="0" fontId="33" applyFont="1" fillId="0" borderId="0" xfId="0" applyAlignment="1">
      <alignment vertical="center"/>
    </xf>
    <xf numFmtId="0" fontId="17" applyFont="1" fillId="7" applyFill="1" borderId="0" xfId="0" applyAlignment="1">
      <alignment horizontal="center" vertical="center"/>
    </xf>
    <xf numFmtId="0" fontId="31" applyFont="1" fillId="0" borderId="13" applyBorder="1" xfId="0" applyAlignment="1">
      <alignment vertical="center"/>
    </xf>
    <xf numFmtId="0" fontId="27" applyFont="1" fillId="0" borderId="1" applyBorder="1" xfId="0" applyAlignment="1">
      <alignment horizontal="center" vertical="center"/>
    </xf>
    <xf numFmtId="4" applyNumberFormat="1" fontId="27" applyFont="1" fillId="0" borderId="14" applyBorder="1" xfId="0" applyAlignment="1">
      <alignment horizontal="center" vertical="center"/>
    </xf>
    <xf numFmtId="0" fontId="31" applyFont="1" fillId="0" borderId="1" applyBorder="1" xfId="0" applyAlignment="1">
      <alignment vertical="center"/>
    </xf>
    <xf numFmtId="4" applyNumberFormat="1" fontId="31" applyFont="1" fillId="0" borderId="15" applyBorder="1" xfId="0" applyAlignment="1">
      <alignment vertical="center"/>
    </xf>
    <xf numFmtId="0" fontId="28" applyFont="1" fillId="0" borderId="16" applyBorder="1" xfId="0" applyAlignment="1">
      <alignment vertical="center"/>
    </xf>
    <xf numFmtId="4" applyNumberFormat="1" fontId="28" applyFont="1" fillId="0" borderId="17" applyBorder="1" xfId="0" applyAlignment="1">
      <alignment vertical="center"/>
    </xf>
    <xf numFmtId="0" fontId="28" applyFont="1" fillId="0" borderId="12" applyBorder="1" xfId="0" applyAlignment="1">
      <alignment vertical="center"/>
    </xf>
    <xf numFmtId="0" fontId="28" applyFont="1" fillId="0" borderId="16" applyBorder="1" xfId="0" applyAlignment="1">
      <alignment horizontal="center" vertical="center"/>
    </xf>
    <xf numFmtId="4" applyNumberFormat="1" fontId="33" applyFont="1" fillId="0" borderId="0" xfId="0"/>
    <xf numFmtId="0" fontId="15" applyFont="1" fillId="0" borderId="0" xfId="0"/>
    <xf numFmtId="0" fontId="33" applyFont="1" fillId="0" borderId="1" applyBorder="1" xfId="103" applyAlignment="1">
      <alignment vertical="center"/>
    </xf>
    <xf numFmtId="166" applyNumberFormat="1" fontId="33" applyFont="1" fillId="0" borderId="0" xfId="28" applyAlignment="1">
      <alignment vertical="center"/>
    </xf>
    <xf numFmtId="4" applyNumberFormat="1" fontId="28" applyFont="1" fillId="0" borderId="0" xfId="0" applyAlignment="1">
      <alignment horizontal="right" vertical="center"/>
    </xf>
    <xf numFmtId="171" applyNumberFormat="1" fontId="28" applyFont="1" fillId="0" borderId="0" xfId="0" applyAlignment="1">
      <alignment vertical="center"/>
    </xf>
    <xf numFmtId="10" applyNumberFormat="1" fontId="28" applyFont="1" fillId="0" borderId="0" xfId="0" applyAlignment="1">
      <alignment vertical="center"/>
    </xf>
    <xf numFmtId="4" applyNumberFormat="1" fontId="27" applyFont="1" fillId="0" borderId="0" xfId="0" applyAlignment="1">
      <alignment horizontal="center" vertical="center"/>
    </xf>
    <xf numFmtId="4" applyNumberFormat="1" fontId="15" applyFont="1" fillId="0" borderId="0" xfId="0"/>
    <xf numFmtId="0" fontId="17" applyFont="1" fillId="7" applyFill="1" borderId="0" xfId="0" applyAlignment="1">
      <alignment horizontal="center"/>
    </xf>
    <xf numFmtId="4" applyNumberFormat="1" fontId="25" applyFont="1" fillId="0" borderId="0" xfId="0"/>
    <xf numFmtId="0" fontId="34" applyFont="1" fillId="0" borderId="0" xfId="0" applyAlignment="1">
      <alignment vertical="center"/>
    </xf>
    <xf numFmtId="0" fontId="15" applyFont="1" fillId="0" borderId="0" xfId="0" applyAlignment="1">
      <alignment horizontal="center"/>
    </xf>
    <xf numFmtId="4" applyNumberFormat="1" fontId="16" applyFont="1" fillId="0" borderId="0" xfId="0"/>
    <xf numFmtId="4" applyNumberFormat="1" fontId="4" applyFont="1" fillId="0" borderId="0" xfId="0" applyAlignment="1">
      <alignment horizontal="left" vertical="center" wrapText="1"/>
    </xf>
    <xf numFmtId="0" fontId="4" applyFont="1" fillId="0" borderId="0" xfId="0" applyAlignment="1">
      <alignment vertical="center"/>
    </xf>
    <xf numFmtId="4" applyNumberFormat="1" fontId="4" applyFont="1" fillId="0" borderId="0" xfId="0" applyAlignment="1">
      <alignment horizontal="right" vertical="center"/>
    </xf>
    <xf numFmtId="4" applyNumberFormat="1" fontId="31" applyFont="1" fillId="0" borderId="0" xfId="0" applyAlignment="1">
      <alignment horizontal="right" vertical="center"/>
    </xf>
    <xf numFmtId="4" applyNumberFormat="1" fontId="3" applyFont="1" fillId="0" borderId="0" xfId="0" applyAlignment="1">
      <alignment horizontal="right" vertical="center"/>
    </xf>
    <xf numFmtId="4" applyNumberFormat="1" fontId="3" applyFont="1" fillId="0" borderId="0" xfId="0" applyAlignment="1">
      <alignment vertical="center"/>
    </xf>
    <xf numFmtId="4" applyNumberFormat="1" fontId="3" applyFont="1" fillId="7" applyFill="1" borderId="0" xfId="0" applyAlignment="1">
      <alignment horizontal="center" vertical="center" wrapText="1"/>
    </xf>
    <xf numFmtId="4" applyNumberFormat="1" fontId="15" applyFont="1" fillId="0" borderId="0" xfId="0" applyAlignment="1">
      <alignment vertical="center"/>
    </xf>
    <xf numFmtId="4" applyNumberFormat="1" fontId="33" applyFont="1" fillId="0" borderId="0" xfId="0" applyAlignment="1">
      <alignment vertical="center"/>
    </xf>
    <xf numFmtId="4" applyNumberFormat="1" fontId="3" applyFont="1" fillId="7" applyFill="1" borderId="0" xfId="0" applyAlignment="1">
      <alignment horizontal="right" vertical="center" wrapText="1"/>
    </xf>
    <xf numFmtId="0" fontId="36" applyFont="1" fillId="0" borderId="0" xfId="103" applyAlignment="1">
      <alignment vertical="center"/>
    </xf>
    <xf numFmtId="0" fontId="2" applyFont="1" fillId="0" borderId="1" applyBorder="1" xfId="103" applyAlignment="1">
      <alignment horizontal="left" vertical="center" wrapText="1"/>
    </xf>
    <xf numFmtId="164" applyNumberFormat="1" fontId="36" applyFont="1" fillId="0" borderId="0" xfId="103" applyAlignment="1">
      <alignment vertical="center"/>
    </xf>
    <xf numFmtId="0" fontId="15" applyFont="1" fillId="0" borderId="0" xfId="103" applyAlignment="1">
      <alignment vertical="center"/>
    </xf>
    <xf numFmtId="4" applyNumberFormat="1" fontId="28" applyFont="1" fillId="0" borderId="0" xfId="0" applyAlignment="1">
      <alignment horizontal="center" vertical="center"/>
    </xf>
    <xf numFmtId="0" fontId="28" applyFont="1" fillId="0" borderId="11" applyBorder="1" xfId="0" applyAlignment="1">
      <alignment vertical="center"/>
    </xf>
    <xf numFmtId="4" applyNumberFormat="1" fontId="28" applyFont="1" fillId="0" borderId="15" applyBorder="1" xfId="0" applyAlignment="1">
      <alignment vertical="center"/>
    </xf>
    <xf numFmtId="172" applyNumberFormat="1" fontId="6" applyFont="1" fillId="0" borderId="0" xfId="28" applyAlignment="1">
      <alignment vertical="center"/>
    </xf>
    <xf numFmtId="1" applyNumberFormat="1" fontId="28" applyFont="1" fillId="0" borderId="0" xfId="28" applyAlignment="1">
      <alignment horizontal="right" vertical="center"/>
    </xf>
    <xf numFmtId="0" fontId="26" applyFont="1" fillId="0" borderId="0" xfId="0" applyAlignment="1">
      <alignment horizontal="left" vertical="center"/>
    </xf>
    <xf numFmtId="166" applyNumberFormat="1" fontId="6" applyFont="1" fillId="0" borderId="0" xfId="30" applyAlignment="1">
      <alignment vertical="center"/>
    </xf>
    <xf numFmtId="0" fontId="28" applyFont="1" fillId="0" borderId="0" xfId="0" applyAlignment="1">
      <alignment horizontal="left" vertical="center" wrapText="1"/>
    </xf>
    <xf numFmtId="0" fontId="28" applyFont="1" fillId="0" borderId="0" xfId="0" applyAlignment="1">
      <alignment horizontal="center" vertical="center" wrapText="1"/>
    </xf>
    <xf numFmtId="4" applyNumberFormat="1" fontId="28" applyFont="1" fillId="0" borderId="0" xfId="0" applyAlignment="1">
      <alignment horizontal="right" vertical="center" wrapText="1"/>
    </xf>
    <xf numFmtId="4" applyNumberFormat="1" fontId="25" applyFont="1" fillId="0" borderId="0" xfId="0" applyAlignment="1">
      <alignment horizontal="right" vertical="center"/>
    </xf>
    <xf numFmtId="0" fontId="26" applyFont="1" fillId="0" borderId="0" xfId="0" applyAlignment="1">
      <alignment horizontal="right" vertical="center"/>
    </xf>
    <xf numFmtId="0" fontId="28" applyFont="1" fillId="0" borderId="0" xfId="0"/>
    <xf numFmtId="0" fontId="3" applyFont="1" fillId="10" applyFill="1" borderId="1" applyBorder="1" xfId="0" applyAlignment="1">
      <alignment horizontal="left" vertical="center" wrapText="1"/>
    </xf>
    <xf numFmtId="166" applyNumberFormat="1" fontId="41" applyFont="1" fillId="0" applyFill="1" borderId="1" applyBorder="1" xfId="28" applyAlignment="1">
      <alignment horizontal="left" vertical="center"/>
    </xf>
    <xf numFmtId="0" fontId="42" applyFont="1" fillId="10" applyFill="1" borderId="1" applyBorder="1" xfId="0" applyAlignment="1">
      <alignment horizontal="left" vertical="center" wrapText="1"/>
    </xf>
    <xf numFmtId="0" fontId="14" applyFont="1" fillId="0" borderId="1" applyBorder="1" xfId="103" applyAlignment="1">
      <alignment vertical="center"/>
    </xf>
    <xf numFmtId="164" applyNumberFormat="1" fontId="43" applyFont="1" fillId="0" borderId="1" applyBorder="1" xfId="51" applyAlignment="1">
      <alignment vertical="center"/>
    </xf>
    <xf numFmtId="164" applyNumberFormat="1" fontId="39" applyFont="1" fillId="0" applyFill="1" borderId="1" applyBorder="1" xfId="51" applyAlignment="1">
      <alignment horizontal="left" vertical="center"/>
    </xf>
    <xf numFmtId="0" fontId="44" applyFont="1" fillId="0" borderId="1" applyBorder="1" xfId="103" applyAlignment="1">
      <alignment vertical="center"/>
    </xf>
    <xf numFmtId="0" fontId="45" applyFont="1" fillId="0" borderId="1" applyBorder="1" xfId="103" applyAlignment="1">
      <alignment horizontal="left" vertical="center" wrapText="1"/>
    </xf>
    <xf numFmtId="0" fontId="45" applyFont="1" fillId="0" borderId="2" applyBorder="1" xfId="103" applyAlignment="1">
      <alignment horizontal="left" vertical="center" wrapText="1"/>
    </xf>
    <xf numFmtId="0" fontId="14" applyFont="1" fillId="0" borderId="1" applyBorder="1" xfId="103" applyAlignment="1">
      <alignment horizontal="left" vertical="center"/>
    </xf>
    <xf numFmtId="9" applyNumberFormat="1" fontId="28" applyFont="1" fillId="0" borderId="0" xfId="115" applyAlignment="1">
      <alignment vertical="center"/>
    </xf>
    <xf numFmtId="173" applyNumberFormat="1" fontId="28" applyFont="1" fillId="0" borderId="0" xfId="0" applyAlignment="1">
      <alignment vertical="center"/>
    </xf>
    <xf numFmtId="0" fontId="15" applyFont="1" fillId="0" borderId="0" xfId="0" applyAlignment="1">
      <alignment horizontal="center" vertical="center"/>
    </xf>
    <xf numFmtId="4" applyNumberFormat="1" fontId="33" applyFont="1" fillId="0" borderId="0" xfId="0" applyAlignment="1">
      <alignment horizontal="right" vertical="center"/>
    </xf>
    <xf numFmtId="0" fontId="4" applyFont="1" fillId="0" borderId="0" xfId="0" applyAlignment="1">
      <alignment horizontal="center" vertical="center"/>
    </xf>
    <xf numFmtId="0" applyNumberFormat="1" fontId="6" applyFont="1" fillId="0" applyFill="1" borderId="1" applyBorder="1" xfId="28" applyProtection="1" applyAlignment="1">
      <alignment horizontal="left" vertical="center"/>
      <protection locked="0"/>
    </xf>
    <xf numFmtId="166" applyNumberFormat="1" fontId="9" applyFont="1" fillId="10" applyFill="1" borderId="1" applyBorder="1" xfId="28" applyProtection="1" applyAlignment="1">
      <alignment horizontal="left" vertical="center"/>
    </xf>
    <xf numFmtId="4" applyNumberFormat="1" fontId="6" applyFont="1" fillId="0" applyFill="1" borderId="1" applyBorder="1" xfId="28" applyProtection="1" applyAlignment="1">
      <alignment horizontal="left" vertical="center"/>
      <protection locked="0"/>
    </xf>
    <xf numFmtId="166" applyNumberFormat="1" fontId="9" applyFont="1" fillId="11" applyFill="1" borderId="1" applyBorder="1" xfId="28" applyProtection="1" applyAlignment="1">
      <alignment horizontal="left" vertical="center"/>
    </xf>
    <xf numFmtId="166" applyNumberFormat="1" fontId="10" applyFont="1" fillId="11" applyFill="1" borderId="1" applyBorder="1" xfId="28" applyProtection="1" applyAlignment="1">
      <alignment horizontal="center" vertical="center" wrapText="1"/>
    </xf>
    <xf numFmtId="166" applyNumberFormat="1" fontId="6" applyFont="1" fillId="11" applyFill="1" borderId="1" applyBorder="1" xfId="28" applyProtection="1" applyAlignment="1">
      <alignment horizontal="left" vertical="center"/>
    </xf>
    <xf numFmtId="164" applyNumberFormat="1" fontId="11" applyFont="1" fillId="11" applyFill="1" borderId="1" applyBorder="1" xfId="0" applyAlignment="1">
      <alignment horizontal="center" vertical="center" wrapText="1"/>
    </xf>
    <xf numFmtId="10" applyNumberFormat="1" fontId="47" applyFont="1" fillId="0" applyFill="1" borderId="1" applyBorder="1" xfId="28" applyAlignment="1">
      <alignment vertical="center"/>
    </xf>
    <xf numFmtId="166" applyNumberFormat="1" fontId="29" applyFont="1" fillId="2" applyFill="1" borderId="0" applyBorder="1" xfId="28" applyAlignment="1">
      <alignment horizontal="left" vertical="center"/>
    </xf>
    <xf numFmtId="0" fontId="28" applyFont="1" fillId="0" borderId="0" xfId="0" applyAlignment="1">
      <alignment horizontal="right" vertical="center"/>
    </xf>
    <xf numFmtId="49" applyNumberFormat="1" fontId="64" applyFont="1" fillId="0" borderId="0" xfId="111">
      <alignment wrapText="1"/>
    </xf>
    <xf numFmtId="49" applyNumberFormat="1" fontId="0" fillId="0" borderId="0" xfId="0"/>
    <xf numFmtId="164" applyNumberFormat="1" fontId="6" applyFont="1" fillId="12" applyFill="1" borderId="1" applyBorder="1" xfId="40" applyAlignment="1">
      <alignment vertical="center"/>
    </xf>
    <xf numFmtId="0" fontId="15" applyFont="1" fillId="0" borderId="0" xfId="0" applyAlignment="1">
      <alignment horizontal="right" vertical="center"/>
    </xf>
    <xf numFmtId="164" applyNumberFormat="1" fontId="6" applyFont="1" fillId="0" applyFill="1" borderId="1" applyBorder="1" xfId="73" applyAlignment="1">
      <alignment vertical="center"/>
    </xf>
    <xf numFmtId="4" applyNumberFormat="1" fontId="33" applyFont="1" fillId="0" borderId="0" xfId="0" applyAlignment="1">
      <alignment vertical="top"/>
    </xf>
    <xf numFmtId="49" applyNumberFormat="1" fontId="64" applyFont="1" fillId="0" borderId="0" xfId="111" applyAlignment="1">
      <alignment vertical="top" wrapText="1"/>
    </xf>
    <xf numFmtId="0" fontId="15" applyFont="1" fillId="0" borderId="0" xfId="0" applyAlignment="1">
      <alignment horizontal="right" vertical="top"/>
    </xf>
    <xf numFmtId="164" applyNumberFormat="1" fontId="6" applyFont="1" fillId="0" applyFill="1" borderId="1" applyBorder="1" xfId="79" applyAlignment="1">
      <alignment vertical="center"/>
    </xf>
    <xf numFmtId="164" applyNumberFormat="1" fontId="46" applyFont="1" fillId="0" applyFill="1" borderId="1" applyBorder="1" xfId="79" applyAlignment="1">
      <alignment vertical="center"/>
    </xf>
    <xf numFmtId="164" applyNumberFormat="1" fontId="6" applyFont="1" fillId="12" applyFill="1" borderId="1" applyBorder="1" xfId="79" applyAlignment="1">
      <alignment vertical="center"/>
    </xf>
    <xf numFmtId="164" applyNumberFormat="1" fontId="6" applyFont="1" fillId="0" applyFill="1" borderId="1" applyBorder="1" xfId="29" applyAlignment="1">
      <alignment vertical="center"/>
    </xf>
    <xf numFmtId="164" applyNumberFormat="1" fontId="46" applyFont="1" fillId="0" applyFill="1" borderId="1" applyBorder="1" xfId="29" applyAlignment="1">
      <alignment vertical="center"/>
    </xf>
    <xf numFmtId="164" applyNumberFormat="1" fontId="6" applyFont="1" fillId="12" applyFill="1" borderId="1" applyBorder="1" xfId="29" applyAlignment="1">
      <alignment vertical="center"/>
    </xf>
    <xf numFmtId="0" fontId="7" applyFont="1" fillId="3" applyFill="1" borderId="1" applyBorder="1" xfId="103" applyAlignment="1">
      <alignment horizontal="center" vertical="center" wrapText="1"/>
    </xf>
    <xf numFmtId="0" fontId="3" applyFont="1" fillId="3" applyFill="1" borderId="1" applyBorder="1" xfId="103" applyAlignment="1">
      <alignment horizontal="center" vertical="center" wrapText="1"/>
    </xf>
    <xf numFmtId="0" fontId="7" applyFont="1" fillId="8" applyFill="1" borderId="18" applyBorder="1" xfId="103" applyAlignment="1">
      <alignment horizontal="center" vertical="center" wrapText="1"/>
    </xf>
    <xf numFmtId="0" fontId="7" applyFont="1" fillId="8" applyFill="1" borderId="19" applyBorder="1" xfId="103" applyAlignment="1">
      <alignment horizontal="center" vertical="center" wrapText="1"/>
    </xf>
    <xf numFmtId="0" fontId="9" applyFont="1" fillId="3" applyFill="1" borderId="18" applyBorder="1" xfId="103" applyAlignment="1">
      <alignment horizontal="center" vertical="center"/>
    </xf>
    <xf numFmtId="0" fontId="9" applyFont="1" fillId="3" applyFill="1" borderId="2" applyBorder="1" xfId="103" applyAlignment="1">
      <alignment horizontal="center" vertical="center"/>
    </xf>
    <xf numFmtId="0" fontId="19" applyFont="1" fillId="6" applyFill="1" borderId="0" xfId="103" applyAlignment="1">
      <alignment horizontal="center" vertical="center"/>
    </xf>
    <xf numFmtId="164" applyNumberFormat="1" fontId="39" applyFont="1" fillId="8" applyFill="1" borderId="1" applyBorder="1" xfId="51" applyAlignment="1">
      <alignment horizontal="center" vertical="center"/>
    </xf>
    <xf numFmtId="0" fontId="3" applyFont="1" fillId="0" borderId="20" applyBorder="1" xfId="103" applyAlignment="1">
      <alignment horizontal="center" vertical="center" wrapText="1"/>
    </xf>
    <xf numFmtId="0" fontId="3" applyFont="1" fillId="0" borderId="0" xfId="103" applyAlignment="1">
      <alignment horizontal="center" vertical="center" wrapText="1"/>
    </xf>
    <xf numFmtId="0" fontId="14" applyFont="1" fillId="0" borderId="20" applyBorder="1" xfId="103" applyAlignment="1">
      <alignment horizontal="left" vertical="center" wrapText="1"/>
    </xf>
    <xf numFmtId="0" fontId="14" applyFont="1" fillId="0" borderId="0" xfId="103" applyAlignment="1">
      <alignment horizontal="left" vertical="center" wrapText="1"/>
    </xf>
    <xf numFmtId="0" fontId="7" applyFont="1" fillId="8" applyFill="1" borderId="1" applyBorder="1" xfId="0" applyAlignment="1">
      <alignment horizontal="center" vertical="center" wrapText="1"/>
    </xf>
    <xf numFmtId="0" fontId="7" applyFont="1" fillId="4" applyFill="1" borderId="1" applyBorder="1" xfId="0" applyAlignment="1">
      <alignment horizontal="center" vertical="center" wrapText="1"/>
    </xf>
    <xf numFmtId="0" fontId="9" applyFont="1" fillId="3" applyFill="1" borderId="18" applyBorder="1" xfId="0" applyAlignment="1">
      <alignment horizontal="center" vertical="center"/>
    </xf>
    <xf numFmtId="0" fontId="9" applyFont="1" fillId="3" applyFill="1" borderId="2" applyBorder="1" xfId="0" applyAlignment="1">
      <alignment horizontal="center" vertical="center"/>
    </xf>
    <xf numFmtId="0" fontId="7" applyFont="1" fillId="3" applyFill="1" borderId="1" applyBorder="1" xfId="0" applyAlignment="1">
      <alignment horizontal="center" vertical="center" wrapText="1"/>
    </xf>
    <xf numFmtId="0" fontId="9" applyFont="1" fillId="4" applyFill="1" borderId="18" applyBorder="1" xfId="0" applyAlignment="1">
      <alignment horizontal="center" vertical="center"/>
    </xf>
    <xf numFmtId="0" fontId="9" applyFont="1" fillId="4" applyFill="1" borderId="2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 wrapText="1"/>
    </xf>
    <xf numFmtId="0" fontId="7" applyFont="1" fillId="6" applyFill="1" borderId="0" xfId="0" applyAlignment="1">
      <alignment horizontal="center" vertical="center" wrapText="1"/>
    </xf>
    <xf numFmtId="0" fontId="7" applyFont="1" fillId="8" applyFill="1" borderId="21" applyBorder="1" xfId="0" applyAlignment="1">
      <alignment horizontal="center" vertical="center" wrapText="1"/>
    </xf>
    <xf numFmtId="0" fontId="40" applyFont="1" fillId="0" borderId="0" xfId="0" applyAlignment="1">
      <alignment horizontal="left" vertical="center" wrapText="1"/>
    </xf>
    <xf numFmtId="0" fontId="37" applyFont="1" fillId="7" applyFill="1" borderId="3" applyBorder="1" xfId="0" applyAlignment="1">
      <alignment horizontal="center" vertical="center"/>
    </xf>
    <xf numFmtId="0" fontId="7" applyFont="1" fillId="8" applyFill="1" borderId="19" applyBorder="1" xfId="0" applyAlignment="1">
      <alignment horizontal="center" vertical="center" wrapText="1"/>
    </xf>
    <xf numFmtId="0" fontId="7" applyFont="1" fillId="8" applyFill="1" borderId="2" applyBorder="1" xfId="0" applyAlignment="1">
      <alignment horizontal="center" vertical="center" wrapText="1"/>
    </xf>
    <xf numFmtId="14" applyNumberFormat="1" fontId="12" applyFont="1" fillId="7" applyFill="1" borderId="3" applyBorder="1" xfId="0" applyAlignment="1">
      <alignment horizontal="center" vertical="center" wrapText="1"/>
    </xf>
    <xf numFmtId="14" applyNumberFormat="1" fontId="7" applyFont="1" fillId="7" applyFill="1" borderId="3" applyBorder="1" xfId="0" applyAlignment="1">
      <alignment horizontal="right" vertical="center" wrapText="1"/>
    </xf>
    <xf numFmtId="14" applyNumberFormat="1" fontId="7" applyFont="1" fillId="7" applyFill="1" borderId="3" applyBorder="1" xfId="0" applyAlignment="1">
      <alignment horizontal="left" vertical="center" wrapText="1"/>
    </xf>
    <xf numFmtId="0" fontId="7" applyFont="1" fillId="8" applyFill="1" borderId="18" applyBorder="1" xfId="0" applyAlignment="1">
      <alignment horizontal="center" vertical="center" wrapText="1"/>
    </xf>
    <xf numFmtId="0" fontId="38" applyFont="1" fillId="7" applyFill="1" borderId="3" applyBorder="1" xfId="0" applyAlignment="1">
      <alignment horizontal="center" vertical="center"/>
    </xf>
    <xf numFmtId="0" fontId="29" applyFont="1" fillId="3" applyFill="1" borderId="18" applyBorder="1" xfId="0" applyAlignment="1">
      <alignment horizontal="center" vertical="center"/>
    </xf>
    <xf numFmtId="0" fontId="29" applyFont="1" fillId="3" applyFill="1" borderId="2" applyBorder="1" xfId="0" applyAlignment="1">
      <alignment horizontal="center" vertical="center"/>
    </xf>
    <xf numFmtId="14" applyNumberFormat="1" fontId="27" applyFont="1" fillId="7" applyFill="1" borderId="3" applyBorder="1" xfId="0" applyAlignment="1">
      <alignment horizontal="center" vertical="center"/>
    </xf>
    <xf numFmtId="14" applyNumberFormat="1" fontId="27" applyFont="1" fillId="7" applyFill="1" borderId="19" applyBorder="1" xfId="0" applyAlignment="1">
      <alignment horizontal="center" vertical="center"/>
    </xf>
    <xf numFmtId="14" applyNumberFormat="1" fontId="17" applyFont="1" fillId="7" applyFill="1" borderId="3" applyBorder="1" xfId="0" applyAlignment="1">
      <alignment horizontal="center" vertical="center"/>
    </xf>
    <xf numFmtId="0" fontId="27" applyFont="1" fillId="0" borderId="22" applyBorder="1" xfId="0" applyAlignment="1">
      <alignment horizontal="center" vertical="center"/>
    </xf>
    <xf numFmtId="0" fontId="27" applyFont="1" fillId="0" borderId="23" applyBorder="1" xfId="0" applyAlignment="1">
      <alignment horizontal="center" vertical="center"/>
    </xf>
    <xf numFmtId="0" fontId="27" applyFont="1" fillId="0" borderId="24" applyBorder="1" xfId="0" applyAlignment="1">
      <alignment horizontal="center" vertical="center"/>
    </xf>
    <xf numFmtId="0" fontId="27" applyFont="1" fillId="0" borderId="25" applyBorder="1" xfId="0" applyAlignment="1">
      <alignment horizontal="center" vertical="center"/>
    </xf>
    <xf numFmtId="14" applyNumberFormat="1" fontId="17" applyFont="1" fillId="7" applyFill="1" borderId="3" applyBorder="1" xfId="0" applyAlignment="1">
      <alignment horizontal="center"/>
    </xf>
  </cellXfs>
  <cellStyles count="12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10" xfId="29"/>
    <cellStyle name="Comma 11" xfId="30"/>
    <cellStyle name="Comma 12" xfId="31"/>
    <cellStyle name="Comma 13" xfId="32"/>
    <cellStyle name="Comma 14" xfId="33"/>
    <cellStyle name="Comma 15" xfId="34"/>
    <cellStyle name="Comma 16" xfId="35"/>
    <cellStyle name="Comma 17" xfId="36"/>
    <cellStyle name="Comma 18" xfId="37"/>
    <cellStyle name="Comma 19" xfId="38"/>
    <cellStyle name="Comma 2" xfId="39"/>
    <cellStyle name="Comma 20" xfId="40"/>
    <cellStyle name="Comma 21" xfId="41"/>
    <cellStyle name="Comma 22" xfId="42"/>
    <cellStyle name="Comma 23" xfId="43"/>
    <cellStyle name="Comma 24" xfId="44"/>
    <cellStyle name="Comma 25" xfId="45"/>
    <cellStyle name="Comma 26" xfId="46"/>
    <cellStyle name="Comma 27" xfId="47"/>
    <cellStyle name="Comma 27 2" xfId="48"/>
    <cellStyle name="Comma 28" xfId="49"/>
    <cellStyle name="Comma 29" xfId="50"/>
    <cellStyle name="Comma 3" xfId="51"/>
    <cellStyle name="Comma 3 2" xfId="52"/>
    <cellStyle name="Comma 3 2 2" xfId="53"/>
    <cellStyle name="Comma 3 2 2 2" xfId="54"/>
    <cellStyle name="Comma 3 2 3" xfId="55"/>
    <cellStyle name="Comma 3 3" xfId="56"/>
    <cellStyle name="Comma 3 3 2" xfId="57"/>
    <cellStyle name="Comma 3 4" xfId="58"/>
    <cellStyle name="Comma 30" xfId="59"/>
    <cellStyle name="Comma 31" xfId="60"/>
    <cellStyle name="Comma 32" xfId="61"/>
    <cellStyle name="Comma 33" xfId="62"/>
    <cellStyle name="Comma 34" xfId="63"/>
    <cellStyle name="Comma 35" xfId="64"/>
    <cellStyle name="Comma 36" xfId="65"/>
    <cellStyle name="Comma 37" xfId="66"/>
    <cellStyle name="Comma 38" xfId="67"/>
    <cellStyle name="Comma 39" xfId="68"/>
    <cellStyle name="Comma 4" xfId="69"/>
    <cellStyle name="Comma 40" xfId="70"/>
    <cellStyle name="Comma 41" xfId="71"/>
    <cellStyle name="Comma 42" xfId="72"/>
    <cellStyle name="Comma 43" xfId="73"/>
    <cellStyle name="Comma 44" xfId="74"/>
    <cellStyle name="Comma 45" xfId="75"/>
    <cellStyle name="Comma 46" xfId="76"/>
    <cellStyle name="Comma 47" xfId="77"/>
    <cellStyle name="Comma 48" xfId="78"/>
    <cellStyle name="Comma 49" xfId="79"/>
    <cellStyle name="Comma 5" xfId="80"/>
    <cellStyle name="Comma 6" xfId="81"/>
    <cellStyle name="Comma 6 2" xfId="82"/>
    <cellStyle name="Comma 7" xfId="83"/>
    <cellStyle name="Comma 8" xfId="84"/>
    <cellStyle name="Comma 8 2" xfId="85"/>
    <cellStyle name="Comma 9" xfId="86"/>
    <cellStyle name="Explanatory Text" xfId="87" builtinId="53" customBuiltin="1"/>
    <cellStyle name="Good" xfId="88" builtinId="26" customBuiltin="1"/>
    <cellStyle name="Heading 1" xfId="89" builtinId="16" customBuiltin="1"/>
    <cellStyle name="Heading 2" xfId="90" builtinId="17" customBuiltin="1"/>
    <cellStyle name="Heading 3" xfId="91" builtinId="18" customBuiltin="1"/>
    <cellStyle name="Heading 4" xfId="92" builtinId="19" customBuiltin="1"/>
    <cellStyle name="Input" xfId="93" builtinId="20" customBuiltin="1"/>
    <cellStyle name="Linked Cell" xfId="94" builtinId="24" customBuiltin="1"/>
    <cellStyle name="Neutral" xfId="95" builtinId="28" customBuiltin="1"/>
    <cellStyle name="Normal" xfId="0" builtinId="0"/>
    <cellStyle name="Normal 10 2" xfId="96"/>
    <cellStyle name="Normal 195" xfId="97"/>
    <cellStyle name="Normal 2" xfId="98"/>
    <cellStyle name="Normal 224" xfId="99"/>
    <cellStyle name="Normal 242" xfId="100"/>
    <cellStyle name="Normal 295" xfId="101"/>
    <cellStyle name="Normal 295 2" xfId="102"/>
    <cellStyle name="Normal 3" xfId="103"/>
    <cellStyle name="Normal 3 2" xfId="104"/>
    <cellStyle name="Normal 3 2 2" xfId="105"/>
    <cellStyle name="Normal 3 2 2 2" xfId="106"/>
    <cellStyle name="Normal 3 2 3" xfId="107"/>
    <cellStyle name="Normal 3 3" xfId="108"/>
    <cellStyle name="Normal 3 3 2" xfId="109"/>
    <cellStyle name="Normal 3 4" xfId="110"/>
    <cellStyle name="Normal 4" xfId="111"/>
    <cellStyle name="Normal 5" xfId="112"/>
    <cellStyle name="Note" xfId="113" builtinId="10" customBuiltin="1"/>
    <cellStyle name="Output" xfId="114" builtinId="21" customBuiltin="1"/>
    <cellStyle name="Percent" xfId="115" builtinId="5"/>
    <cellStyle name="Percent 2" xfId="116"/>
    <cellStyle name="Percent 2 2" xfId="117"/>
    <cellStyle name="Percent 2 2 2" xfId="118"/>
    <cellStyle name="Percent 2 2 2 2" xfId="119"/>
    <cellStyle name="Percent 2 2 3" xfId="120"/>
    <cellStyle name="Percent 2 3" xfId="121"/>
    <cellStyle name="Percent 2 3 2" xfId="122"/>
    <cellStyle name="Percent 2 4" xfId="123"/>
    <cellStyle name="Percent 3" xfId="124"/>
    <cellStyle name="Title" xfId="125" builtinId="15" customBuiltin="1"/>
    <cellStyle name="Total" xfId="126" builtinId="25" customBuiltin="1"/>
    <cellStyle name="Warning Text" xfId="127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11206</xdr:rowOff>
    </xdr:from>
    <xdr:to>
      <xdr:col>9</xdr:col>
      <xdr:colOff>661147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8143875" y="171450"/>
          <a:ext cx="0" cy="29527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832485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10029825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1036320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 flipH="1">
          <a:off x="9915525" y="209550"/>
          <a:ext cx="19050" cy="31432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627529</xdr:colOff>
      <xdr:row>1</xdr:row>
      <xdr:rowOff>22412</xdr:rowOff>
    </xdr:from>
    <xdr:to>
      <xdr:col>9</xdr:col>
      <xdr:colOff>638735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9963150" y="180975"/>
          <a:ext cx="9525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 flipH="1">
          <a:off x="864870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 flipH="1">
          <a:off x="864870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627529</xdr:colOff>
      <xdr:row>1</xdr:row>
      <xdr:rowOff>22412</xdr:rowOff>
    </xdr:from>
    <xdr:to>
      <xdr:col>9</xdr:col>
      <xdr:colOff>638735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 flipH="1">
          <a:off x="8809504" y="184337"/>
          <a:ext cx="11206" cy="28519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CxnSpPr/>
      </xdr:nvCxnSpPr>
      <xdr:spPr>
        <a:xfrm flipH="1">
          <a:off x="8858250" y="180975"/>
          <a:ext cx="19050" cy="28575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H="1">
          <a:off x="7842997" y="184337"/>
          <a:ext cx="11206" cy="28519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CxnSpPr/>
      </xdr:nvCxnSpPr>
      <xdr:spPr>
        <a:xfrm flipH="1">
          <a:off x="7652497" y="184337"/>
          <a:ext cx="11206" cy="285190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 flipH="1">
          <a:off x="8258175" y="180975"/>
          <a:ext cx="19050" cy="44767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661147</xdr:colOff>
      <xdr:row>1</xdr:row>
      <xdr:rowOff>22412</xdr:rowOff>
    </xdr:from>
    <xdr:to>
      <xdr:col>9</xdr:col>
      <xdr:colOff>672353</xdr:colOff>
      <xdr:row>2</xdr:row>
      <xdr:rowOff>145677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 flipH="1">
          <a:off x="9182100" y="209550"/>
          <a:ext cx="19050" cy="314325"/>
        </a:xfrm>
        <a:prstGeom prst="straightConnector1">
          <a:avLst/>
        </a:prstGeom>
        <a:ln>
          <a:solidFill>
            <a:schemeClr val="accent1"/>
          </a:solidFill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7.xml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8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0.x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1.x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2.x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3.x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</sheetPr>
  <dimension ref="A1:I221"/>
  <sheetViews>
    <sheetView topLeftCell="A4" zoomScale="85" zoomScaleNormal="85" workbookViewId="0">
      <selection activeCell="B92" sqref="B92"/>
    </sheetView>
  </sheetViews>
  <sheetFormatPr defaultColWidth="9.140625" defaultRowHeight="15" x14ac:dyDescent="0.25"/>
  <cols>
    <col min="1" max="1" width="8.140625" customWidth="1" style="48"/>
    <col min="2" max="2" width="51.7109375" customWidth="1" style="47"/>
    <col min="3" max="3" width="15.28515625" customWidth="1" style="46"/>
    <col min="4" max="4" width="17.28515625" customWidth="1" style="46"/>
    <col min="5" max="5" width="11.7109375" customWidth="1" style="45"/>
    <col min="6" max="6" width="14.85546875" customWidth="1" style="45"/>
    <col min="7" max="16384" width="9.140625" customWidth="1" style="157"/>
  </cols>
  <sheetData>
    <row r="1">
      <c r="A1" s="219" t="s">
        <v>136</v>
      </c>
      <c r="B1" s="219"/>
      <c r="C1" s="219"/>
      <c r="D1" s="219"/>
      <c r="E1" s="219"/>
      <c r="F1" s="219"/>
    </row>
    <row r="2">
      <c r="A2" s="219"/>
      <c r="B2" s="219"/>
      <c r="C2" s="219"/>
      <c r="D2" s="219"/>
      <c r="E2" s="219"/>
      <c r="F2" s="219"/>
    </row>
    <row r="3">
      <c r="B3" s="157"/>
      <c r="C3" s="76"/>
      <c r="D3" s="76"/>
      <c r="E3" s="75"/>
      <c r="F3" s="74" t="s">
        <v>123</v>
      </c>
    </row>
    <row r="4" ht="18.75">
      <c r="A4" s="73"/>
      <c r="B4" s="72" t="s">
        <v>137</v>
      </c>
      <c r="C4" s="220" t="s">
        <v>138</v>
      </c>
      <c r="D4" s="220"/>
      <c r="E4" s="220"/>
      <c r="F4" s="220"/>
    </row>
    <row r="5">
      <c r="A5" s="217" t="s">
        <v>1</v>
      </c>
      <c r="B5" s="218"/>
      <c r="C5" s="71" t="str">
        <f>RIGHT('Daily-Report'!J3,10)</f>
        <v>19/01/2024</v>
      </c>
      <c r="D5" s="71" t="str">
        <f>RIGHT('Daily-Report'!A3,10)</f>
        <v>22/01/2024</v>
      </c>
      <c r="E5" s="70" t="s">
        <v>139</v>
      </c>
      <c r="F5" s="70" t="s">
        <v>140</v>
      </c>
    </row>
    <row r="6">
      <c r="A6" s="68">
        <v>1</v>
      </c>
      <c r="B6" s="67" t="s">
        <v>8</v>
      </c>
      <c r="C6" s="57">
        <f>'Daily-Report'!L6</f>
        <v>0</v>
      </c>
      <c r="D6" s="61">
        <f>'Daily-Report'!C6</f>
        <v>0</v>
      </c>
      <c r="E6" s="50">
        <f ref="E6:E28" t="shared" si="0">IFERROR((D6-C6)/C6*100%,0)</f>
        <v>0</v>
      </c>
      <c r="F6" s="56">
        <f ref="F6:F28" t="shared" si="1">D6-C6</f>
        <v>0</v>
      </c>
    </row>
    <row r="7">
      <c r="A7" s="68">
        <v>2</v>
      </c>
      <c r="B7" s="67" t="s">
        <v>24</v>
      </c>
      <c r="C7" s="57">
        <f>'Daily-Report'!L7</f>
        <v>0</v>
      </c>
      <c r="D7" s="61">
        <f>'Daily-Report'!C7</f>
        <v>0</v>
      </c>
      <c r="E7" s="50">
        <f t="shared" si="0"/>
        <v>0</v>
      </c>
      <c r="F7" s="56">
        <f t="shared" si="1"/>
        <v>0</v>
      </c>
    </row>
    <row r="8">
      <c r="A8" s="51" t="s">
        <v>25</v>
      </c>
      <c r="B8" s="181" t="s">
        <v>26</v>
      </c>
      <c r="C8" s="57">
        <f>'Daily-Report'!L8</f>
        <v>0</v>
      </c>
      <c r="D8" s="61">
        <f>'Daily-Report'!C8</f>
        <v>0</v>
      </c>
      <c r="E8" s="50">
        <f t="shared" si="0"/>
        <v>0</v>
      </c>
      <c r="F8" s="56">
        <f t="shared" si="1"/>
        <v>0</v>
      </c>
    </row>
    <row r="9">
      <c r="A9" s="51" t="s">
        <v>28</v>
      </c>
      <c r="B9" s="181" t="s">
        <v>29</v>
      </c>
      <c r="C9" s="57">
        <f>'Daily-Report'!L9</f>
        <v>0</v>
      </c>
      <c r="D9" s="61">
        <f>'Daily-Report'!C9</f>
        <v>0</v>
      </c>
      <c r="E9" s="50">
        <f t="shared" si="0"/>
        <v>0</v>
      </c>
      <c r="F9" s="56">
        <f t="shared" si="1"/>
        <v>0</v>
      </c>
    </row>
    <row r="10">
      <c r="A10" s="51" t="s">
        <v>30</v>
      </c>
      <c r="B10" s="181" t="s">
        <v>31</v>
      </c>
      <c r="C10" s="57">
        <f>'Daily-Report'!L10</f>
        <v>0</v>
      </c>
      <c r="D10" s="61">
        <f>'Daily-Report'!C10</f>
        <v>0</v>
      </c>
      <c r="E10" s="50">
        <f t="shared" si="0"/>
        <v>0</v>
      </c>
      <c r="F10" s="56">
        <f t="shared" si="1"/>
        <v>0</v>
      </c>
    </row>
    <row r="11">
      <c r="A11" s="51" t="s">
        <v>33</v>
      </c>
      <c r="B11" s="181" t="s">
        <v>29</v>
      </c>
      <c r="C11" s="57">
        <f>'Daily-Report'!L11</f>
        <v>0</v>
      </c>
      <c r="D11" s="61">
        <f>'Daily-Report'!C11</f>
        <v>0</v>
      </c>
      <c r="E11" s="50">
        <f t="shared" si="0"/>
        <v>0</v>
      </c>
      <c r="F11" s="56">
        <f t="shared" si="1"/>
        <v>0</v>
      </c>
    </row>
    <row r="12">
      <c r="A12" s="51" t="s">
        <v>34</v>
      </c>
      <c r="B12" s="181" t="s">
        <v>35</v>
      </c>
      <c r="C12" s="57">
        <f>'Daily-Report'!L12</f>
        <v>0</v>
      </c>
      <c r="D12" s="61">
        <f>'Daily-Report'!C12</f>
        <v>0</v>
      </c>
      <c r="E12" s="50">
        <f t="shared" si="0"/>
        <v>0</v>
      </c>
      <c r="F12" s="56">
        <f t="shared" si="1"/>
        <v>0</v>
      </c>
    </row>
    <row r="13">
      <c r="A13" s="51" t="s">
        <v>37</v>
      </c>
      <c r="B13" s="181" t="s">
        <v>29</v>
      </c>
      <c r="C13" s="57">
        <f>'Daily-Report'!L13</f>
        <v>0</v>
      </c>
      <c r="D13" s="61">
        <f>'Daily-Report'!C13</f>
        <v>0</v>
      </c>
      <c r="E13" s="50">
        <f t="shared" si="0"/>
        <v>0</v>
      </c>
      <c r="F13" s="56">
        <f t="shared" si="1"/>
        <v>0</v>
      </c>
    </row>
    <row r="14">
      <c r="A14" s="68">
        <v>3</v>
      </c>
      <c r="B14" s="67" t="s">
        <v>38</v>
      </c>
      <c r="C14" s="57">
        <f>'Daily-Report'!L14</f>
        <v>0</v>
      </c>
      <c r="D14" s="61">
        <f>'Daily-Report'!C14</f>
        <v>0</v>
      </c>
      <c r="E14" s="50">
        <f t="shared" si="0"/>
        <v>0</v>
      </c>
      <c r="F14" s="56">
        <f t="shared" si="1"/>
        <v>0</v>
      </c>
    </row>
    <row r="15">
      <c r="A15" s="68">
        <v>4</v>
      </c>
      <c r="B15" s="67" t="s">
        <v>40</v>
      </c>
      <c r="C15" s="57">
        <f>'Daily-Report'!L15</f>
        <v>0</v>
      </c>
      <c r="D15" s="61">
        <f>'Daily-Report'!C15</f>
        <v>0</v>
      </c>
      <c r="E15" s="50">
        <f t="shared" si="0"/>
        <v>0</v>
      </c>
      <c r="F15" s="56">
        <f t="shared" si="1"/>
        <v>0</v>
      </c>
    </row>
    <row r="16">
      <c r="A16" s="51" t="s">
        <v>42</v>
      </c>
      <c r="B16" s="58" t="s">
        <v>43</v>
      </c>
      <c r="C16" s="57">
        <f>'Daily-Report'!L16</f>
        <v>0</v>
      </c>
      <c r="D16" s="61">
        <f>'Daily-Report'!C16</f>
        <v>0</v>
      </c>
      <c r="E16" s="50">
        <f t="shared" si="0"/>
        <v>0</v>
      </c>
      <c r="F16" s="56">
        <f t="shared" si="1"/>
        <v>0</v>
      </c>
    </row>
    <row r="17">
      <c r="A17" s="68">
        <v>5</v>
      </c>
      <c r="B17" s="67" t="s">
        <v>44</v>
      </c>
      <c r="C17" s="57">
        <f>'Daily-Report'!L17</f>
        <v>0</v>
      </c>
      <c r="D17" s="61">
        <f>'Daily-Report'!C17</f>
        <v>0</v>
      </c>
      <c r="E17" s="50">
        <f t="shared" si="0"/>
        <v>0</v>
      </c>
      <c r="F17" s="56">
        <f t="shared" si="1"/>
        <v>0</v>
      </c>
    </row>
    <row r="18" ht="25.5">
      <c r="A18" s="51" t="s">
        <v>46</v>
      </c>
      <c r="B18" s="58" t="s">
        <v>47</v>
      </c>
      <c r="C18" s="57">
        <f>'Daily-Report'!L18</f>
        <v>0</v>
      </c>
      <c r="D18" s="61">
        <f>'Daily-Report'!C18</f>
        <v>0</v>
      </c>
      <c r="E18" s="50">
        <f t="shared" si="0"/>
        <v>0</v>
      </c>
      <c r="F18" s="56">
        <f t="shared" si="1"/>
        <v>0</v>
      </c>
    </row>
    <row r="19">
      <c r="A19" s="68">
        <v>6</v>
      </c>
      <c r="B19" s="67" t="s">
        <v>48</v>
      </c>
      <c r="C19" s="57">
        <f>'Daily-Report'!L19</f>
        <v>0</v>
      </c>
      <c r="D19" s="61">
        <f>'Daily-Report'!C19</f>
        <v>0</v>
      </c>
      <c r="E19" s="50">
        <f t="shared" si="0"/>
        <v>0</v>
      </c>
      <c r="F19" s="56">
        <f t="shared" si="1"/>
        <v>0</v>
      </c>
    </row>
    <row r="20">
      <c r="A20" s="69" t="s">
        <v>50</v>
      </c>
      <c r="B20" s="158" t="s">
        <v>51</v>
      </c>
      <c r="C20" s="57">
        <f>'Daily-Report'!L20</f>
        <v>0</v>
      </c>
      <c r="D20" s="61">
        <f>'Daily-Report'!C20</f>
        <v>0</v>
      </c>
      <c r="E20" s="50">
        <f t="shared" si="0"/>
        <v>0</v>
      </c>
      <c r="F20" s="56">
        <f t="shared" si="1"/>
        <v>0</v>
      </c>
    </row>
    <row r="21">
      <c r="A21" s="68" t="s">
        <v>52</v>
      </c>
      <c r="B21" s="67" t="s">
        <v>53</v>
      </c>
      <c r="C21" s="57">
        <f>'Daily-Report'!L21</f>
        <v>0</v>
      </c>
      <c r="D21" s="61">
        <f>'Daily-Report'!C21</f>
        <v>0</v>
      </c>
      <c r="E21" s="50">
        <f t="shared" si="0"/>
        <v>0</v>
      </c>
      <c r="F21" s="56">
        <f t="shared" si="1"/>
        <v>0</v>
      </c>
    </row>
    <row r="22" ht="25.5">
      <c r="A22" s="68">
        <v>7</v>
      </c>
      <c r="B22" s="67" t="s">
        <v>54</v>
      </c>
      <c r="C22" s="57">
        <f>'Daily-Report'!L22</f>
        <v>0</v>
      </c>
      <c r="D22" s="61">
        <f>'Daily-Report'!C22</f>
        <v>0</v>
      </c>
      <c r="E22" s="50">
        <f t="shared" si="0"/>
        <v>0</v>
      </c>
      <c r="F22" s="56">
        <f t="shared" si="1"/>
        <v>0</v>
      </c>
    </row>
    <row r="23">
      <c r="A23" s="68">
        <v>8</v>
      </c>
      <c r="B23" s="67" t="s">
        <v>55</v>
      </c>
      <c r="C23" s="57">
        <f>'Daily-Report'!L23</f>
        <v>0</v>
      </c>
      <c r="D23" s="61">
        <f>'Daily-Report'!C23</f>
        <v>0</v>
      </c>
      <c r="E23" s="50">
        <f t="shared" si="0"/>
        <v>0</v>
      </c>
      <c r="F23" s="56">
        <f t="shared" si="1"/>
        <v>0</v>
      </c>
    </row>
    <row r="24">
      <c r="A24" s="68">
        <v>9</v>
      </c>
      <c r="B24" s="67" t="s">
        <v>56</v>
      </c>
      <c r="C24" s="57">
        <f>'Daily-Report'!L24</f>
        <v>0</v>
      </c>
      <c r="D24" s="61">
        <f>'Daily-Report'!C24</f>
        <v>0</v>
      </c>
      <c r="E24" s="50">
        <f t="shared" si="0"/>
        <v>0</v>
      </c>
      <c r="F24" s="56">
        <f t="shared" si="1"/>
        <v>0</v>
      </c>
    </row>
    <row r="25">
      <c r="A25" s="51" t="s">
        <v>57</v>
      </c>
      <c r="B25" s="182" t="s">
        <v>58</v>
      </c>
      <c r="C25" s="57">
        <f>'Daily-Report'!L25</f>
        <v>0</v>
      </c>
      <c r="D25" s="61">
        <f>'Daily-Report'!C25</f>
        <v>0</v>
      </c>
      <c r="E25" s="50">
        <f t="shared" si="0"/>
        <v>0</v>
      </c>
      <c r="F25" s="56">
        <f t="shared" si="1"/>
        <v>0</v>
      </c>
    </row>
    <row r="26">
      <c r="A26" s="51" t="s">
        <v>59</v>
      </c>
      <c r="B26" s="182" t="s">
        <v>60</v>
      </c>
      <c r="C26" s="57">
        <f>'Daily-Report'!L26</f>
        <v>0</v>
      </c>
      <c r="D26" s="61">
        <f>'Daily-Report'!C26</f>
        <v>0</v>
      </c>
      <c r="E26" s="50">
        <f t="shared" si="0"/>
        <v>0</v>
      </c>
      <c r="F26" s="56">
        <f t="shared" si="1"/>
        <v>0</v>
      </c>
    </row>
    <row r="27" ht="30">
      <c r="A27" s="51"/>
      <c r="B27" s="182" t="s">
        <v>61</v>
      </c>
      <c r="C27" s="57">
        <f>'Daily-Report'!L27</f>
        <v>0</v>
      </c>
      <c r="D27" s="61">
        <f>'Daily-Report'!C27</f>
        <v>0</v>
      </c>
      <c r="E27" s="50">
        <f t="shared" si="0"/>
        <v>0</v>
      </c>
      <c r="F27" s="56">
        <f t="shared" si="1"/>
        <v>0</v>
      </c>
    </row>
    <row r="28">
      <c r="A28" s="217" t="s">
        <v>62</v>
      </c>
      <c r="B28" s="218"/>
      <c r="C28" s="65">
        <f>C6+C7+C14+C15+C17+C21+C22+C23+C24</f>
        <v>0</v>
      </c>
      <c r="D28" s="65">
        <f>D6+D7+D14+D15+D17+D21+D22+D23+D24</f>
        <v>0</v>
      </c>
      <c r="E28" s="60">
        <f t="shared" si="0"/>
        <v>0</v>
      </c>
      <c r="F28" s="65">
        <f t="shared" si="1"/>
        <v>0</v>
      </c>
    </row>
    <row r="29">
      <c r="A29" s="217" t="s">
        <v>63</v>
      </c>
      <c r="B29" s="218"/>
      <c r="C29" s="54" t="s">
        <v>2</v>
      </c>
      <c r="D29" s="54" t="s">
        <v>2</v>
      </c>
      <c r="E29" s="60"/>
      <c r="F29" s="65"/>
    </row>
    <row r="30">
      <c r="A30" s="68">
        <v>10</v>
      </c>
      <c r="B30" s="67" t="s">
        <v>64</v>
      </c>
      <c r="C30" s="61">
        <f>'Daily-Report'!L30</f>
        <v>0</v>
      </c>
      <c r="D30" s="61">
        <f>'Daily-Report'!C30</f>
        <v>0</v>
      </c>
      <c r="E30" s="50">
        <f ref="E30:E46" t="shared" si="2">IFERROR((D30-C30)/C30*100%,0)</f>
        <v>0</v>
      </c>
      <c r="F30" s="56">
        <f ref="F30:F46" t="shared" si="3">D30-C30</f>
        <v>0</v>
      </c>
    </row>
    <row r="31">
      <c r="A31" s="66" t="s">
        <v>65</v>
      </c>
      <c r="B31" s="158" t="s">
        <v>66</v>
      </c>
      <c r="C31" s="61">
        <f>'Daily-Report'!L31</f>
        <v>0</v>
      </c>
      <c r="D31" s="61">
        <f>'Daily-Report'!C31</f>
        <v>0</v>
      </c>
      <c r="E31" s="50">
        <f t="shared" si="2"/>
        <v>0</v>
      </c>
      <c r="F31" s="56">
        <f t="shared" si="3"/>
        <v>0</v>
      </c>
    </row>
    <row r="32">
      <c r="A32" s="66" t="s">
        <v>68</v>
      </c>
      <c r="B32" s="158" t="s">
        <v>69</v>
      </c>
      <c r="C32" s="61">
        <f>'Daily-Report'!L32</f>
        <v>0</v>
      </c>
      <c r="D32" s="61">
        <f>'Daily-Report'!C32</f>
        <v>0</v>
      </c>
      <c r="E32" s="50">
        <f t="shared" si="2"/>
        <v>0</v>
      </c>
      <c r="F32" s="56">
        <f t="shared" si="3"/>
        <v>0</v>
      </c>
    </row>
    <row r="33">
      <c r="A33" s="68">
        <v>11</v>
      </c>
      <c r="B33" s="67" t="s">
        <v>70</v>
      </c>
      <c r="C33" s="61">
        <f>'Daily-Report'!L33</f>
        <v>0</v>
      </c>
      <c r="D33" s="61">
        <f>'Daily-Report'!C33</f>
        <v>0</v>
      </c>
      <c r="E33" s="50">
        <f t="shared" si="2"/>
        <v>0</v>
      </c>
      <c r="F33" s="56">
        <f t="shared" si="3"/>
        <v>0</v>
      </c>
    </row>
    <row r="34">
      <c r="A34" s="66" t="s">
        <v>71</v>
      </c>
      <c r="B34" s="158" t="s">
        <v>66</v>
      </c>
      <c r="C34" s="61">
        <f>'Daily-Report'!L34</f>
        <v>0</v>
      </c>
      <c r="D34" s="61">
        <f>'Daily-Report'!C34</f>
        <v>0</v>
      </c>
      <c r="E34" s="50">
        <f t="shared" si="2"/>
        <v>0</v>
      </c>
      <c r="F34" s="56">
        <f t="shared" si="3"/>
        <v>0</v>
      </c>
    </row>
    <row r="35">
      <c r="A35" s="66" t="s">
        <v>72</v>
      </c>
      <c r="B35" s="158" t="s">
        <v>69</v>
      </c>
      <c r="C35" s="61">
        <f>'Daily-Report'!L35</f>
        <v>0</v>
      </c>
      <c r="D35" s="61">
        <f>'Daily-Report'!C35</f>
        <v>0</v>
      </c>
      <c r="E35" s="50">
        <f t="shared" si="2"/>
        <v>0</v>
      </c>
      <c r="F35" s="56">
        <f t="shared" si="3"/>
        <v>0</v>
      </c>
    </row>
    <row r="36">
      <c r="A36" s="68">
        <v>12</v>
      </c>
      <c r="B36" s="67" t="s">
        <v>73</v>
      </c>
      <c r="C36" s="61">
        <f>'Daily-Report'!L36</f>
        <v>0</v>
      </c>
      <c r="D36" s="61">
        <f>'Daily-Report'!C36</f>
        <v>0</v>
      </c>
      <c r="E36" s="50">
        <f t="shared" si="2"/>
        <v>0</v>
      </c>
      <c r="F36" s="56">
        <f t="shared" si="3"/>
        <v>0</v>
      </c>
    </row>
    <row r="37">
      <c r="A37" s="68">
        <v>13</v>
      </c>
      <c r="B37" s="67" t="s">
        <v>74</v>
      </c>
      <c r="C37" s="61">
        <f>'Daily-Report'!L37</f>
        <v>0</v>
      </c>
      <c r="D37" s="61">
        <f>'Daily-Report'!C37</f>
        <v>0</v>
      </c>
      <c r="E37" s="50">
        <f t="shared" si="2"/>
        <v>0</v>
      </c>
      <c r="F37" s="56">
        <f t="shared" si="3"/>
        <v>0</v>
      </c>
    </row>
    <row r="38">
      <c r="A38" s="68">
        <v>14</v>
      </c>
      <c r="B38" s="67" t="s">
        <v>76</v>
      </c>
      <c r="C38" s="61">
        <f>'Daily-Report'!L38</f>
        <v>0</v>
      </c>
      <c r="D38" s="61">
        <f>'Daily-Report'!C38</f>
        <v>0</v>
      </c>
      <c r="E38" s="50">
        <f t="shared" si="2"/>
        <v>0</v>
      </c>
      <c r="F38" s="56">
        <f t="shared" si="3"/>
        <v>0</v>
      </c>
    </row>
    <row r="39">
      <c r="A39" s="66" t="s">
        <v>77</v>
      </c>
      <c r="B39" s="158" t="s">
        <v>78</v>
      </c>
      <c r="C39" s="61">
        <f>'Daily-Report'!L39</f>
        <v>0</v>
      </c>
      <c r="D39" s="61">
        <f>'Daily-Report'!C39</f>
        <v>0</v>
      </c>
      <c r="E39" s="50">
        <f t="shared" si="2"/>
        <v>0</v>
      </c>
      <c r="F39" s="56">
        <f t="shared" si="3"/>
        <v>0</v>
      </c>
    </row>
    <row r="40">
      <c r="A40" s="66" t="s">
        <v>79</v>
      </c>
      <c r="B40" s="158" t="s">
        <v>80</v>
      </c>
      <c r="C40" s="61">
        <f>'Daily-Report'!L40</f>
        <v>0</v>
      </c>
      <c r="D40" s="61">
        <f>'Daily-Report'!C40</f>
        <v>0</v>
      </c>
      <c r="E40" s="50">
        <f t="shared" si="2"/>
        <v>0</v>
      </c>
      <c r="F40" s="56">
        <f t="shared" si="3"/>
        <v>0</v>
      </c>
    </row>
    <row r="41">
      <c r="A41" s="68">
        <v>15</v>
      </c>
      <c r="B41" s="67" t="s">
        <v>82</v>
      </c>
      <c r="C41" s="61">
        <f>'Daily-Report'!L41</f>
        <v>0</v>
      </c>
      <c r="D41" s="61">
        <f>'Daily-Report'!C41</f>
        <v>0</v>
      </c>
      <c r="E41" s="50">
        <f t="shared" si="2"/>
        <v>0</v>
      </c>
      <c r="F41" s="56">
        <f t="shared" si="3"/>
        <v>0</v>
      </c>
    </row>
    <row r="42">
      <c r="A42" s="66" t="s">
        <v>84</v>
      </c>
      <c r="B42" s="158" t="s">
        <v>85</v>
      </c>
      <c r="C42" s="61">
        <f>'Daily-Report'!L42</f>
        <v>0</v>
      </c>
      <c r="D42" s="61">
        <f>'Daily-Report'!C42</f>
        <v>0</v>
      </c>
      <c r="E42" s="50">
        <f t="shared" si="2"/>
        <v>0</v>
      </c>
      <c r="F42" s="56">
        <f t="shared" si="3"/>
        <v>0</v>
      </c>
    </row>
    <row r="43">
      <c r="A43" s="214" t="s">
        <v>86</v>
      </c>
      <c r="B43" s="214"/>
      <c r="C43" s="65">
        <f>C30+C33+C36+C37+C38+C41</f>
        <v>0</v>
      </c>
      <c r="D43" s="65">
        <f>D30+D33+D36+D37+D38+D41</f>
        <v>0</v>
      </c>
      <c r="E43" s="50">
        <f t="shared" si="2"/>
        <v>0</v>
      </c>
      <c r="F43" s="56">
        <f t="shared" si="3"/>
        <v>0</v>
      </c>
    </row>
    <row r="44">
      <c r="A44" s="51">
        <v>16</v>
      </c>
      <c r="B44" s="58" t="s">
        <v>87</v>
      </c>
      <c r="C44" s="61">
        <f>'Daily-Report'!L44</f>
        <v>0</v>
      </c>
      <c r="D44" s="61">
        <f>'Daily-Report'!C44</f>
        <v>0</v>
      </c>
      <c r="E44" s="50">
        <f t="shared" si="2"/>
        <v>0</v>
      </c>
      <c r="F44" s="56">
        <f t="shared" si="3"/>
        <v>0</v>
      </c>
    </row>
    <row r="45">
      <c r="A45" s="51">
        <v>17</v>
      </c>
      <c r="B45" s="158" t="s">
        <v>88</v>
      </c>
      <c r="C45" s="61">
        <f>'Daily-Report'!L45</f>
        <v>0</v>
      </c>
      <c r="D45" s="61">
        <f>'Daily-Report'!C45</f>
        <v>0</v>
      </c>
      <c r="E45" s="50">
        <f t="shared" si="2"/>
        <v>0</v>
      </c>
      <c r="F45" s="56">
        <f t="shared" si="3"/>
        <v>0</v>
      </c>
    </row>
    <row r="46">
      <c r="A46" s="214" t="s">
        <v>89</v>
      </c>
      <c r="B46" s="214"/>
      <c r="C46" s="65">
        <f>C43+C44</f>
        <v>0</v>
      </c>
      <c r="D46" s="65">
        <f>D43+D44</f>
        <v>0</v>
      </c>
      <c r="E46" s="60">
        <f t="shared" si="2"/>
        <v>0</v>
      </c>
      <c r="F46" s="59">
        <f t="shared" si="3"/>
        <v>0</v>
      </c>
      <c r="H46" s="159"/>
      <c r="I46" s="159"/>
    </row>
    <row r="47">
      <c r="A47" s="64"/>
      <c r="B47" s="64"/>
      <c r="C47" s="94"/>
      <c r="D47" s="94"/>
      <c r="E47" s="63"/>
      <c r="F47" s="63"/>
    </row>
    <row r="48" ht="15.75">
      <c r="A48" s="215" t="s">
        <v>141</v>
      </c>
      <c r="B48" s="216"/>
      <c r="C48" s="160"/>
      <c r="D48" s="160"/>
      <c r="E48" s="62"/>
      <c r="F48" s="62"/>
    </row>
    <row r="49" ht="15.75">
      <c r="A49" s="213" t="s">
        <v>91</v>
      </c>
      <c r="B49" s="213"/>
      <c r="C49" s="54" t="s">
        <v>2</v>
      </c>
      <c r="D49" s="54" t="s">
        <v>2</v>
      </c>
      <c r="E49" s="54"/>
      <c r="F49" s="54"/>
    </row>
    <row r="50">
      <c r="A50" s="51">
        <v>1</v>
      </c>
      <c r="B50" s="58" t="s">
        <v>92</v>
      </c>
      <c r="C50" s="61">
        <f>'Daily-Report'!L50</f>
        <v>0</v>
      </c>
      <c r="D50" s="61">
        <f>'Daily-Report'!C50</f>
        <v>0</v>
      </c>
      <c r="E50" s="50">
        <f ref="E50:E57" t="shared" si="4">IFERROR((D50-C50)/C50*100%,0)</f>
        <v>0</v>
      </c>
      <c r="F50" s="56">
        <f ref="F50:F57" t="shared" si="5">D50-C50</f>
        <v>0</v>
      </c>
    </row>
    <row r="51">
      <c r="A51" s="51">
        <v>2</v>
      </c>
      <c r="B51" s="58" t="s">
        <v>93</v>
      </c>
      <c r="C51" s="61">
        <f>'Daily-Report'!L51</f>
        <v>0</v>
      </c>
      <c r="D51" s="61">
        <f>'Daily-Report'!C51</f>
        <v>0</v>
      </c>
      <c r="E51" s="50">
        <f t="shared" si="4"/>
        <v>0</v>
      </c>
      <c r="F51" s="56">
        <f t="shared" si="5"/>
        <v>0</v>
      </c>
    </row>
    <row r="52">
      <c r="A52" s="51">
        <v>3</v>
      </c>
      <c r="B52" s="58" t="s">
        <v>94</v>
      </c>
      <c r="C52" s="61">
        <f>'Daily-Report'!L52</f>
        <v>0</v>
      </c>
      <c r="D52" s="61">
        <f>'Daily-Report'!C52</f>
        <v>0</v>
      </c>
      <c r="E52" s="50">
        <f t="shared" si="4"/>
        <v>0</v>
      </c>
      <c r="F52" s="56">
        <f t="shared" si="5"/>
        <v>0</v>
      </c>
    </row>
    <row r="53">
      <c r="A53" s="51">
        <v>4</v>
      </c>
      <c r="B53" s="58" t="s">
        <v>95</v>
      </c>
      <c r="C53" s="61">
        <f>'Daily-Report'!L53</f>
        <v>0</v>
      </c>
      <c r="D53" s="61">
        <f>'Daily-Report'!C53</f>
        <v>0</v>
      </c>
      <c r="E53" s="50">
        <f t="shared" si="4"/>
        <v>0</v>
      </c>
      <c r="F53" s="56">
        <f t="shared" si="5"/>
        <v>0</v>
      </c>
    </row>
    <row r="54">
      <c r="A54" s="51">
        <v>5</v>
      </c>
      <c r="B54" s="58" t="s">
        <v>96</v>
      </c>
      <c r="C54" s="61">
        <f>'Daily-Report'!L54</f>
        <v>0</v>
      </c>
      <c r="D54" s="61">
        <f>'Daily-Report'!C54</f>
        <v>0</v>
      </c>
      <c r="E54" s="50">
        <f t="shared" si="4"/>
        <v>0</v>
      </c>
      <c r="F54" s="56">
        <f t="shared" si="5"/>
        <v>0</v>
      </c>
    </row>
    <row r="55">
      <c r="A55" s="51">
        <v>6</v>
      </c>
      <c r="B55" s="58" t="s">
        <v>97</v>
      </c>
      <c r="C55" s="61">
        <f>'Daily-Report'!L55</f>
        <v>0</v>
      </c>
      <c r="D55" s="61">
        <f>'Daily-Report'!C55</f>
        <v>0</v>
      </c>
      <c r="E55" s="50">
        <f t="shared" si="4"/>
        <v>0</v>
      </c>
      <c r="F55" s="56">
        <f t="shared" si="5"/>
        <v>0</v>
      </c>
    </row>
    <row r="56">
      <c r="A56" s="51">
        <v>7</v>
      </c>
      <c r="B56" s="58" t="s">
        <v>98</v>
      </c>
      <c r="C56" s="61">
        <f>'Daily-Report'!L56</f>
        <v>0</v>
      </c>
      <c r="D56" s="61">
        <f>'Daily-Report'!C56</f>
        <v>0</v>
      </c>
      <c r="E56" s="50">
        <f t="shared" si="4"/>
        <v>0</v>
      </c>
      <c r="F56" s="56">
        <f t="shared" si="5"/>
        <v>0</v>
      </c>
    </row>
    <row r="57">
      <c r="A57" s="217" t="s">
        <v>99</v>
      </c>
      <c r="B57" s="218" t="s">
        <v>2</v>
      </c>
      <c r="C57" s="54">
        <f>C50+C51+C52+C53+C54+C55+C56</f>
        <v>0</v>
      </c>
      <c r="D57" s="54">
        <f>D50+D51+D52+D53+D54+D55+D56</f>
        <v>0</v>
      </c>
      <c r="E57" s="60">
        <f t="shared" si="4"/>
        <v>0</v>
      </c>
      <c r="F57" s="59">
        <f t="shared" si="5"/>
        <v>0</v>
      </c>
    </row>
    <row r="58" ht="15.75">
      <c r="A58" s="213" t="s">
        <v>100</v>
      </c>
      <c r="B58" s="213"/>
      <c r="C58" s="54" t="s">
        <v>2</v>
      </c>
      <c r="D58" s="54" t="s">
        <v>2</v>
      </c>
      <c r="E58" s="55"/>
      <c r="F58" s="55"/>
    </row>
    <row r="59">
      <c r="A59" s="51">
        <v>1</v>
      </c>
      <c r="B59" s="58" t="s">
        <v>101</v>
      </c>
      <c r="C59" s="61">
        <f>'Daily-Report'!L59</f>
        <v>0</v>
      </c>
      <c r="D59" s="61">
        <f>'Daily-Report'!C59</f>
        <v>0</v>
      </c>
      <c r="E59" s="50">
        <f ref="E59:E64" t="shared" si="6">IFERROR((D59-C59)/C59*100%,0)</f>
        <v>0</v>
      </c>
      <c r="F59" s="56">
        <f ref="F59:F64" t="shared" si="7">D59-C59</f>
        <v>0</v>
      </c>
    </row>
    <row r="60">
      <c r="A60" s="51">
        <v>3</v>
      </c>
      <c r="B60" s="58" t="s">
        <v>95</v>
      </c>
      <c r="C60" s="61">
        <f>'Daily-Report'!L60</f>
        <v>0</v>
      </c>
      <c r="D60" s="61">
        <f>'Daily-Report'!C60</f>
        <v>0</v>
      </c>
      <c r="E60" s="50">
        <f t="shared" si="6"/>
        <v>0</v>
      </c>
      <c r="F60" s="56">
        <f t="shared" si="7"/>
        <v>0</v>
      </c>
    </row>
    <row r="61">
      <c r="A61" s="51">
        <v>4</v>
      </c>
      <c r="B61" s="58" t="s">
        <v>96</v>
      </c>
      <c r="C61" s="61">
        <f>'Daily-Report'!L61</f>
        <v>0</v>
      </c>
      <c r="D61" s="61">
        <f>'Daily-Report'!C61</f>
        <v>0</v>
      </c>
      <c r="E61" s="50">
        <f t="shared" si="6"/>
        <v>0</v>
      </c>
      <c r="F61" s="56">
        <f t="shared" si="7"/>
        <v>0</v>
      </c>
    </row>
    <row r="62">
      <c r="A62" s="51">
        <v>5</v>
      </c>
      <c r="B62" s="58" t="s">
        <v>97</v>
      </c>
      <c r="C62" s="61">
        <f>'Daily-Report'!L62</f>
        <v>0</v>
      </c>
      <c r="D62" s="61">
        <f>'Daily-Report'!C62</f>
        <v>0</v>
      </c>
      <c r="E62" s="50">
        <f t="shared" si="6"/>
        <v>0</v>
      </c>
      <c r="F62" s="56">
        <f t="shared" si="7"/>
        <v>0</v>
      </c>
    </row>
    <row r="63">
      <c r="A63" s="51">
        <v>6</v>
      </c>
      <c r="B63" s="58" t="s">
        <v>102</v>
      </c>
      <c r="C63" s="61">
        <f>'Daily-Report'!L63</f>
        <v>0</v>
      </c>
      <c r="D63" s="61">
        <f>'Daily-Report'!C63</f>
        <v>0</v>
      </c>
      <c r="E63" s="50">
        <f t="shared" si="6"/>
        <v>0</v>
      </c>
      <c r="F63" s="56">
        <f t="shared" si="7"/>
        <v>0</v>
      </c>
    </row>
    <row r="64">
      <c r="A64" s="213" t="s">
        <v>103</v>
      </c>
      <c r="B64" s="213" t="s">
        <v>2</v>
      </c>
      <c r="C64" s="54">
        <f>C59+C60+C61+C62+C63</f>
        <v>0</v>
      </c>
      <c r="D64" s="54">
        <f>D59+D60+D61+D62+D63</f>
        <v>0</v>
      </c>
      <c r="E64" s="55">
        <f t="shared" si="6"/>
        <v>0</v>
      </c>
      <c r="F64" s="54">
        <f t="shared" si="7"/>
        <v>0</v>
      </c>
    </row>
    <row r="65">
      <c r="A65" s="213" t="s">
        <v>104</v>
      </c>
      <c r="B65" s="213" t="s">
        <v>2</v>
      </c>
      <c r="C65" s="54"/>
      <c r="D65" s="54"/>
      <c r="E65" s="54"/>
      <c r="F65" s="54"/>
    </row>
    <row r="66" ht="15.75">
      <c r="A66" s="51">
        <v>1</v>
      </c>
      <c r="B66" s="177" t="s">
        <v>105</v>
      </c>
      <c r="C66" s="178">
        <f>'Daily-Report'!L66</f>
        <v>0</v>
      </c>
      <c r="D66" s="179">
        <f>'Daily-Report'!C66</f>
        <v>0</v>
      </c>
      <c r="E66" s="50">
        <f ref="E66:E83" t="shared" si="8">IFERROR((D66-C66)/C66*100%,0)</f>
        <v>0</v>
      </c>
      <c r="F66" s="56">
        <f>D66-C66</f>
        <v>0</v>
      </c>
    </row>
    <row r="67" ht="15.75">
      <c r="A67" s="51">
        <v>2</v>
      </c>
      <c r="B67" s="177" t="s">
        <v>106</v>
      </c>
      <c r="C67" s="178">
        <f>'Daily-Report'!L67</f>
        <v>0</v>
      </c>
      <c r="D67" s="179">
        <f>'Daily-Report'!C67</f>
        <v>0</v>
      </c>
      <c r="E67" s="50">
        <f t="shared" si="8"/>
        <v>0</v>
      </c>
      <c r="F67" s="56">
        <f ref="F67:F83" t="shared" si="9">D67-C67</f>
        <v>0</v>
      </c>
    </row>
    <row r="68" ht="15.75">
      <c r="A68" s="51">
        <v>3</v>
      </c>
      <c r="B68" s="177" t="s">
        <v>107</v>
      </c>
      <c r="C68" s="178">
        <f>'Daily-Report'!L68</f>
        <v>0</v>
      </c>
      <c r="D68" s="179">
        <f>'Daily-Report'!C68</f>
        <v>0</v>
      </c>
      <c r="E68" s="50">
        <f t="shared" si="8"/>
        <v>0</v>
      </c>
      <c r="F68" s="56">
        <f t="shared" si="9"/>
        <v>0</v>
      </c>
    </row>
    <row r="69" ht="15.75">
      <c r="A69" s="51">
        <v>4</v>
      </c>
      <c r="B69" s="177" t="s">
        <v>108</v>
      </c>
      <c r="C69" s="178">
        <f>'Daily-Report'!L69</f>
        <v>0</v>
      </c>
      <c r="D69" s="179">
        <f>'Daily-Report'!C69</f>
        <v>0</v>
      </c>
      <c r="E69" s="50">
        <f t="shared" si="8"/>
        <v>0</v>
      </c>
      <c r="F69" s="56">
        <f t="shared" si="9"/>
        <v>0</v>
      </c>
    </row>
    <row r="70" ht="15.75">
      <c r="A70" s="51">
        <v>5</v>
      </c>
      <c r="B70" s="177" t="s">
        <v>109</v>
      </c>
      <c r="C70" s="178">
        <f>'Daily-Report'!L70</f>
        <v>0</v>
      </c>
      <c r="D70" s="179" t="e">
        <f>'Daily-Report'!#REF!</f>
        <v>#REF!</v>
      </c>
      <c r="E70" s="50">
        <f t="shared" si="8"/>
        <v>0</v>
      </c>
      <c r="F70" s="56" t="e">
        <f t="shared" si="9"/>
        <v>#REF!</v>
      </c>
    </row>
    <row r="71" ht="15.75">
      <c r="A71" s="51">
        <v>6</v>
      </c>
      <c r="B71" s="177" t="s">
        <v>110</v>
      </c>
      <c r="C71" s="178">
        <f>'Daily-Report'!L71</f>
        <v>0</v>
      </c>
      <c r="D71" s="179">
        <f>'Daily-Report'!C70</f>
        <v>0</v>
      </c>
      <c r="E71" s="50">
        <f t="shared" si="8"/>
        <v>0</v>
      </c>
      <c r="F71" s="56">
        <f t="shared" si="9"/>
        <v>0</v>
      </c>
    </row>
    <row r="72" ht="15.75">
      <c r="A72" s="51">
        <v>7</v>
      </c>
      <c r="B72" s="177" t="s">
        <v>111</v>
      </c>
      <c r="C72" s="178">
        <f>'Daily-Report'!L72</f>
        <v>0</v>
      </c>
      <c r="D72" s="179" t="e">
        <f>'Daily-Report'!#REF!</f>
        <v>#REF!</v>
      </c>
      <c r="E72" s="50">
        <f t="shared" si="8"/>
        <v>0</v>
      </c>
      <c r="F72" s="56" t="e">
        <f t="shared" si="9"/>
        <v>#REF!</v>
      </c>
    </row>
    <row r="73" ht="15.75">
      <c r="A73" s="51">
        <v>8</v>
      </c>
      <c r="B73" s="177" t="s">
        <v>112</v>
      </c>
      <c r="C73" s="178">
        <f>'Daily-Report'!L73</f>
        <v>0</v>
      </c>
      <c r="D73" s="179">
        <f>'Daily-Report'!C72</f>
        <v>0</v>
      </c>
      <c r="E73" s="50">
        <f t="shared" si="8"/>
        <v>0</v>
      </c>
      <c r="F73" s="56">
        <f t="shared" si="9"/>
        <v>0</v>
      </c>
    </row>
    <row r="74" ht="15.75">
      <c r="A74" s="51">
        <v>9</v>
      </c>
      <c r="B74" s="177" t="s">
        <v>113</v>
      </c>
      <c r="C74" s="178" t="e">
        <f>'Daily-Report'!#REF!</f>
        <v>#REF!</v>
      </c>
      <c r="D74" s="179" t="e">
        <f>'Daily-Report'!#REF!</f>
        <v>#REF!</v>
      </c>
      <c r="E74" s="50">
        <f t="shared" si="8"/>
        <v>0</v>
      </c>
      <c r="F74" s="56" t="e">
        <f t="shared" si="9"/>
        <v>#REF!</v>
      </c>
    </row>
    <row r="75" ht="15.75">
      <c r="A75" s="51">
        <v>10</v>
      </c>
      <c r="B75" s="177" t="s">
        <v>114</v>
      </c>
      <c r="C75" s="178">
        <f>'Daily-Report'!L74</f>
        <v>0</v>
      </c>
      <c r="D75" s="179">
        <f>'Daily-Report'!C74</f>
        <v>0</v>
      </c>
      <c r="E75" s="50">
        <f t="shared" si="8"/>
        <v>0</v>
      </c>
      <c r="F75" s="56">
        <f t="shared" si="9"/>
        <v>0</v>
      </c>
    </row>
    <row r="76" ht="15.75">
      <c r="A76" s="51">
        <v>11</v>
      </c>
      <c r="B76" s="177" t="s">
        <v>115</v>
      </c>
      <c r="C76" s="178">
        <f>'Daily-Report'!L75</f>
        <v>0</v>
      </c>
      <c r="D76" s="179">
        <f>'Daily-Report'!C75</f>
        <v>0</v>
      </c>
      <c r="E76" s="50">
        <f t="shared" si="8"/>
        <v>0</v>
      </c>
      <c r="F76" s="56">
        <f t="shared" si="9"/>
        <v>0</v>
      </c>
    </row>
    <row r="77" ht="15.75">
      <c r="A77" s="51">
        <v>12</v>
      </c>
      <c r="B77" s="183" t="s">
        <v>116</v>
      </c>
      <c r="C77" s="178">
        <f>'Daily-Report'!L76</f>
        <v>0</v>
      </c>
      <c r="D77" s="179">
        <f>'Daily-Report'!C76</f>
        <v>0</v>
      </c>
      <c r="E77" s="50">
        <f t="shared" si="8"/>
        <v>0</v>
      </c>
      <c r="F77" s="56">
        <f t="shared" si="9"/>
        <v>0</v>
      </c>
    </row>
    <row r="78" ht="15.75">
      <c r="A78" s="51">
        <v>13</v>
      </c>
      <c r="B78" s="177" t="s">
        <v>117</v>
      </c>
      <c r="C78" s="178">
        <f>'Daily-Report'!L77</f>
        <v>0</v>
      </c>
      <c r="D78" s="179">
        <f>'Daily-Report'!C77</f>
        <v>0</v>
      </c>
      <c r="E78" s="50">
        <f t="shared" si="8"/>
        <v>0</v>
      </c>
      <c r="F78" s="56">
        <f t="shared" si="9"/>
        <v>0</v>
      </c>
    </row>
    <row r="79" ht="15.75">
      <c r="A79" s="51">
        <v>14</v>
      </c>
      <c r="B79" s="177" t="s">
        <v>118</v>
      </c>
      <c r="C79" s="178">
        <f>'Daily-Report'!L79</f>
        <v>0</v>
      </c>
      <c r="D79" s="179">
        <f>'Daily-Report'!C79</f>
        <v>0</v>
      </c>
      <c r="E79" s="50">
        <f t="shared" si="8"/>
        <v>0</v>
      </c>
      <c r="F79" s="56">
        <f t="shared" si="9"/>
        <v>0</v>
      </c>
    </row>
    <row r="80" ht="15.75">
      <c r="A80" s="51">
        <v>15</v>
      </c>
      <c r="B80" s="180" t="s">
        <v>119</v>
      </c>
      <c r="C80" s="178">
        <f>'Daily-Report'!L80</f>
        <v>0</v>
      </c>
      <c r="D80" s="179">
        <f>'Daily-Report'!C80</f>
        <v>0</v>
      </c>
      <c r="E80" s="50">
        <f t="shared" si="8"/>
        <v>0</v>
      </c>
      <c r="F80" s="56">
        <f t="shared" si="9"/>
        <v>0</v>
      </c>
    </row>
    <row r="81" ht="15.75">
      <c r="A81" s="51">
        <v>16</v>
      </c>
      <c r="B81" s="177" t="s">
        <v>120</v>
      </c>
      <c r="C81" s="178">
        <f>'Daily-Report'!L81</f>
        <v>0</v>
      </c>
      <c r="D81" s="179">
        <f>'Daily-Report'!C81</f>
        <v>0</v>
      </c>
      <c r="E81" s="50">
        <f t="shared" si="8"/>
        <v>0</v>
      </c>
      <c r="F81" s="56">
        <f t="shared" si="9"/>
        <v>0</v>
      </c>
    </row>
    <row r="82" ht="15.75">
      <c r="A82" s="51">
        <v>17</v>
      </c>
      <c r="B82" s="177" t="s">
        <v>121</v>
      </c>
      <c r="C82" s="178">
        <f>'Daily-Report'!L82</f>
        <v>0</v>
      </c>
      <c r="D82" s="179">
        <f>'Daily-Report'!C82</f>
        <v>0</v>
      </c>
      <c r="E82" s="50">
        <f t="shared" si="8"/>
        <v>0</v>
      </c>
      <c r="F82" s="56">
        <f t="shared" si="9"/>
        <v>0</v>
      </c>
    </row>
    <row r="83" ht="15.75">
      <c r="A83" s="51">
        <v>18</v>
      </c>
      <c r="B83" s="177" t="s">
        <v>122</v>
      </c>
      <c r="C83" s="178">
        <f>'Daily-Report'!L83</f>
        <v>0</v>
      </c>
      <c r="D83" s="179">
        <f>'Daily-Report'!C83</f>
        <v>0</v>
      </c>
      <c r="E83" s="50">
        <f t="shared" si="8"/>
        <v>0</v>
      </c>
      <c r="F83" s="56">
        <f t="shared" si="9"/>
        <v>0</v>
      </c>
    </row>
    <row r="84" ht="24.75" customHeight="1">
      <c r="A84" s="221" t="s">
        <v>142</v>
      </c>
      <c r="B84" s="223" t="s">
        <v>143</v>
      </c>
      <c r="C84" s="223"/>
      <c r="D84" s="223"/>
      <c r="E84" s="223"/>
      <c r="F84" s="223"/>
    </row>
    <row r="85" ht="24.75" customHeight="1">
      <c r="A85" s="222"/>
      <c r="B85" s="224"/>
      <c r="C85" s="224"/>
      <c r="D85" s="224"/>
      <c r="E85" s="224"/>
      <c r="F85" s="224"/>
    </row>
    <row r="86" ht="17.25" customHeight="1">
      <c r="A86" s="222" t="s">
        <v>144</v>
      </c>
      <c r="B86" s="224" t="s">
        <v>145</v>
      </c>
      <c r="C86" s="224"/>
      <c r="D86" s="224"/>
      <c r="E86" s="224"/>
      <c r="F86" s="224"/>
    </row>
    <row r="87" ht="17.25" customHeight="1">
      <c r="A87" s="222"/>
      <c r="B87" s="224"/>
      <c r="C87" s="224"/>
      <c r="D87" s="224"/>
      <c r="E87" s="224"/>
      <c r="F87" s="224"/>
    </row>
    <row r="89">
      <c r="B89" s="7"/>
      <c r="C89" s="7"/>
      <c r="D89" s="9"/>
      <c r="E89" s="9"/>
    </row>
    <row r="90">
      <c r="B90" s="174" t="s">
        <v>146</v>
      </c>
      <c r="C90" s="175">
        <f>'Daily-Report'!L81</f>
        <v>0</v>
      </c>
      <c r="D90" s="175">
        <f>'Daily-Report'!C81</f>
        <v>0</v>
      </c>
    </row>
    <row r="91">
      <c r="B91" s="174" t="s">
        <v>121</v>
      </c>
      <c r="C91" s="175">
        <f>'Daily-Report'!L82</f>
        <v>0</v>
      </c>
      <c r="D91" s="175">
        <f>'Daily-Report'!C82</f>
        <v>0</v>
      </c>
    </row>
    <row r="92">
      <c r="B92" s="176" t="s">
        <v>147</v>
      </c>
      <c r="C92" s="175">
        <f>'Daily-Report'!L83</f>
        <v>0</v>
      </c>
      <c r="D92" s="175">
        <f>'Daily-Report'!C83</f>
        <v>0</v>
      </c>
    </row>
    <row r="93">
      <c r="B93" s="7"/>
      <c r="C93" s="7"/>
      <c r="D93" s="9"/>
      <c r="E93" s="9"/>
    </row>
    <row r="221">
      <c r="E221" s="49"/>
      <c r="F221" s="49"/>
    </row>
  </sheetData>
  <mergeCells>
    <mergeCell ref="A84:A85"/>
    <mergeCell ref="B84:F85"/>
    <mergeCell ref="A86:A87"/>
    <mergeCell ref="B86:F87"/>
    <mergeCell ref="A64:B64"/>
    <mergeCell ref="A1:F2"/>
    <mergeCell ref="C4:F4"/>
    <mergeCell ref="A5:B5"/>
    <mergeCell ref="A28:B28"/>
    <mergeCell ref="A29:B29"/>
    <mergeCell ref="A58:B58"/>
    <mergeCell ref="A65:B65"/>
    <mergeCell ref="A43:B43"/>
    <mergeCell ref="A46:B46"/>
    <mergeCell ref="A48:B48"/>
    <mergeCell ref="A49:B49"/>
    <mergeCell ref="A57:B57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2"/>
  <sheetViews>
    <sheetView workbookViewId="0">
      <selection sqref="A1:H1"/>
    </sheetView>
  </sheetViews>
  <sheetFormatPr defaultColWidth="9.140625" defaultRowHeight="15" x14ac:dyDescent="0.25"/>
  <cols>
    <col min="1" max="1" width="5" customWidth="1" style="77"/>
    <col min="2" max="2" bestFit="1" width="37.7109375" customWidth="1" style="77"/>
    <col min="3" max="7" width="13.28515625" customWidth="1" style="77"/>
    <col min="8" max="9" width="13.7109375" customWidth="1" style="77"/>
    <col min="10" max="12" width="13.28515625" customWidth="1" style="77"/>
    <col min="13" max="16384" width="9.140625" customWidth="1" style="77"/>
  </cols>
  <sheetData>
    <row r="1" ht="16.5">
      <c r="A1" s="92"/>
      <c r="B1" s="91"/>
      <c r="L1" s="90" t="s">
        <v>123</v>
      </c>
    </row>
    <row r="2" ht="72.75">
      <c r="A2" s="89" t="s">
        <v>124</v>
      </c>
      <c r="B2" s="88" t="s">
        <v>125</v>
      </c>
      <c r="C2" s="87" t="s">
        <v>126</v>
      </c>
      <c r="D2" s="87" t="s">
        <v>127</v>
      </c>
      <c r="E2" s="87" t="s">
        <v>128</v>
      </c>
      <c r="F2" s="87" t="s">
        <v>129</v>
      </c>
      <c r="G2" s="87" t="s">
        <v>130</v>
      </c>
      <c r="H2" s="87" t="s">
        <v>131</v>
      </c>
      <c r="I2" s="87" t="s">
        <v>132</v>
      </c>
      <c r="J2" s="87" t="s">
        <v>133</v>
      </c>
      <c r="K2" s="87" t="s">
        <v>134</v>
      </c>
      <c r="L2" s="86" t="s">
        <v>119</v>
      </c>
    </row>
    <row r="3" ht="18">
      <c r="A3" s="85">
        <v>1</v>
      </c>
      <c r="B3" s="84" t="s">
        <v>135</v>
      </c>
      <c r="C3" s="83">
        <f>Daily!F28</f>
        <v>0</v>
      </c>
      <c r="D3" s="82">
        <f>Daily!E28</f>
        <v>0</v>
      </c>
      <c r="E3" s="82">
        <f>Daily!D78</f>
        <v>0</v>
      </c>
      <c r="F3" s="82">
        <f>Daily!D79</f>
        <v>0</v>
      </c>
      <c r="G3" s="82">
        <f>Daily!E20</f>
        <v>0</v>
      </c>
      <c r="H3" s="82">
        <f>Daily!E35</f>
        <v>0</v>
      </c>
      <c r="I3" s="82">
        <f>Daily!E45</f>
        <v>0</v>
      </c>
      <c r="J3" s="82">
        <f>Daily!E44</f>
        <v>0</v>
      </c>
      <c r="K3" s="81" t="e">
        <f>Daily!D74</f>
        <v>#REF!</v>
      </c>
      <c r="L3" s="80">
        <f>Daily!D80</f>
        <v>0</v>
      </c>
    </row>
    <row r="22">
      <c r="D22" s="79"/>
      <c r="E22" s="79"/>
      <c r="F22" s="78"/>
    </row>
  </sheetData>
  <sheetProtection password="DC99" sheet="1" objects="1" scenarios="1"/>
  <pageMargins left="0.7" right="0.7" top="0.75" bottom="0.75" header="0.3" footer="0.3"/>
  <pageSetup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FF97A5A-D1A1-46BA-84AD-C5B18530A6A2}">
            <xm:f>(Daily!#REF!+Daily!#REF!)&lt;0</xm:f>
            <x14:dxf>
              <font>
                <color rgb="FFFF0000"/>
              </font>
            </x14:dxf>
          </x14:cfRule>
          <xm:sqref>I3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7030A0"/>
  </sheetPr>
  <dimension ref="A1:Z1048566"/>
  <sheetViews>
    <sheetView showGridLines="0" tabSelected="1" zoomScale="85" zoomScaleNormal="85" zoomScaleSheetLayoutView="100" workbookViewId="0">
      <selection activeCell="A3" sqref="A3:B3"/>
    </sheetView>
  </sheetViews>
  <sheetFormatPr defaultColWidth="9.140625" defaultRowHeight="15" outlineLevelCol="1" x14ac:dyDescent="0.25"/>
  <cols>
    <col min="1" max="1" width="6.28515625" customWidth="1" style="1"/>
    <col min="2" max="2" width="46.28515625" customWidth="1" style="7"/>
    <col min="3" max="3" width="18.5703125" customWidth="1" style="9"/>
    <col min="4" max="4" width="16.5703125" customWidth="1" style="9"/>
    <col min="5" max="5" width="15" customWidth="1" style="9"/>
    <col min="6" max="6" width="18" customWidth="1" style="9"/>
    <col min="7" max="8" width="15" customWidth="1" style="9"/>
    <col min="9" max="9" width="9.140625" customWidth="1" style="7"/>
    <col min="10" max="10" width="8.28515625" customWidth="1" outlineLevel="1" style="7"/>
    <col min="11" max="11" width="49.7109375" customWidth="1" outlineLevel="1" style="7"/>
    <col min="12" max="12" width="18.28515625" customWidth="1" style="7"/>
    <col min="13" max="14" width="14.7109375" customWidth="1" outlineLevel="1" style="7"/>
    <col min="15" max="15" width="13.28515625" customWidth="1" outlineLevel="1" style="7"/>
    <col min="16" max="16" width="13" customWidth="1" outlineLevel="1" style="7"/>
    <col min="17" max="17" width="12.140625" customWidth="1" outlineLevel="1" style="7"/>
    <col min="18" max="18" width="9.140625" customWidth="1" style="7"/>
    <col min="19" max="19" bestFit="1" width="14.7109375" customWidth="1" style="7"/>
    <col min="20" max="21" width="14.7109375" customWidth="1" outlineLevel="1" style="7"/>
    <col min="22" max="22" width="13.28515625" customWidth="1" outlineLevel="1" style="7"/>
    <col min="23" max="23" width="10.28515625" customWidth="1" outlineLevel="1" style="7"/>
    <col min="24" max="24" width="12.140625" customWidth="1" outlineLevel="1" style="7"/>
    <col min="25" max="25" width="18" customWidth="1" style="7"/>
    <col min="26" max="16384" width="9.140625" customWidth="1" style="7"/>
  </cols>
  <sheetData>
    <row r="1" ht="32.25" customHeight="1">
      <c r="A1" s="233" t="s">
        <v>15</v>
      </c>
      <c r="B1" s="233"/>
      <c r="C1" s="233"/>
      <c r="D1" s="233"/>
      <c r="E1" s="233"/>
      <c r="F1" s="233"/>
      <c r="G1" s="233"/>
      <c r="H1" s="233"/>
    </row>
    <row r="2" ht="19.5" customHeight="1">
      <c r="A2" s="235" t="s">
        <v>16</v>
      </c>
      <c r="B2" s="235"/>
      <c r="C2" s="8"/>
      <c r="D2" s="8"/>
      <c r="E2" s="8"/>
      <c r="F2" s="8"/>
      <c r="G2" s="8"/>
      <c r="H2" s="8"/>
    </row>
    <row r="3" ht="33" customHeight="1">
      <c r="A3" s="236" t="s">
        <v>17</v>
      </c>
      <c r="B3" s="236"/>
      <c r="C3" s="8"/>
      <c r="D3" s="8"/>
      <c r="E3" s="8"/>
      <c r="F3" s="8"/>
      <c r="G3" s="8"/>
      <c r="H3" s="8"/>
      <c r="J3" s="243" t="s">
        <v>18</v>
      </c>
      <c r="K3" s="243"/>
      <c r="L3" s="25"/>
      <c r="M3" s="25"/>
      <c r="N3" s="25"/>
      <c r="O3" s="25"/>
      <c r="P3" s="25"/>
      <c r="Q3" s="25"/>
      <c r="S3" s="240" t="str">
        <f>A3</f>
        <v>Tarix: 22/01/2024</v>
      </c>
      <c r="T3" s="240"/>
      <c r="U3" s="239" t="s">
        <v>19</v>
      </c>
      <c r="V3" s="239"/>
      <c r="W3" s="241" t="str">
        <f>J3</f>
        <v>Tarix :30-01-2025</v>
      </c>
      <c r="X3" s="241"/>
    </row>
    <row r="4" ht="34.5" customHeight="1">
      <c r="A4" s="234" t="s">
        <v>20</v>
      </c>
      <c r="B4" s="234"/>
      <c r="C4" s="225"/>
      <c r="D4" s="225"/>
      <c r="E4" s="225"/>
      <c r="F4" s="225"/>
      <c r="G4" s="225"/>
      <c r="H4" s="225"/>
      <c r="J4" s="242" t="s">
        <v>20</v>
      </c>
      <c r="K4" s="237"/>
      <c r="L4" s="237"/>
      <c r="M4" s="237"/>
      <c r="N4" s="237"/>
      <c r="O4" s="237"/>
      <c r="P4" s="237"/>
      <c r="Q4" s="238"/>
      <c r="S4" s="237" t="s">
        <v>21</v>
      </c>
      <c r="T4" s="237"/>
      <c r="U4" s="237"/>
      <c r="V4" s="237"/>
      <c r="W4" s="237"/>
      <c r="X4" s="238"/>
    </row>
    <row r="5" ht="18.75" customHeight="1">
      <c r="A5" s="227" t="s">
        <v>1</v>
      </c>
      <c r="B5" s="228"/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J5" s="227" t="s">
        <v>1</v>
      </c>
      <c r="K5" s="228"/>
      <c r="L5" s="26" t="s">
        <v>2</v>
      </c>
      <c r="M5" s="26" t="s">
        <v>3</v>
      </c>
      <c r="N5" s="26" t="s">
        <v>4</v>
      </c>
      <c r="O5" s="26" t="s">
        <v>5</v>
      </c>
      <c r="P5" s="26" t="s">
        <v>6</v>
      </c>
      <c r="Q5" s="26" t="s">
        <v>7</v>
      </c>
      <c r="S5" s="26" t="s">
        <v>2</v>
      </c>
      <c r="T5" s="26" t="s">
        <v>3</v>
      </c>
      <c r="U5" s="26" t="s">
        <v>4</v>
      </c>
      <c r="V5" s="26" t="s">
        <v>5</v>
      </c>
      <c r="W5" s="26" t="s">
        <v>6</v>
      </c>
      <c r="X5" s="26" t="s">
        <v>7</v>
      </c>
    </row>
    <row r="6" ht="27" customHeight="1">
      <c r="A6" s="12">
        <v>1</v>
      </c>
      <c r="B6" s="13" t="s">
        <v>8</v>
      </c>
      <c r="C6" s="14">
        <f>D6+E6+F6+G6+H6</f>
        <v>3208.3558199999998</v>
      </c>
      <c r="D6" s="189">
        <v>396.65163</v>
      </c>
      <c r="E6" s="189">
        <v>1833.4415</v>
      </c>
      <c r="F6" s="189">
        <v>978.26269</v>
      </c>
      <c r="G6" s="189">
        <v>0</v>
      </c>
      <c r="H6" s="189">
        <v>0</v>
      </c>
      <c r="J6" s="12">
        <v>1</v>
      </c>
      <c r="K6" s="13" t="s">
        <v>8</v>
      </c>
      <c r="L6" s="14">
        <f>M6+N6+O6+P6+Q6</f>
        <v>3209.26662</v>
      </c>
      <c r="M6" s="189">
        <v>428.57617</v>
      </c>
      <c r="N6" s="189">
        <v>1822.5173</v>
      </c>
      <c r="O6" s="189">
        <v>958.17315</v>
      </c>
      <c r="P6" s="189">
        <v>0</v>
      </c>
      <c r="Q6" s="189">
        <v>0</v>
      </c>
      <c r="S6" s="37">
        <f>C6-L6</f>
        <v>-0.91080000000010841</v>
      </c>
      <c r="T6" s="33">
        <f ref="T6:X46" t="shared" si="0">D6-M6</f>
        <v>-31.924539999999979</v>
      </c>
      <c r="U6" s="33">
        <f t="shared" si="0"/>
        <v>10.924199999999928</v>
      </c>
      <c r="V6" s="33">
        <f t="shared" si="0"/>
        <v>20.089540000000056</v>
      </c>
      <c r="W6" s="33">
        <f t="shared" si="0"/>
        <v>0</v>
      </c>
      <c r="X6" s="33">
        <f t="shared" si="0"/>
        <v>0</v>
      </c>
      <c r="Y6" s="36" t="s">
        <v>22</v>
      </c>
      <c r="Z6" s="35" t="s">
        <v>23</v>
      </c>
    </row>
    <row r="7" ht="18.75" customHeight="1">
      <c r="A7" s="12">
        <v>2</v>
      </c>
      <c r="B7" s="13" t="s">
        <v>24</v>
      </c>
      <c r="C7" s="14">
        <f>C8+C10+C12</f>
        <v>35219.23023</v>
      </c>
      <c r="D7" s="190">
        <f ref="D7:H7" t="shared" si="1">D8+D10+D12</f>
        <v>3922.90832</v>
      </c>
      <c r="E7" s="190">
        <f t="shared" si="1"/>
        <v>948.3841</v>
      </c>
      <c r="F7" s="190">
        <f t="shared" si="1"/>
        <v>30346.95739</v>
      </c>
      <c r="G7" s="190">
        <f t="shared" si="1"/>
        <v>0.00834</v>
      </c>
      <c r="H7" s="190">
        <f t="shared" si="1"/>
        <v>0.97208</v>
      </c>
      <c r="J7" s="12">
        <v>2</v>
      </c>
      <c r="K7" s="13" t="s">
        <v>24</v>
      </c>
      <c r="L7" s="14">
        <f>L8+L10+L12</f>
        <v>35741.38004</v>
      </c>
      <c r="M7" s="190">
        <f ref="M7:Q7" t="shared" si="2">M8+M10+M12</f>
        <v>4353.99066</v>
      </c>
      <c r="N7" s="190">
        <f t="shared" si="2"/>
        <v>948.3841</v>
      </c>
      <c r="O7" s="190">
        <f t="shared" si="2"/>
        <v>30438.037780000002</v>
      </c>
      <c r="P7" s="190">
        <f t="shared" si="2"/>
        <v>0.00827</v>
      </c>
      <c r="Q7" s="190">
        <f t="shared" si="2"/>
        <v>0.95923</v>
      </c>
      <c r="S7" s="27">
        <f ref="S7:S46" t="shared" si="3">C7-L7</f>
        <v>-522.14980999999534</v>
      </c>
      <c r="T7" s="27">
        <f t="shared" si="0"/>
        <v>-431.08234000000039</v>
      </c>
      <c r="U7" s="27">
        <f t="shared" si="0"/>
        <v>0</v>
      </c>
      <c r="V7" s="27">
        <f t="shared" si="0"/>
        <v>-91.080390000002808</v>
      </c>
      <c r="W7" s="27">
        <f t="shared" si="0"/>
        <v>7.0000000000000617E-05</v>
      </c>
      <c r="X7" s="27">
        <f t="shared" si="0"/>
        <v>0.012850000000000028</v>
      </c>
    </row>
    <row r="8" ht="18.75" customHeight="1">
      <c r="A8" s="4" t="s">
        <v>25</v>
      </c>
      <c r="B8" s="6" t="s">
        <v>26</v>
      </c>
      <c r="C8" s="14">
        <f ref="C8:C27" t="shared" si="4">D8+E8+F8+G8+H8</f>
        <v>35194.70846</v>
      </c>
      <c r="D8" s="189">
        <v>3922.90832</v>
      </c>
      <c r="E8" s="189">
        <v>948.3841</v>
      </c>
      <c r="F8" s="189">
        <v>30323.41604</v>
      </c>
      <c r="G8" s="189">
        <v>0</v>
      </c>
      <c r="H8" s="189">
        <v>0</v>
      </c>
      <c r="J8" s="4" t="s">
        <v>25</v>
      </c>
      <c r="K8" s="6" t="s">
        <v>26</v>
      </c>
      <c r="L8" s="14">
        <f ref="L8:L23" t="shared" si="5">M8+N8+O8+P8+Q8</f>
        <v>35716.80055</v>
      </c>
      <c r="M8" s="189">
        <v>4353.99066</v>
      </c>
      <c r="N8" s="189">
        <v>948.3841</v>
      </c>
      <c r="O8" s="189">
        <v>30414.42579</v>
      </c>
      <c r="P8" s="189">
        <v>0</v>
      </c>
      <c r="Q8" s="189">
        <v>0</v>
      </c>
      <c r="S8" s="37">
        <f t="shared" si="3"/>
        <v>-522.09208999999828</v>
      </c>
      <c r="T8" s="33">
        <f t="shared" si="0"/>
        <v>-431.08234000000039</v>
      </c>
      <c r="U8" s="33">
        <f t="shared" si="0"/>
        <v>0</v>
      </c>
      <c r="V8" s="33">
        <f t="shared" si="0"/>
        <v>-91.009750000001077</v>
      </c>
      <c r="W8" s="33">
        <f t="shared" si="0"/>
        <v>0</v>
      </c>
      <c r="X8" s="33">
        <f t="shared" si="0"/>
        <v>0</v>
      </c>
      <c r="Y8" s="36" t="s">
        <v>22</v>
      </c>
      <c r="Z8" s="35" t="s">
        <v>27</v>
      </c>
    </row>
    <row r="9" ht="18.75" customHeight="1">
      <c r="A9" s="4" t="s">
        <v>28</v>
      </c>
      <c r="B9" s="6" t="s">
        <v>29</v>
      </c>
      <c r="C9" s="14">
        <f t="shared" si="4"/>
        <v>0.61156</v>
      </c>
      <c r="D9" s="189">
        <v>0.61156</v>
      </c>
      <c r="E9" s="189">
        <v>0</v>
      </c>
      <c r="F9" s="189">
        <v>0</v>
      </c>
      <c r="G9" s="189"/>
      <c r="H9" s="189"/>
      <c r="J9" s="4" t="s">
        <v>28</v>
      </c>
      <c r="K9" s="6" t="s">
        <v>29</v>
      </c>
      <c r="L9" s="14">
        <f t="shared" si="5"/>
        <v>0.61156</v>
      </c>
      <c r="M9" s="189">
        <v>0.61156</v>
      </c>
      <c r="N9" s="189">
        <v>0</v>
      </c>
      <c r="O9" s="189">
        <v>0</v>
      </c>
      <c r="P9" s="189"/>
      <c r="Q9" s="189"/>
      <c r="S9" s="27">
        <f t="shared" si="3"/>
        <v>0</v>
      </c>
      <c r="T9" s="33">
        <f t="shared" si="0"/>
        <v>0</v>
      </c>
      <c r="U9" s="33">
        <f t="shared" si="0"/>
        <v>0</v>
      </c>
      <c r="V9" s="33">
        <f t="shared" si="0"/>
        <v>0</v>
      </c>
      <c r="W9" s="33">
        <f t="shared" si="0"/>
        <v>0</v>
      </c>
      <c r="X9" s="33">
        <f t="shared" si="0"/>
        <v>0</v>
      </c>
    </row>
    <row r="10" ht="18.75" customHeight="1">
      <c r="A10" s="4" t="s">
        <v>30</v>
      </c>
      <c r="B10" s="6" t="s">
        <v>31</v>
      </c>
      <c r="C10" s="14">
        <f t="shared" si="4"/>
        <v>0</v>
      </c>
      <c r="D10" s="189">
        <v>0</v>
      </c>
      <c r="E10" s="189">
        <v>0</v>
      </c>
      <c r="F10" s="189">
        <v>0</v>
      </c>
      <c r="G10" s="189">
        <v>0</v>
      </c>
      <c r="H10" s="189">
        <v>0</v>
      </c>
      <c r="J10" s="4" t="s">
        <v>30</v>
      </c>
      <c r="K10" s="6" t="s">
        <v>31</v>
      </c>
      <c r="L10" s="14">
        <f t="shared" si="5"/>
        <v>0</v>
      </c>
      <c r="M10" s="189">
        <v>0</v>
      </c>
      <c r="N10" s="189">
        <v>0</v>
      </c>
      <c r="O10" s="189">
        <v>0</v>
      </c>
      <c r="P10" s="189">
        <v>0</v>
      </c>
      <c r="Q10" s="189">
        <v>0</v>
      </c>
      <c r="S10" s="37">
        <f t="shared" si="3"/>
        <v>0</v>
      </c>
      <c r="T10" s="33">
        <f t="shared" si="0"/>
        <v>0</v>
      </c>
      <c r="U10" s="33">
        <f t="shared" si="0"/>
        <v>0</v>
      </c>
      <c r="V10" s="33">
        <f t="shared" si="0"/>
        <v>0</v>
      </c>
      <c r="W10" s="33">
        <f t="shared" si="0"/>
        <v>0</v>
      </c>
      <c r="X10" s="33">
        <f t="shared" si="0"/>
        <v>0</v>
      </c>
      <c r="Y10" s="36" t="s">
        <v>22</v>
      </c>
      <c r="Z10" s="35" t="s">
        <v>32</v>
      </c>
    </row>
    <row r="11" ht="18.75" customHeight="1">
      <c r="A11" s="4" t="s">
        <v>33</v>
      </c>
      <c r="B11" s="6" t="s">
        <v>29</v>
      </c>
      <c r="C11" s="14">
        <f t="shared" si="4"/>
        <v>0</v>
      </c>
      <c r="D11" s="189"/>
      <c r="E11" s="189"/>
      <c r="F11" s="189"/>
      <c r="G11" s="189"/>
      <c r="H11" s="189"/>
      <c r="J11" s="4" t="s">
        <v>33</v>
      </c>
      <c r="K11" s="6" t="s">
        <v>29</v>
      </c>
      <c r="L11" s="14">
        <f t="shared" si="5"/>
        <v>0</v>
      </c>
      <c r="M11" s="189"/>
      <c r="N11" s="189"/>
      <c r="O11" s="189"/>
      <c r="P11" s="189"/>
      <c r="Q11" s="189"/>
      <c r="S11" s="27">
        <f t="shared" si="3"/>
        <v>0</v>
      </c>
      <c r="T11" s="33">
        <f t="shared" si="0"/>
        <v>0</v>
      </c>
      <c r="U11" s="33">
        <f t="shared" si="0"/>
        <v>0</v>
      </c>
      <c r="V11" s="33">
        <f t="shared" si="0"/>
        <v>0</v>
      </c>
      <c r="W11" s="33">
        <f t="shared" si="0"/>
        <v>0</v>
      </c>
      <c r="X11" s="33">
        <f t="shared" si="0"/>
        <v>0</v>
      </c>
    </row>
    <row r="12" ht="25.5" customHeight="1">
      <c r="A12" s="4" t="s">
        <v>34</v>
      </c>
      <c r="B12" s="6" t="s">
        <v>35</v>
      </c>
      <c r="C12" s="14">
        <f t="shared" si="4"/>
        <v>24.521770000000004</v>
      </c>
      <c r="D12" s="189">
        <v>0</v>
      </c>
      <c r="E12" s="189">
        <v>0</v>
      </c>
      <c r="F12" s="189">
        <v>23.54135</v>
      </c>
      <c r="G12" s="189">
        <v>0.00834</v>
      </c>
      <c r="H12" s="189">
        <v>0.97208</v>
      </c>
      <c r="J12" s="4" t="s">
        <v>34</v>
      </c>
      <c r="K12" s="6" t="s">
        <v>35</v>
      </c>
      <c r="L12" s="14">
        <f t="shared" si="5"/>
        <v>24.57949</v>
      </c>
      <c r="M12" s="189">
        <v>0</v>
      </c>
      <c r="N12" s="189">
        <v>0</v>
      </c>
      <c r="O12" s="189">
        <v>23.61199</v>
      </c>
      <c r="P12" s="189">
        <v>0.00827</v>
      </c>
      <c r="Q12" s="189">
        <v>0.95923</v>
      </c>
      <c r="S12" s="37">
        <f t="shared" si="3"/>
        <v>-0.057719999999996219</v>
      </c>
      <c r="T12" s="33">
        <f t="shared" si="0"/>
        <v>0</v>
      </c>
      <c r="U12" s="33">
        <f t="shared" si="0"/>
        <v>0</v>
      </c>
      <c r="V12" s="33">
        <f t="shared" si="0"/>
        <v>-0.070639999999997372</v>
      </c>
      <c r="W12" s="33">
        <f t="shared" si="0"/>
        <v>7.0000000000000617E-05</v>
      </c>
      <c r="X12" s="33">
        <f t="shared" si="0"/>
        <v>0.012850000000000028</v>
      </c>
      <c r="Y12" s="36" t="s">
        <v>22</v>
      </c>
      <c r="Z12" s="35" t="s">
        <v>36</v>
      </c>
    </row>
    <row r="13" ht="18.75" customHeight="1">
      <c r="A13" s="4" t="s">
        <v>37</v>
      </c>
      <c r="B13" s="6" t="s">
        <v>29</v>
      </c>
      <c r="C13" s="14">
        <f t="shared" si="4"/>
        <v>0</v>
      </c>
      <c r="D13" s="189"/>
      <c r="E13" s="189"/>
      <c r="F13" s="189"/>
      <c r="G13" s="189"/>
      <c r="H13" s="189"/>
      <c r="J13" s="4" t="s">
        <v>37</v>
      </c>
      <c r="K13" s="6" t="s">
        <v>29</v>
      </c>
      <c r="L13" s="14">
        <f t="shared" si="5"/>
        <v>0</v>
      </c>
      <c r="M13" s="189"/>
      <c r="N13" s="189"/>
      <c r="O13" s="189"/>
      <c r="P13" s="189"/>
      <c r="Q13" s="189"/>
      <c r="S13" s="27">
        <f t="shared" si="3"/>
        <v>0</v>
      </c>
      <c r="T13" s="33">
        <f t="shared" si="0"/>
        <v>0</v>
      </c>
      <c r="U13" s="33">
        <f t="shared" si="0"/>
        <v>0</v>
      </c>
      <c r="V13" s="33">
        <f t="shared" si="0"/>
        <v>0</v>
      </c>
      <c r="W13" s="33">
        <f t="shared" si="0"/>
        <v>0</v>
      </c>
      <c r="X13" s="33">
        <f t="shared" si="0"/>
        <v>0</v>
      </c>
    </row>
    <row r="14" ht="18.75" customHeight="1">
      <c r="A14" s="12">
        <v>3</v>
      </c>
      <c r="B14" s="13" t="s">
        <v>38</v>
      </c>
      <c r="C14" s="14">
        <f t="shared" si="4"/>
        <v>32840.04583</v>
      </c>
      <c r="D14" s="189">
        <v>32840.04583</v>
      </c>
      <c r="E14" s="189">
        <v>0</v>
      </c>
      <c r="F14" s="189">
        <v>0</v>
      </c>
      <c r="G14" s="189">
        <v>0</v>
      </c>
      <c r="H14" s="189">
        <v>0</v>
      </c>
      <c r="J14" s="12">
        <v>3</v>
      </c>
      <c r="K14" s="13" t="s">
        <v>38</v>
      </c>
      <c r="L14" s="14">
        <f t="shared" si="5"/>
        <v>32840.04583</v>
      </c>
      <c r="M14" s="189">
        <v>32840.04583</v>
      </c>
      <c r="N14" s="189">
        <v>0</v>
      </c>
      <c r="O14" s="189">
        <v>0</v>
      </c>
      <c r="P14" s="189">
        <v>0</v>
      </c>
      <c r="Q14" s="189">
        <v>0</v>
      </c>
      <c r="S14" s="37">
        <f t="shared" si="3"/>
        <v>0</v>
      </c>
      <c r="T14" s="33">
        <f t="shared" si="0"/>
        <v>0</v>
      </c>
      <c r="U14" s="33">
        <f t="shared" si="0"/>
        <v>0</v>
      </c>
      <c r="V14" s="33">
        <f t="shared" si="0"/>
        <v>0</v>
      </c>
      <c r="W14" s="33">
        <f t="shared" si="0"/>
        <v>0</v>
      </c>
      <c r="X14" s="33">
        <f t="shared" si="0"/>
        <v>0</v>
      </c>
      <c r="Y14" s="36" t="s">
        <v>22</v>
      </c>
      <c r="Z14" s="35" t="s">
        <v>39</v>
      </c>
    </row>
    <row r="15" ht="18.75" customHeight="1">
      <c r="A15" s="12">
        <v>4</v>
      </c>
      <c r="B15" s="13" t="s">
        <v>40</v>
      </c>
      <c r="C15" s="14">
        <f t="shared" si="4"/>
        <v>0</v>
      </c>
      <c r="D15" s="189">
        <v>0</v>
      </c>
      <c r="E15" s="189">
        <v>0</v>
      </c>
      <c r="F15" s="189">
        <v>0</v>
      </c>
      <c r="G15" s="189">
        <v>0</v>
      </c>
      <c r="H15" s="189">
        <v>0</v>
      </c>
      <c r="J15" s="12">
        <v>4</v>
      </c>
      <c r="K15" s="13" t="s">
        <v>40</v>
      </c>
      <c r="L15" s="14">
        <f t="shared" si="5"/>
        <v>0</v>
      </c>
      <c r="M15" s="189">
        <v>0</v>
      </c>
      <c r="N15" s="189">
        <v>0</v>
      </c>
      <c r="O15" s="189">
        <v>0</v>
      </c>
      <c r="P15" s="189">
        <v>0</v>
      </c>
      <c r="Q15" s="189">
        <v>0</v>
      </c>
      <c r="S15" s="37">
        <f t="shared" si="3"/>
        <v>0</v>
      </c>
      <c r="T15" s="33">
        <f t="shared" si="0"/>
        <v>0</v>
      </c>
      <c r="U15" s="33">
        <f t="shared" si="0"/>
        <v>0</v>
      </c>
      <c r="V15" s="33">
        <f t="shared" si="0"/>
        <v>0</v>
      </c>
      <c r="W15" s="33">
        <f t="shared" si="0"/>
        <v>0</v>
      </c>
      <c r="X15" s="33">
        <f t="shared" si="0"/>
        <v>0</v>
      </c>
      <c r="Y15" s="36" t="s">
        <v>22</v>
      </c>
      <c r="Z15" s="35" t="s">
        <v>41</v>
      </c>
    </row>
    <row r="16" ht="27.75" customHeight="1">
      <c r="A16" s="4" t="s">
        <v>42</v>
      </c>
      <c r="B16" s="2" t="s">
        <v>43</v>
      </c>
      <c r="C16" s="14">
        <f t="shared" si="4"/>
        <v>-5379.799</v>
      </c>
      <c r="D16" s="189">
        <v>-5379.799</v>
      </c>
      <c r="E16" s="189">
        <v>0</v>
      </c>
      <c r="F16" s="189">
        <v>0</v>
      </c>
      <c r="G16" s="189">
        <v>0</v>
      </c>
      <c r="H16" s="189">
        <v>0</v>
      </c>
      <c r="J16" s="4" t="s">
        <v>42</v>
      </c>
      <c r="K16" s="2" t="s">
        <v>43</v>
      </c>
      <c r="L16" s="14">
        <f t="shared" si="5"/>
        <v>-5379.799</v>
      </c>
      <c r="M16" s="189">
        <v>-5379.799</v>
      </c>
      <c r="N16" s="189">
        <v>0</v>
      </c>
      <c r="O16" s="189">
        <v>0</v>
      </c>
      <c r="P16" s="189">
        <v>0</v>
      </c>
      <c r="Q16" s="189">
        <v>0</v>
      </c>
      <c r="S16" s="27">
        <f t="shared" si="3"/>
        <v>0</v>
      </c>
      <c r="T16" s="33">
        <f t="shared" si="0"/>
        <v>0</v>
      </c>
      <c r="U16" s="33">
        <f t="shared" si="0"/>
        <v>0</v>
      </c>
      <c r="V16" s="33">
        <f t="shared" si="0"/>
        <v>0</v>
      </c>
      <c r="W16" s="33">
        <f t="shared" si="0"/>
        <v>0</v>
      </c>
      <c r="X16" s="33">
        <f t="shared" si="0"/>
        <v>0</v>
      </c>
    </row>
    <row r="17" ht="31.5" customHeight="1">
      <c r="A17" s="12">
        <v>5</v>
      </c>
      <c r="B17" s="13" t="s">
        <v>44</v>
      </c>
      <c r="C17" s="14">
        <f t="shared" si="4"/>
        <v>0</v>
      </c>
      <c r="D17" s="189">
        <v>0</v>
      </c>
      <c r="E17" s="189">
        <v>0</v>
      </c>
      <c r="F17" s="189">
        <v>0</v>
      </c>
      <c r="G17" s="189">
        <v>0</v>
      </c>
      <c r="H17" s="189">
        <v>0</v>
      </c>
      <c r="J17" s="12">
        <v>5</v>
      </c>
      <c r="K17" s="13" t="s">
        <v>44</v>
      </c>
      <c r="L17" s="14">
        <f t="shared" si="5"/>
        <v>0</v>
      </c>
      <c r="M17" s="189">
        <v>0</v>
      </c>
      <c r="N17" s="189">
        <v>0</v>
      </c>
      <c r="O17" s="189">
        <v>0</v>
      </c>
      <c r="P17" s="189">
        <v>0</v>
      </c>
      <c r="Q17" s="189">
        <v>0</v>
      </c>
      <c r="S17" s="27">
        <f t="shared" si="3"/>
        <v>0</v>
      </c>
      <c r="T17" s="33">
        <f t="shared" si="0"/>
        <v>0</v>
      </c>
      <c r="U17" s="33">
        <f t="shared" si="0"/>
        <v>0</v>
      </c>
      <c r="V17" s="33">
        <f t="shared" si="0"/>
        <v>0</v>
      </c>
      <c r="W17" s="33">
        <f t="shared" si="0"/>
        <v>0</v>
      </c>
      <c r="X17" s="33">
        <f t="shared" si="0"/>
        <v>0</v>
      </c>
      <c r="Y17" s="36" t="s">
        <v>22</v>
      </c>
      <c r="Z17" s="35" t="s">
        <v>45</v>
      </c>
    </row>
    <row r="18" ht="27" customHeight="1">
      <c r="A18" s="4" t="s">
        <v>46</v>
      </c>
      <c r="B18" s="2" t="s">
        <v>47</v>
      </c>
      <c r="C18" s="14">
        <f t="shared" si="4"/>
        <v>0</v>
      </c>
      <c r="D18" s="189"/>
      <c r="E18" s="189"/>
      <c r="F18" s="189"/>
      <c r="G18" s="189"/>
      <c r="H18" s="189"/>
      <c r="J18" s="4" t="s">
        <v>46</v>
      </c>
      <c r="K18" s="2" t="s">
        <v>47</v>
      </c>
      <c r="L18" s="14">
        <f t="shared" si="5"/>
        <v>0</v>
      </c>
      <c r="M18" s="189"/>
      <c r="N18" s="189"/>
      <c r="O18" s="189"/>
      <c r="P18" s="189"/>
      <c r="Q18" s="189"/>
      <c r="S18" s="27">
        <f t="shared" si="3"/>
        <v>0</v>
      </c>
      <c r="T18" s="33">
        <f t="shared" si="0"/>
        <v>0</v>
      </c>
      <c r="U18" s="33">
        <f t="shared" si="0"/>
        <v>0</v>
      </c>
      <c r="V18" s="33">
        <f t="shared" si="0"/>
        <v>0</v>
      </c>
      <c r="W18" s="33">
        <f t="shared" si="0"/>
        <v>0</v>
      </c>
      <c r="X18" s="33">
        <f t="shared" si="0"/>
        <v>0</v>
      </c>
    </row>
    <row r="19" ht="29.25" customHeight="1">
      <c r="A19" s="12">
        <v>6</v>
      </c>
      <c r="B19" s="13" t="s">
        <v>48</v>
      </c>
      <c r="C19" s="14">
        <f t="shared" si="4"/>
        <v>3031.99849</v>
      </c>
      <c r="D19" s="189">
        <v>3031.99849</v>
      </c>
      <c r="E19" s="189">
        <v>0</v>
      </c>
      <c r="F19" s="189">
        <v>0</v>
      </c>
      <c r="G19" s="189">
        <v>0</v>
      </c>
      <c r="H19" s="189">
        <v>0</v>
      </c>
      <c r="J19" s="12">
        <v>6</v>
      </c>
      <c r="K19" s="13" t="s">
        <v>48</v>
      </c>
      <c r="L19" s="14">
        <f t="shared" si="5"/>
        <v>3037.69544</v>
      </c>
      <c r="M19" s="189">
        <v>3037.69544</v>
      </c>
      <c r="N19" s="189">
        <v>0</v>
      </c>
      <c r="O19" s="189">
        <v>0</v>
      </c>
      <c r="P19" s="189">
        <v>0</v>
      </c>
      <c r="Q19" s="189">
        <v>0</v>
      </c>
      <c r="S19" s="37">
        <f t="shared" si="3"/>
        <v>-5.6969500000000153</v>
      </c>
      <c r="T19" s="33">
        <f t="shared" si="0"/>
        <v>-5.6969500000000153</v>
      </c>
      <c r="U19" s="33">
        <f t="shared" si="0"/>
        <v>0</v>
      </c>
      <c r="V19" s="33">
        <f t="shared" si="0"/>
        <v>0</v>
      </c>
      <c r="W19" s="33">
        <f t="shared" si="0"/>
        <v>0</v>
      </c>
      <c r="X19" s="33">
        <f t="shared" si="0"/>
        <v>0</v>
      </c>
      <c r="Y19" s="36" t="s">
        <v>22</v>
      </c>
      <c r="Z19" s="35" t="s">
        <v>49</v>
      </c>
    </row>
    <row r="20" ht="18.75" customHeight="1">
      <c r="A20" s="5" t="s">
        <v>50</v>
      </c>
      <c r="B20" s="6" t="s">
        <v>51</v>
      </c>
      <c r="C20" s="14">
        <f t="shared" si="4"/>
        <v>-1530.80828</v>
      </c>
      <c r="D20" s="191">
        <v>-1530.80828</v>
      </c>
      <c r="E20" s="189">
        <v>0</v>
      </c>
      <c r="F20" s="189">
        <v>0</v>
      </c>
      <c r="G20" s="189">
        <v>0</v>
      </c>
      <c r="H20" s="189">
        <v>0</v>
      </c>
      <c r="J20" s="5" t="s">
        <v>50</v>
      </c>
      <c r="K20" s="6" t="s">
        <v>51</v>
      </c>
      <c r="L20" s="14">
        <f t="shared" si="5"/>
        <v>-1534.50246</v>
      </c>
      <c r="M20" s="191">
        <v>-1534.50246</v>
      </c>
      <c r="N20" s="189">
        <v>0</v>
      </c>
      <c r="O20" s="189">
        <v>0</v>
      </c>
      <c r="P20" s="189">
        <v>0</v>
      </c>
      <c r="Q20" s="189">
        <v>0</v>
      </c>
      <c r="S20" s="27">
        <f t="shared" si="3"/>
        <v>3.6941799999999603</v>
      </c>
      <c r="T20" s="33">
        <f t="shared" si="0"/>
        <v>3.6941799999999603</v>
      </c>
      <c r="U20" s="33">
        <f t="shared" si="0"/>
        <v>0</v>
      </c>
      <c r="V20" s="33">
        <f t="shared" si="0"/>
        <v>0</v>
      </c>
      <c r="W20" s="33">
        <f t="shared" si="0"/>
        <v>0</v>
      </c>
      <c r="X20" s="33">
        <f t="shared" si="0"/>
        <v>0</v>
      </c>
    </row>
    <row r="21" ht="18.75" customHeight="1">
      <c r="A21" s="12" t="s">
        <v>52</v>
      </c>
      <c r="B21" s="13" t="s">
        <v>53</v>
      </c>
      <c r="C21" s="14">
        <f t="shared" si="4"/>
        <v>1501.19021</v>
      </c>
      <c r="D21" s="189">
        <v>1501.19021</v>
      </c>
      <c r="E21" s="189">
        <v>0</v>
      </c>
      <c r="F21" s="189">
        <v>0</v>
      </c>
      <c r="G21" s="189">
        <v>0</v>
      </c>
      <c r="H21" s="189">
        <v>0</v>
      </c>
      <c r="J21" s="12" t="s">
        <v>52</v>
      </c>
      <c r="K21" s="13" t="s">
        <v>53</v>
      </c>
      <c r="L21" s="14">
        <f t="shared" si="5"/>
        <v>1503.19298</v>
      </c>
      <c r="M21" s="189">
        <v>1503.19298</v>
      </c>
      <c r="N21" s="189">
        <v>0</v>
      </c>
      <c r="O21" s="189">
        <v>0</v>
      </c>
      <c r="P21" s="189">
        <v>0</v>
      </c>
      <c r="Q21" s="189">
        <v>0</v>
      </c>
      <c r="S21" s="27">
        <f t="shared" si="3"/>
        <v>-2.002770000000055</v>
      </c>
      <c r="T21" s="33">
        <f t="shared" si="0"/>
        <v>-2.002770000000055</v>
      </c>
      <c r="U21" s="33">
        <f t="shared" si="0"/>
        <v>0</v>
      </c>
      <c r="V21" s="33">
        <f t="shared" si="0"/>
        <v>0</v>
      </c>
      <c r="W21" s="33">
        <f t="shared" si="0"/>
        <v>0</v>
      </c>
      <c r="X21" s="33">
        <f t="shared" si="0"/>
        <v>0</v>
      </c>
    </row>
    <row r="22" ht="31.5" customHeight="1">
      <c r="A22" s="12">
        <v>7</v>
      </c>
      <c r="B22" s="13" t="s">
        <v>54</v>
      </c>
      <c r="C22" s="14">
        <f t="shared" si="4"/>
        <v>4877.00667</v>
      </c>
      <c r="D22" s="189">
        <v>4877.00667</v>
      </c>
      <c r="E22" s="189">
        <v>0</v>
      </c>
      <c r="F22" s="189">
        <v>0</v>
      </c>
      <c r="G22" s="189">
        <v>0</v>
      </c>
      <c r="H22" s="189">
        <v>0</v>
      </c>
      <c r="J22" s="12">
        <v>7</v>
      </c>
      <c r="K22" s="13" t="s">
        <v>54</v>
      </c>
      <c r="L22" s="14">
        <f t="shared" si="5"/>
        <v>4877.00667</v>
      </c>
      <c r="M22" s="189">
        <v>4877.00667</v>
      </c>
      <c r="N22" s="189">
        <v>0</v>
      </c>
      <c r="O22" s="189">
        <v>0</v>
      </c>
      <c r="P22" s="189">
        <v>0</v>
      </c>
      <c r="Q22" s="189">
        <v>0</v>
      </c>
      <c r="S22" s="27">
        <f t="shared" si="3"/>
        <v>0</v>
      </c>
      <c r="T22" s="33">
        <f t="shared" si="0"/>
        <v>0</v>
      </c>
      <c r="U22" s="33">
        <f t="shared" si="0"/>
        <v>0</v>
      </c>
      <c r="V22" s="33">
        <f t="shared" si="0"/>
        <v>0</v>
      </c>
      <c r="W22" s="33">
        <f t="shared" si="0"/>
        <v>0</v>
      </c>
      <c r="X22" s="33">
        <f t="shared" si="0"/>
        <v>0</v>
      </c>
    </row>
    <row r="23" ht="18.75" customHeight="1">
      <c r="A23" s="12">
        <v>8</v>
      </c>
      <c r="B23" s="13" t="s">
        <v>55</v>
      </c>
      <c r="C23" s="14">
        <f t="shared" si="4"/>
        <v>0</v>
      </c>
      <c r="D23" s="189"/>
      <c r="E23" s="189"/>
      <c r="F23" s="189"/>
      <c r="G23" s="189"/>
      <c r="H23" s="189"/>
      <c r="J23" s="12">
        <v>8</v>
      </c>
      <c r="K23" s="13" t="s">
        <v>55</v>
      </c>
      <c r="L23" s="14">
        <f t="shared" si="5"/>
        <v>0</v>
      </c>
      <c r="M23" s="189"/>
      <c r="N23" s="189"/>
      <c r="O23" s="189"/>
      <c r="P23" s="189"/>
      <c r="Q23" s="189"/>
      <c r="S23" s="27">
        <f t="shared" si="3"/>
        <v>0</v>
      </c>
      <c r="T23" s="33">
        <f t="shared" si="0"/>
        <v>0</v>
      </c>
      <c r="U23" s="33">
        <f t="shared" si="0"/>
        <v>0</v>
      </c>
      <c r="V23" s="33">
        <f t="shared" si="0"/>
        <v>0</v>
      </c>
      <c r="W23" s="33">
        <f t="shared" si="0"/>
        <v>0</v>
      </c>
      <c r="X23" s="33">
        <f t="shared" si="0"/>
        <v>0</v>
      </c>
    </row>
    <row r="24" ht="18.75" customHeight="1">
      <c r="A24" s="12">
        <v>9</v>
      </c>
      <c r="B24" s="13" t="s">
        <v>56</v>
      </c>
      <c r="C24" s="14">
        <f>D24+E24+F24+G24+H24</f>
        <v>41875.60809</v>
      </c>
      <c r="D24" s="189">
        <v>41875.60809</v>
      </c>
      <c r="E24" s="189">
        <v>0</v>
      </c>
      <c r="F24" s="189">
        <v>0</v>
      </c>
      <c r="G24" s="189">
        <v>0</v>
      </c>
      <c r="H24" s="189">
        <v>0</v>
      </c>
      <c r="J24" s="12">
        <v>9</v>
      </c>
      <c r="K24" s="13" t="s">
        <v>56</v>
      </c>
      <c r="L24" s="14">
        <f>M24+N24+O24+P24+Q24</f>
        <v>41435.77352</v>
      </c>
      <c r="M24" s="189">
        <v>41435.77352</v>
      </c>
      <c r="N24" s="189">
        <v>0</v>
      </c>
      <c r="O24" s="189">
        <v>0</v>
      </c>
      <c r="P24" s="189">
        <v>0</v>
      </c>
      <c r="Q24" s="189">
        <v>0</v>
      </c>
      <c r="S24" s="27">
        <f t="shared" si="3"/>
        <v>439.83456999999908</v>
      </c>
      <c r="T24" s="33">
        <f t="shared" si="0"/>
        <v>439.83456999999908</v>
      </c>
      <c r="U24" s="33">
        <f t="shared" si="0"/>
        <v>0</v>
      </c>
      <c r="V24" s="33">
        <f t="shared" si="0"/>
        <v>0</v>
      </c>
      <c r="W24" s="33">
        <f t="shared" si="0"/>
        <v>0</v>
      </c>
      <c r="X24" s="33">
        <f t="shared" si="0"/>
        <v>0</v>
      </c>
    </row>
    <row r="25" ht="28.5" customHeight="1">
      <c r="A25" s="4" t="s">
        <v>57</v>
      </c>
      <c r="B25" s="23" t="s">
        <v>58</v>
      </c>
      <c r="C25" s="14">
        <f t="shared" si="4"/>
        <v>224.21243</v>
      </c>
      <c r="D25" s="189">
        <v>224.21243</v>
      </c>
      <c r="E25" s="189">
        <v>0</v>
      </c>
      <c r="F25" s="189">
        <v>0</v>
      </c>
      <c r="G25" s="189">
        <v>0</v>
      </c>
      <c r="H25" s="189">
        <v>0</v>
      </c>
      <c r="J25" s="4" t="s">
        <v>57</v>
      </c>
      <c r="K25" s="23" t="s">
        <v>58</v>
      </c>
      <c r="L25" s="14">
        <f ref="L25:L27" t="shared" si="6">M25+N25+O25+P25+Q25</f>
        <v>266.29329</v>
      </c>
      <c r="M25" s="189">
        <v>266.29329</v>
      </c>
      <c r="N25" s="189">
        <v>0</v>
      </c>
      <c r="O25" s="189">
        <v>0</v>
      </c>
      <c r="P25" s="189">
        <v>0</v>
      </c>
      <c r="Q25" s="189">
        <v>0</v>
      </c>
      <c r="S25" s="27">
        <f t="shared" si="3"/>
        <v>-42.08086</v>
      </c>
      <c r="T25" s="33">
        <f t="shared" si="0"/>
        <v>-42.08086</v>
      </c>
      <c r="U25" s="33">
        <f t="shared" si="0"/>
        <v>0</v>
      </c>
      <c r="V25" s="33">
        <f t="shared" si="0"/>
        <v>0</v>
      </c>
      <c r="W25" s="33">
        <f t="shared" si="0"/>
        <v>0</v>
      </c>
      <c r="X25" s="33">
        <f t="shared" si="0"/>
        <v>0</v>
      </c>
    </row>
    <row r="26" ht="18.75" customHeight="1">
      <c r="A26" s="4" t="s">
        <v>59</v>
      </c>
      <c r="B26" s="23" t="s">
        <v>60</v>
      </c>
      <c r="C26" s="14">
        <f t="shared" si="4"/>
        <v>-285.56398</v>
      </c>
      <c r="D26" s="189">
        <v>-285.56398</v>
      </c>
      <c r="E26" s="189">
        <v>0</v>
      </c>
      <c r="F26" s="189">
        <v>0</v>
      </c>
      <c r="G26" s="189">
        <v>0</v>
      </c>
      <c r="H26" s="189">
        <v>0</v>
      </c>
      <c r="J26" s="4" t="s">
        <v>59</v>
      </c>
      <c r="K26" s="23" t="s">
        <v>60</v>
      </c>
      <c r="L26" s="14">
        <f t="shared" si="6"/>
        <v>-286.22121</v>
      </c>
      <c r="M26" s="189">
        <v>-286.22121</v>
      </c>
      <c r="N26" s="189">
        <v>0</v>
      </c>
      <c r="O26" s="189">
        <v>0</v>
      </c>
      <c r="P26" s="189">
        <v>0</v>
      </c>
      <c r="Q26" s="189">
        <v>0</v>
      </c>
      <c r="S26" s="27">
        <f t="shared" si="3"/>
        <v>0.65722999999997</v>
      </c>
      <c r="T26" s="33">
        <f t="shared" si="0"/>
        <v>0.65722999999997</v>
      </c>
      <c r="U26" s="33">
        <f t="shared" si="0"/>
        <v>0</v>
      </c>
      <c r="V26" s="33">
        <f t="shared" si="0"/>
        <v>0</v>
      </c>
      <c r="W26" s="33">
        <f t="shared" si="0"/>
        <v>0</v>
      </c>
      <c r="X26" s="33">
        <f t="shared" si="0"/>
        <v>0</v>
      </c>
    </row>
    <row r="27" ht="27.75" customHeight="1">
      <c r="A27" s="4"/>
      <c r="B27" s="23" t="s">
        <v>61</v>
      </c>
      <c r="C27" s="14">
        <f t="shared" si="4"/>
        <v>-7792.36322</v>
      </c>
      <c r="D27" s="189">
        <v>-7792.36322</v>
      </c>
      <c r="E27" s="189">
        <v>0</v>
      </c>
      <c r="F27" s="189">
        <v>0</v>
      </c>
      <c r="G27" s="189">
        <v>0</v>
      </c>
      <c r="H27" s="189">
        <v>0</v>
      </c>
      <c r="J27" s="4"/>
      <c r="K27" s="23" t="s">
        <v>61</v>
      </c>
      <c r="L27" s="14">
        <f t="shared" si="6"/>
        <v>-7792.36322</v>
      </c>
      <c r="M27" s="189">
        <v>-7792.36322</v>
      </c>
      <c r="N27" s="189">
        <v>0</v>
      </c>
      <c r="O27" s="189">
        <v>0</v>
      </c>
      <c r="P27" s="189">
        <v>0</v>
      </c>
      <c r="Q27" s="189">
        <v>0</v>
      </c>
      <c r="S27" s="27">
        <f t="shared" si="3"/>
        <v>0</v>
      </c>
      <c r="T27" s="33">
        <f t="shared" si="0"/>
        <v>0</v>
      </c>
      <c r="U27" s="33">
        <f t="shared" si="0"/>
        <v>0</v>
      </c>
      <c r="V27" s="33">
        <f t="shared" si="0"/>
        <v>0</v>
      </c>
      <c r="W27" s="33">
        <f t="shared" si="0"/>
        <v>0</v>
      </c>
      <c r="X27" s="33">
        <f t="shared" si="0"/>
        <v>0</v>
      </c>
    </row>
    <row r="28" ht="18.75" customHeight="1">
      <c r="A28" s="227" t="s">
        <v>62</v>
      </c>
      <c r="B28" s="228"/>
      <c r="C28" s="21">
        <f>C6+C7+C14+C15+C17+C21+C22+C23+C24</f>
        <v>119521.43685</v>
      </c>
      <c r="D28" s="192">
        <f ref="D28:H28" t="shared" si="7">D6+D7+D14+D15+D17+D21+D22+D23+D24</f>
        <v>85413.41075000001</v>
      </c>
      <c r="E28" s="192">
        <f t="shared" si="7"/>
        <v>2781.8256</v>
      </c>
      <c r="F28" s="192">
        <f t="shared" si="7"/>
        <v>31325.22008</v>
      </c>
      <c r="G28" s="192">
        <f t="shared" si="7"/>
        <v>0.00834</v>
      </c>
      <c r="H28" s="192">
        <f t="shared" si="7"/>
        <v>0.97208</v>
      </c>
      <c r="J28" s="227" t="s">
        <v>62</v>
      </c>
      <c r="K28" s="228"/>
      <c r="L28" s="21">
        <f>L6+L7+L14+L15+L17+L21+L22+L23+L24</f>
        <v>119606.66566000001</v>
      </c>
      <c r="M28" s="192">
        <f ref="M28:Q28" t="shared" si="8">M6+M7+M14+M15+M17+M21+M22+M23+M24</f>
        <v>85438.585830000011</v>
      </c>
      <c r="N28" s="192">
        <f t="shared" si="8"/>
        <v>2770.9013999999997</v>
      </c>
      <c r="O28" s="192">
        <f t="shared" si="8"/>
        <v>31396.21093</v>
      </c>
      <c r="P28" s="192">
        <f t="shared" si="8"/>
        <v>0.00827</v>
      </c>
      <c r="Q28" s="192">
        <f t="shared" si="8"/>
        <v>0.95923</v>
      </c>
      <c r="S28" s="28">
        <f t="shared" si="3"/>
        <v>-85.228810000015073</v>
      </c>
      <c r="T28" s="28">
        <f t="shared" si="0"/>
        <v>-25.175080000000889</v>
      </c>
      <c r="U28" s="28">
        <f t="shared" si="0"/>
        <v>10.924200000000383</v>
      </c>
      <c r="V28" s="28">
        <f t="shared" si="0"/>
        <v>-70.990850000001956</v>
      </c>
      <c r="W28" s="28">
        <f t="shared" si="0"/>
        <v>7.0000000000000617E-05</v>
      </c>
      <c r="X28" s="28">
        <f t="shared" si="0"/>
        <v>0.012850000000000028</v>
      </c>
    </row>
    <row r="29" ht="18.75" customHeight="1">
      <c r="A29" s="227" t="s">
        <v>63</v>
      </c>
      <c r="B29" s="228"/>
      <c r="C29" s="15" t="s">
        <v>2</v>
      </c>
      <c r="D29" s="193" t="s">
        <v>3</v>
      </c>
      <c r="E29" s="193" t="s">
        <v>4</v>
      </c>
      <c r="F29" s="193" t="s">
        <v>5</v>
      </c>
      <c r="G29" s="193" t="s">
        <v>6</v>
      </c>
      <c r="H29" s="193" t="s">
        <v>7</v>
      </c>
      <c r="J29" s="227" t="s">
        <v>63</v>
      </c>
      <c r="K29" s="228"/>
      <c r="L29" s="15" t="s">
        <v>2</v>
      </c>
      <c r="M29" s="193" t="s">
        <v>3</v>
      </c>
      <c r="N29" s="193" t="s">
        <v>4</v>
      </c>
      <c r="O29" s="193" t="s">
        <v>5</v>
      </c>
      <c r="P29" s="193" t="s">
        <v>6</v>
      </c>
      <c r="Q29" s="193" t="s">
        <v>7</v>
      </c>
      <c r="S29" s="26" t="s">
        <v>2</v>
      </c>
      <c r="T29" s="26" t="s">
        <v>3</v>
      </c>
      <c r="U29" s="26" t="s">
        <v>4</v>
      </c>
      <c r="V29" s="26" t="s">
        <v>5</v>
      </c>
      <c r="W29" s="26" t="s">
        <v>6</v>
      </c>
      <c r="X29" s="26" t="s">
        <v>7</v>
      </c>
    </row>
    <row r="30" ht="18.75" customHeight="1">
      <c r="A30" s="12">
        <v>10</v>
      </c>
      <c r="B30" s="13" t="s">
        <v>64</v>
      </c>
      <c r="C30" s="14">
        <f>C31+C32</f>
        <v>35658.68707</v>
      </c>
      <c r="D30" s="190">
        <f ref="D30:H30" t="shared" si="9">D31+D32</f>
        <v>34761.534510000005</v>
      </c>
      <c r="E30" s="190">
        <f t="shared" si="9"/>
        <v>641.82868</v>
      </c>
      <c r="F30" s="190">
        <f t="shared" si="9"/>
        <v>255.32388</v>
      </c>
      <c r="G30" s="190">
        <f t="shared" si="9"/>
        <v>0</v>
      </c>
      <c r="H30" s="190">
        <f t="shared" si="9"/>
        <v>0</v>
      </c>
      <c r="J30" s="12">
        <v>10</v>
      </c>
      <c r="K30" s="13" t="s">
        <v>64</v>
      </c>
      <c r="L30" s="14">
        <f>L31+L32</f>
        <v>35659.804240000005</v>
      </c>
      <c r="M30" s="190">
        <f ref="M30:Q30" t="shared" si="10">M31+M32</f>
        <v>34761.88538</v>
      </c>
      <c r="N30" s="190">
        <f t="shared" si="10"/>
        <v>641.82868</v>
      </c>
      <c r="O30" s="190">
        <f t="shared" si="10"/>
        <v>256.09018000000003</v>
      </c>
      <c r="P30" s="190">
        <f t="shared" si="10"/>
        <v>0</v>
      </c>
      <c r="Q30" s="190">
        <f t="shared" si="10"/>
        <v>0</v>
      </c>
      <c r="S30" s="27">
        <f t="shared" si="3"/>
        <v>-1.1171700000049896</v>
      </c>
      <c r="T30" s="27">
        <f t="shared" si="0"/>
        <v>-0.35086999999475665</v>
      </c>
      <c r="U30" s="27">
        <f t="shared" si="0"/>
        <v>0</v>
      </c>
      <c r="V30" s="27">
        <f t="shared" si="0"/>
        <v>-0.76630000000002951</v>
      </c>
      <c r="W30" s="27">
        <f t="shared" si="0"/>
        <v>0</v>
      </c>
      <c r="X30" s="27">
        <f t="shared" si="0"/>
        <v>0</v>
      </c>
      <c r="Y30" s="36"/>
      <c r="Z30" s="35"/>
    </row>
    <row r="31" ht="18.75" customHeight="1">
      <c r="A31" s="3" t="s">
        <v>65</v>
      </c>
      <c r="B31" s="6" t="s">
        <v>66</v>
      </c>
      <c r="C31" s="14">
        <f ref="C31:C45" t="shared" si="11">D31+E31+F31+G31+H31</f>
        <v>34967.3224</v>
      </c>
      <c r="D31" s="189">
        <v>34633.2381</v>
      </c>
      <c r="E31" s="189">
        <v>134.0257</v>
      </c>
      <c r="F31" s="189">
        <v>200.0586</v>
      </c>
      <c r="G31" s="189">
        <v>0</v>
      </c>
      <c r="H31" s="189">
        <v>0</v>
      </c>
      <c r="J31" s="3" t="s">
        <v>65</v>
      </c>
      <c r="K31" s="6" t="s">
        <v>66</v>
      </c>
      <c r="L31" s="14">
        <f ref="L31:L42" t="shared" si="12">M31+N31+O31+P31+Q31</f>
        <v>34967.92283</v>
      </c>
      <c r="M31" s="189">
        <v>34633.2381</v>
      </c>
      <c r="N31" s="189">
        <v>134.0257</v>
      </c>
      <c r="O31" s="189">
        <v>200.65903</v>
      </c>
      <c r="P31" s="189">
        <v>0</v>
      </c>
      <c r="Q31" s="189">
        <v>0</v>
      </c>
      <c r="S31" s="37">
        <f t="shared" si="3"/>
        <v>-0.600430000005872</v>
      </c>
      <c r="T31" s="33">
        <f t="shared" si="0"/>
        <v>0</v>
      </c>
      <c r="U31" s="33">
        <f t="shared" si="0"/>
        <v>0</v>
      </c>
      <c r="V31" s="33">
        <f t="shared" si="0"/>
        <v>-0.6004299999999887</v>
      </c>
      <c r="W31" s="33">
        <f t="shared" si="0"/>
        <v>0</v>
      </c>
      <c r="X31" s="33">
        <f t="shared" si="0"/>
        <v>0</v>
      </c>
      <c r="Y31" s="36" t="s">
        <v>22</v>
      </c>
      <c r="Z31" s="35" t="s">
        <v>67</v>
      </c>
    </row>
    <row r="32" ht="18.75" customHeight="1">
      <c r="A32" s="3" t="s">
        <v>68</v>
      </c>
      <c r="B32" s="6" t="s">
        <v>69</v>
      </c>
      <c r="C32" s="14">
        <f t="shared" si="11"/>
        <v>691.36466999999993</v>
      </c>
      <c r="D32" s="189">
        <v>128.29641</v>
      </c>
      <c r="E32" s="189">
        <v>507.80298</v>
      </c>
      <c r="F32" s="189">
        <v>55.26528</v>
      </c>
      <c r="G32" s="189">
        <v>0</v>
      </c>
      <c r="H32" s="189">
        <v>0</v>
      </c>
      <c r="J32" s="3" t="s">
        <v>68</v>
      </c>
      <c r="K32" s="6" t="s">
        <v>69</v>
      </c>
      <c r="L32" s="14">
        <f t="shared" si="12"/>
        <v>691.88141</v>
      </c>
      <c r="M32" s="189">
        <v>128.64728</v>
      </c>
      <c r="N32" s="189">
        <v>507.80298</v>
      </c>
      <c r="O32" s="189">
        <v>55.43115</v>
      </c>
      <c r="P32" s="189">
        <v>0</v>
      </c>
      <c r="Q32" s="189">
        <v>0</v>
      </c>
      <c r="S32" s="37">
        <f t="shared" si="3"/>
        <v>-0.51674000000002707</v>
      </c>
      <c r="T32" s="33">
        <f t="shared" si="0"/>
        <v>-0.35086999999998625</v>
      </c>
      <c r="U32" s="33">
        <f t="shared" si="0"/>
        <v>0</v>
      </c>
      <c r="V32" s="33">
        <f t="shared" si="0"/>
        <v>-0.16587000000000529</v>
      </c>
      <c r="W32" s="33">
        <f t="shared" si="0"/>
        <v>0</v>
      </c>
      <c r="X32" s="33">
        <f t="shared" si="0"/>
        <v>0</v>
      </c>
      <c r="Y32" s="36" t="s">
        <v>22</v>
      </c>
      <c r="Z32" s="35" t="s">
        <v>67</v>
      </c>
    </row>
    <row r="33" ht="18.75" customHeight="1">
      <c r="A33" s="12">
        <v>11</v>
      </c>
      <c r="B33" s="13" t="s">
        <v>70</v>
      </c>
      <c r="C33" s="14">
        <f t="shared" si="11"/>
        <v>0</v>
      </c>
      <c r="D33" s="190">
        <f>D34+D35</f>
        <v>0</v>
      </c>
      <c r="E33" s="190">
        <f>E34+E35</f>
        <v>0</v>
      </c>
      <c r="F33" s="190">
        <f>F34+F35</f>
        <v>0</v>
      </c>
      <c r="G33" s="190">
        <f>G34+G35</f>
        <v>0</v>
      </c>
      <c r="H33" s="190">
        <f>H34+H35</f>
        <v>0</v>
      </c>
      <c r="J33" s="12">
        <v>11</v>
      </c>
      <c r="K33" s="13" t="s">
        <v>70</v>
      </c>
      <c r="L33" s="14">
        <f t="shared" si="12"/>
        <v>0</v>
      </c>
      <c r="M33" s="190">
        <f>M34+M35</f>
        <v>0</v>
      </c>
      <c r="N33" s="190">
        <f>N34+N35</f>
        <v>0</v>
      </c>
      <c r="O33" s="190">
        <f>O34+O35</f>
        <v>0</v>
      </c>
      <c r="P33" s="190">
        <f>P34+P35</f>
        <v>0</v>
      </c>
      <c r="Q33" s="190">
        <f>Q34+Q35</f>
        <v>0</v>
      </c>
      <c r="S33" s="27">
        <f t="shared" si="3"/>
        <v>0</v>
      </c>
      <c r="T33" s="27">
        <f t="shared" si="0"/>
        <v>0</v>
      </c>
      <c r="U33" s="27">
        <f t="shared" si="0"/>
        <v>0</v>
      </c>
      <c r="V33" s="27">
        <f t="shared" si="0"/>
        <v>0</v>
      </c>
      <c r="W33" s="27">
        <f t="shared" si="0"/>
        <v>0</v>
      </c>
      <c r="X33" s="27">
        <f t="shared" si="0"/>
        <v>0</v>
      </c>
    </row>
    <row r="34" ht="18.75" customHeight="1">
      <c r="A34" s="3" t="s">
        <v>71</v>
      </c>
      <c r="B34" s="6" t="s">
        <v>66</v>
      </c>
      <c r="C34" s="14">
        <f t="shared" si="11"/>
        <v>0</v>
      </c>
      <c r="D34" s="189"/>
      <c r="E34" s="189"/>
      <c r="F34" s="189"/>
      <c r="G34" s="189"/>
      <c r="H34" s="189"/>
      <c r="J34" s="3" t="s">
        <v>71</v>
      </c>
      <c r="K34" s="6" t="s">
        <v>66</v>
      </c>
      <c r="L34" s="14">
        <f t="shared" si="12"/>
        <v>0</v>
      </c>
      <c r="M34" s="189"/>
      <c r="N34" s="189"/>
      <c r="O34" s="189"/>
      <c r="P34" s="189"/>
      <c r="Q34" s="189"/>
      <c r="S34" s="37">
        <f t="shared" si="3"/>
        <v>0</v>
      </c>
      <c r="T34" s="33">
        <f t="shared" si="0"/>
        <v>0</v>
      </c>
      <c r="U34" s="33">
        <f t="shared" si="0"/>
        <v>0</v>
      </c>
      <c r="V34" s="33">
        <f t="shared" si="0"/>
        <v>0</v>
      </c>
      <c r="W34" s="33">
        <f t="shared" si="0"/>
        <v>0</v>
      </c>
      <c r="X34" s="33">
        <f t="shared" si="0"/>
        <v>0</v>
      </c>
      <c r="Y34" s="36" t="s">
        <v>22</v>
      </c>
      <c r="Z34" s="35" t="s">
        <v>67</v>
      </c>
    </row>
    <row r="35" ht="37.5" customHeight="1">
      <c r="A35" s="3" t="s">
        <v>72</v>
      </c>
      <c r="B35" s="6" t="s">
        <v>69</v>
      </c>
      <c r="C35" s="14">
        <f t="shared" si="11"/>
        <v>0</v>
      </c>
      <c r="D35" s="189">
        <v>0</v>
      </c>
      <c r="E35" s="189">
        <v>0</v>
      </c>
      <c r="F35" s="189">
        <v>0</v>
      </c>
      <c r="G35" s="189">
        <v>0</v>
      </c>
      <c r="H35" s="189">
        <v>0</v>
      </c>
      <c r="J35" s="3" t="s">
        <v>72</v>
      </c>
      <c r="K35" s="6" t="s">
        <v>69</v>
      </c>
      <c r="L35" s="14">
        <f t="shared" si="12"/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S35" s="37">
        <f t="shared" si="3"/>
        <v>0</v>
      </c>
      <c r="T35" s="33">
        <f t="shared" si="0"/>
        <v>0</v>
      </c>
      <c r="U35" s="33">
        <f t="shared" si="0"/>
        <v>0</v>
      </c>
      <c r="V35" s="33">
        <f t="shared" si="0"/>
        <v>0</v>
      </c>
      <c r="W35" s="33">
        <f t="shared" si="0"/>
        <v>0</v>
      </c>
      <c r="X35" s="33">
        <f t="shared" si="0"/>
        <v>0</v>
      </c>
      <c r="Y35" s="36" t="s">
        <v>22</v>
      </c>
      <c r="Z35" s="35" t="s">
        <v>67</v>
      </c>
    </row>
    <row r="36" ht="18.75" customHeight="1">
      <c r="A36" s="12">
        <v>12</v>
      </c>
      <c r="B36" s="13" t="s">
        <v>73</v>
      </c>
      <c r="C36" s="14">
        <f t="shared" si="11"/>
        <v>0</v>
      </c>
      <c r="D36" s="189">
        <v>0</v>
      </c>
      <c r="E36" s="189">
        <v>0</v>
      </c>
      <c r="F36" s="189">
        <v>0</v>
      </c>
      <c r="G36" s="189">
        <v>0</v>
      </c>
      <c r="H36" s="189">
        <v>0</v>
      </c>
      <c r="J36" s="12">
        <v>12</v>
      </c>
      <c r="K36" s="13" t="s">
        <v>73</v>
      </c>
      <c r="L36" s="14">
        <f t="shared" si="12"/>
        <v>0</v>
      </c>
      <c r="M36" s="189">
        <v>0</v>
      </c>
      <c r="N36" s="189">
        <v>0</v>
      </c>
      <c r="O36" s="189">
        <v>0</v>
      </c>
      <c r="P36" s="189">
        <v>0</v>
      </c>
      <c r="Q36" s="189">
        <v>0</v>
      </c>
      <c r="S36" s="27">
        <f t="shared" si="3"/>
        <v>0</v>
      </c>
      <c r="T36" s="33">
        <f t="shared" si="0"/>
        <v>0</v>
      </c>
      <c r="U36" s="33">
        <f t="shared" si="0"/>
        <v>0</v>
      </c>
      <c r="V36" s="33">
        <f t="shared" si="0"/>
        <v>0</v>
      </c>
      <c r="W36" s="33">
        <f t="shared" si="0"/>
        <v>0</v>
      </c>
      <c r="X36" s="33">
        <f t="shared" si="0"/>
        <v>0</v>
      </c>
    </row>
    <row r="37" ht="18.75" customHeight="1">
      <c r="A37" s="12">
        <v>13</v>
      </c>
      <c r="B37" s="13" t="s">
        <v>74</v>
      </c>
      <c r="C37" s="14">
        <f t="shared" si="11"/>
        <v>16439.80614</v>
      </c>
      <c r="D37" s="189">
        <v>0</v>
      </c>
      <c r="E37" s="189">
        <v>2997.21933</v>
      </c>
      <c r="F37" s="189">
        <v>13442.58681</v>
      </c>
      <c r="G37" s="189">
        <v>0</v>
      </c>
      <c r="H37" s="189">
        <v>0</v>
      </c>
      <c r="J37" s="12">
        <v>13</v>
      </c>
      <c r="K37" s="13" t="s">
        <v>74</v>
      </c>
      <c r="L37" s="14">
        <f t="shared" si="12"/>
        <v>16480.151400000002</v>
      </c>
      <c r="M37" s="189">
        <v>0</v>
      </c>
      <c r="N37" s="189">
        <v>2997.21933</v>
      </c>
      <c r="O37" s="189">
        <v>13482.93207</v>
      </c>
      <c r="P37" s="189">
        <v>0</v>
      </c>
      <c r="Q37" s="189">
        <v>0</v>
      </c>
      <c r="S37" s="37">
        <f t="shared" si="3"/>
        <v>-40.345260000001872</v>
      </c>
      <c r="T37" s="33">
        <f t="shared" si="0"/>
        <v>0</v>
      </c>
      <c r="U37" s="33">
        <f t="shared" si="0"/>
        <v>0</v>
      </c>
      <c r="V37" s="33">
        <f t="shared" si="0"/>
        <v>-40.345260000000053</v>
      </c>
      <c r="W37" s="33">
        <f t="shared" si="0"/>
        <v>0</v>
      </c>
      <c r="X37" s="33">
        <f t="shared" si="0"/>
        <v>0</v>
      </c>
      <c r="Y37" s="36" t="s">
        <v>22</v>
      </c>
      <c r="Z37" s="35" t="s">
        <v>75</v>
      </c>
    </row>
    <row r="38" ht="27" customHeight="1">
      <c r="A38" s="12">
        <v>14</v>
      </c>
      <c r="B38" s="13" t="s">
        <v>76</v>
      </c>
      <c r="C38" s="14">
        <f t="shared" si="11"/>
        <v>15893.1</v>
      </c>
      <c r="D38" s="190">
        <f>D39+D40</f>
        <v>0</v>
      </c>
      <c r="E38" s="190">
        <f>E39+E40</f>
        <v>0</v>
      </c>
      <c r="F38" s="190">
        <f>F39+F40</f>
        <v>15893.1</v>
      </c>
      <c r="G38" s="190">
        <f>G39+G40</f>
        <v>0</v>
      </c>
      <c r="H38" s="190">
        <f>H39+H40</f>
        <v>0</v>
      </c>
      <c r="J38" s="12">
        <v>14</v>
      </c>
      <c r="K38" s="13" t="s">
        <v>76</v>
      </c>
      <c r="L38" s="14">
        <f t="shared" si="12"/>
        <v>15940.8</v>
      </c>
      <c r="M38" s="190">
        <f>M39+M40</f>
        <v>0</v>
      </c>
      <c r="N38" s="190">
        <f>N39+N40</f>
        <v>0</v>
      </c>
      <c r="O38" s="190">
        <f>O39+O40</f>
        <v>15940.8</v>
      </c>
      <c r="P38" s="190">
        <f>P39+P40</f>
        <v>0</v>
      </c>
      <c r="Q38" s="190">
        <f>Q39+Q40</f>
        <v>0</v>
      </c>
      <c r="S38" s="27">
        <f t="shared" si="3"/>
        <v>-47.699999999998909</v>
      </c>
      <c r="T38" s="27">
        <f t="shared" si="0"/>
        <v>0</v>
      </c>
      <c r="U38" s="27">
        <f t="shared" si="0"/>
        <v>0</v>
      </c>
      <c r="V38" s="27">
        <f t="shared" si="0"/>
        <v>-47.699999999998909</v>
      </c>
      <c r="W38" s="27">
        <f t="shared" si="0"/>
        <v>0</v>
      </c>
      <c r="X38" s="27">
        <f t="shared" si="0"/>
        <v>0</v>
      </c>
    </row>
    <row r="39" ht="18.75" customHeight="1">
      <c r="A39" s="3" t="s">
        <v>77</v>
      </c>
      <c r="B39" s="6" t="s">
        <v>78</v>
      </c>
      <c r="C39" s="14">
        <f t="shared" si="11"/>
        <v>15893.1</v>
      </c>
      <c r="D39" s="189">
        <v>0</v>
      </c>
      <c r="E39" s="189">
        <v>0</v>
      </c>
      <c r="F39" s="189">
        <v>15893.1</v>
      </c>
      <c r="G39" s="189">
        <v>0</v>
      </c>
      <c r="H39" s="189">
        <v>0</v>
      </c>
      <c r="J39" s="3" t="s">
        <v>77</v>
      </c>
      <c r="K39" s="6" t="s">
        <v>78</v>
      </c>
      <c r="L39" s="14">
        <f t="shared" si="12"/>
        <v>15940.8</v>
      </c>
      <c r="M39" s="189">
        <v>0</v>
      </c>
      <c r="N39" s="189">
        <v>0</v>
      </c>
      <c r="O39" s="189">
        <v>15940.8</v>
      </c>
      <c r="P39" s="189">
        <v>0</v>
      </c>
      <c r="Q39" s="189">
        <v>0</v>
      </c>
      <c r="S39" s="27">
        <f t="shared" si="3"/>
        <v>-47.699999999998909</v>
      </c>
      <c r="T39" s="33">
        <f t="shared" si="0"/>
        <v>0</v>
      </c>
      <c r="U39" s="33">
        <f t="shared" si="0"/>
        <v>0</v>
      </c>
      <c r="V39" s="33">
        <f t="shared" si="0"/>
        <v>-47.699999999998909</v>
      </c>
      <c r="W39" s="33">
        <f t="shared" si="0"/>
        <v>0</v>
      </c>
      <c r="X39" s="33">
        <f t="shared" si="0"/>
        <v>0</v>
      </c>
    </row>
    <row r="40" ht="18.75" customHeight="1">
      <c r="A40" s="3" t="s">
        <v>79</v>
      </c>
      <c r="B40" s="6" t="s">
        <v>80</v>
      </c>
      <c r="C40" s="14">
        <f t="shared" si="11"/>
        <v>0</v>
      </c>
      <c r="D40" s="189"/>
      <c r="E40" s="189"/>
      <c r="F40" s="189"/>
      <c r="G40" s="189"/>
      <c r="H40" s="189"/>
      <c r="J40" s="3" t="s">
        <v>79</v>
      </c>
      <c r="K40" s="6" t="s">
        <v>80</v>
      </c>
      <c r="L40" s="14">
        <f t="shared" si="12"/>
        <v>0</v>
      </c>
      <c r="M40" s="189"/>
      <c r="N40" s="189"/>
      <c r="O40" s="189"/>
      <c r="P40" s="189"/>
      <c r="Q40" s="189"/>
      <c r="S40" s="37">
        <f t="shared" si="3"/>
        <v>0</v>
      </c>
      <c r="T40" s="33">
        <f t="shared" si="0"/>
        <v>0</v>
      </c>
      <c r="U40" s="33">
        <f t="shared" si="0"/>
        <v>0</v>
      </c>
      <c r="V40" s="33">
        <f t="shared" si="0"/>
        <v>0</v>
      </c>
      <c r="W40" s="33">
        <f t="shared" si="0"/>
        <v>0</v>
      </c>
      <c r="X40" s="33">
        <f t="shared" si="0"/>
        <v>0</v>
      </c>
      <c r="Y40" s="36" t="s">
        <v>22</v>
      </c>
      <c r="Z40" s="35" t="s">
        <v>81</v>
      </c>
    </row>
    <row r="41" ht="18.75" customHeight="1">
      <c r="A41" s="12">
        <v>15</v>
      </c>
      <c r="B41" s="13" t="s">
        <v>82</v>
      </c>
      <c r="C41" s="14">
        <f t="shared" si="11"/>
        <v>1777.79503</v>
      </c>
      <c r="D41" s="189">
        <v>1725.52657</v>
      </c>
      <c r="E41" s="189">
        <v>3.23</v>
      </c>
      <c r="F41" s="189">
        <v>49.03846</v>
      </c>
      <c r="G41" s="189">
        <v>0</v>
      </c>
      <c r="H41" s="189">
        <v>0</v>
      </c>
      <c r="J41" s="12">
        <v>15</v>
      </c>
      <c r="K41" s="13" t="s">
        <v>82</v>
      </c>
      <c r="L41" s="14">
        <f t="shared" si="12"/>
        <v>1777.35221</v>
      </c>
      <c r="M41" s="189">
        <v>1724.93657</v>
      </c>
      <c r="N41" s="189">
        <v>3.23</v>
      </c>
      <c r="O41" s="189">
        <v>49.18564</v>
      </c>
      <c r="P41" s="189">
        <v>0</v>
      </c>
      <c r="Q41" s="189">
        <v>0</v>
      </c>
      <c r="S41" s="27">
        <f t="shared" si="3"/>
        <v>0.44281999999998334</v>
      </c>
      <c r="T41" s="33">
        <f t="shared" si="0"/>
        <v>0.58999999999991815</v>
      </c>
      <c r="U41" s="33">
        <f t="shared" si="0"/>
        <v>0</v>
      </c>
      <c r="V41" s="33">
        <f t="shared" si="0"/>
        <v>-0.14717999999999876</v>
      </c>
      <c r="W41" s="33">
        <f t="shared" si="0"/>
        <v>0</v>
      </c>
      <c r="X41" s="33">
        <f t="shared" si="0"/>
        <v>0</v>
      </c>
      <c r="Y41" s="7" t="s">
        <v>83</v>
      </c>
    </row>
    <row r="42" ht="18.75" customHeight="1">
      <c r="A42" s="3" t="s">
        <v>84</v>
      </c>
      <c r="B42" s="6" t="s">
        <v>85</v>
      </c>
      <c r="C42" s="14">
        <f t="shared" si="11"/>
        <v>0</v>
      </c>
      <c r="D42" s="189">
        <v>0</v>
      </c>
      <c r="E42" s="189">
        <v>0</v>
      </c>
      <c r="F42" s="189">
        <v>0</v>
      </c>
      <c r="G42" s="189">
        <v>0</v>
      </c>
      <c r="H42" s="189">
        <v>0</v>
      </c>
      <c r="J42" s="3" t="s">
        <v>84</v>
      </c>
      <c r="K42" s="6" t="s">
        <v>85</v>
      </c>
      <c r="L42" s="14">
        <f t="shared" si="12"/>
        <v>0</v>
      </c>
      <c r="M42" s="189">
        <v>0</v>
      </c>
      <c r="N42" s="189">
        <v>0</v>
      </c>
      <c r="O42" s="189">
        <v>0</v>
      </c>
      <c r="P42" s="189">
        <v>0</v>
      </c>
      <c r="Q42" s="189">
        <v>0</v>
      </c>
      <c r="S42" s="27">
        <f t="shared" si="3"/>
        <v>0</v>
      </c>
      <c r="T42" s="33">
        <f t="shared" si="0"/>
        <v>0</v>
      </c>
      <c r="U42" s="33">
        <f t="shared" si="0"/>
        <v>0</v>
      </c>
      <c r="V42" s="33">
        <f t="shared" si="0"/>
        <v>0</v>
      </c>
      <c r="W42" s="33">
        <f t="shared" si="0"/>
        <v>0</v>
      </c>
      <c r="X42" s="33">
        <f t="shared" si="0"/>
        <v>0</v>
      </c>
    </row>
    <row r="43" ht="18.75" customHeight="1">
      <c r="A43" s="232" t="s">
        <v>86</v>
      </c>
      <c r="B43" s="232"/>
      <c r="C43" s="16">
        <f>C30+C33+C36+C37+C38+C41</f>
        <v>69769.38824</v>
      </c>
      <c r="D43" s="194">
        <f ref="D43:H43" t="shared" si="13">D30+D33+D36+D37+D38+D41</f>
        <v>36487.061080000007</v>
      </c>
      <c r="E43" s="194">
        <f t="shared" si="13"/>
        <v>3642.27801</v>
      </c>
      <c r="F43" s="194">
        <f t="shared" si="13"/>
        <v>29640.049150000003</v>
      </c>
      <c r="G43" s="194">
        <f t="shared" si="13"/>
        <v>0</v>
      </c>
      <c r="H43" s="194">
        <f t="shared" si="13"/>
        <v>0</v>
      </c>
      <c r="J43" s="232" t="s">
        <v>86</v>
      </c>
      <c r="K43" s="232"/>
      <c r="L43" s="16">
        <f>L30+L33+L36+L37+L38+L41</f>
        <v>69858.10785</v>
      </c>
      <c r="M43" s="194">
        <f ref="M43:Q43" t="shared" si="14">M30+M33+M36+M37+M38+M41</f>
        <v>36486.82195</v>
      </c>
      <c r="N43" s="194">
        <f t="shared" si="14"/>
        <v>3642.27801</v>
      </c>
      <c r="O43" s="194">
        <f t="shared" si="14"/>
        <v>29729.007889999997</v>
      </c>
      <c r="P43" s="194">
        <f t="shared" si="14"/>
        <v>0</v>
      </c>
      <c r="Q43" s="194">
        <f t="shared" si="14"/>
        <v>0</v>
      </c>
      <c r="S43" s="29">
        <f t="shared" si="3"/>
        <v>-88.7196100000001</v>
      </c>
      <c r="T43" s="29">
        <f t="shared" si="0"/>
        <v>0.23913000000902684</v>
      </c>
      <c r="U43" s="29">
        <f t="shared" si="0"/>
        <v>0</v>
      </c>
      <c r="V43" s="29">
        <f t="shared" si="0"/>
        <v>-88.958739999994577</v>
      </c>
      <c r="W43" s="29">
        <f t="shared" si="0"/>
        <v>0</v>
      </c>
      <c r="X43" s="29">
        <f t="shared" si="0"/>
        <v>0</v>
      </c>
    </row>
    <row r="44" ht="18.75" customHeight="1">
      <c r="A44" s="4">
        <v>16</v>
      </c>
      <c r="B44" s="2" t="s">
        <v>87</v>
      </c>
      <c r="C44" s="16">
        <f t="shared" si="11"/>
        <v>49732.223269999995</v>
      </c>
      <c r="D44" s="189">
        <v>49732.22119</v>
      </c>
      <c r="E44" s="189">
        <v>0</v>
      </c>
      <c r="F44" s="189">
        <v>0</v>
      </c>
      <c r="G44" s="189">
        <v>0.00208</v>
      </c>
      <c r="H44" s="189">
        <v>0</v>
      </c>
      <c r="J44" s="4">
        <v>16</v>
      </c>
      <c r="K44" s="2" t="s">
        <v>87</v>
      </c>
      <c r="L44" s="16">
        <f ref="L44:L45" t="shared" si="15">M44+N44+O44+P44+Q44</f>
        <v>49728.73247</v>
      </c>
      <c r="M44" s="189">
        <v>49728.7304</v>
      </c>
      <c r="N44" s="189">
        <v>0</v>
      </c>
      <c r="O44" s="189">
        <v>0</v>
      </c>
      <c r="P44" s="189">
        <v>0.00207</v>
      </c>
      <c r="Q44" s="189">
        <v>0</v>
      </c>
      <c r="S44" s="29">
        <f t="shared" si="3"/>
        <v>3.4907999999923049</v>
      </c>
      <c r="T44" s="33">
        <f t="shared" si="0"/>
        <v>3.4907899999961955</v>
      </c>
      <c r="U44" s="33">
        <f t="shared" si="0"/>
        <v>0</v>
      </c>
      <c r="V44" s="33">
        <f t="shared" si="0"/>
        <v>0</v>
      </c>
      <c r="W44" s="33">
        <f t="shared" si="0"/>
        <v>1.0000000000000026E-05</v>
      </c>
      <c r="X44" s="33">
        <f t="shared" si="0"/>
        <v>0</v>
      </c>
    </row>
    <row r="45" ht="18.75" customHeight="1">
      <c r="A45" s="4">
        <v>17</v>
      </c>
      <c r="B45" s="6" t="s">
        <v>88</v>
      </c>
      <c r="C45" s="16">
        <f t="shared" si="11"/>
        <v>770.77288</v>
      </c>
      <c r="D45" s="191">
        <v>770.77288</v>
      </c>
      <c r="E45" s="189">
        <v>0</v>
      </c>
      <c r="F45" s="189">
        <v>0</v>
      </c>
      <c r="G45" s="189">
        <v>0</v>
      </c>
      <c r="H45" s="189">
        <v>0</v>
      </c>
      <c r="J45" s="4">
        <v>17</v>
      </c>
      <c r="K45" s="6" t="s">
        <v>88</v>
      </c>
      <c r="L45" s="16">
        <f t="shared" si="15"/>
        <v>767.62407</v>
      </c>
      <c r="M45" s="191">
        <v>767.62407</v>
      </c>
      <c r="N45" s="189">
        <v>0</v>
      </c>
      <c r="O45" s="189">
        <v>0</v>
      </c>
      <c r="P45" s="189">
        <v>0</v>
      </c>
      <c r="Q45" s="189">
        <v>0</v>
      </c>
      <c r="S45" s="29">
        <f t="shared" si="3"/>
        <v>3.1488100000000259</v>
      </c>
      <c r="T45" s="33">
        <f t="shared" si="0"/>
        <v>3.1488100000000259</v>
      </c>
      <c r="U45" s="33">
        <f t="shared" si="0"/>
        <v>0</v>
      </c>
      <c r="V45" s="33">
        <f t="shared" si="0"/>
        <v>0</v>
      </c>
      <c r="W45" s="33">
        <f t="shared" si="0"/>
        <v>0</v>
      </c>
      <c r="X45" s="33">
        <f t="shared" si="0"/>
        <v>0</v>
      </c>
    </row>
    <row r="46" ht="18.75" customHeight="1">
      <c r="A46" s="232" t="s">
        <v>89</v>
      </c>
      <c r="B46" s="232"/>
      <c r="C46" s="95">
        <f>C43+C44</f>
        <v>119501.61150999999</v>
      </c>
      <c r="D46" s="195">
        <f>D44+D43</f>
        <v>86219.28227</v>
      </c>
      <c r="E46" s="195">
        <f>E44+E43</f>
        <v>3642.27801</v>
      </c>
      <c r="F46" s="195">
        <f>F44+F43</f>
        <v>29640.049150000003</v>
      </c>
      <c r="G46" s="195">
        <f>G44+G43</f>
        <v>0.00208</v>
      </c>
      <c r="H46" s="195">
        <f>H44+H43</f>
        <v>0</v>
      </c>
      <c r="J46" s="232" t="s">
        <v>89</v>
      </c>
      <c r="K46" s="232"/>
      <c r="L46" s="95">
        <f>L43+L44</f>
        <v>119586.84032</v>
      </c>
      <c r="M46" s="195">
        <f>M44+M43</f>
        <v>86215.55235</v>
      </c>
      <c r="N46" s="195">
        <f>N44+N43</f>
        <v>3642.27801</v>
      </c>
      <c r="O46" s="195">
        <f>O44+O43</f>
        <v>29729.007889999997</v>
      </c>
      <c r="P46" s="195">
        <f>P44+P43</f>
        <v>0.00207</v>
      </c>
      <c r="Q46" s="195">
        <f>Q44+Q43</f>
        <v>0</v>
      </c>
      <c r="S46" s="20">
        <f t="shared" si="3"/>
        <v>-85.228810000015073</v>
      </c>
      <c r="T46" s="20">
        <f t="shared" si="0"/>
        <v>3.7299199999979464</v>
      </c>
      <c r="U46" s="20">
        <f t="shared" si="0"/>
        <v>0</v>
      </c>
      <c r="V46" s="20">
        <f t="shared" si="0"/>
        <v>-88.958739999994577</v>
      </c>
      <c r="W46" s="20">
        <f t="shared" si="0"/>
        <v>1.0000000000000026E-05</v>
      </c>
      <c r="X46" s="20">
        <f t="shared" si="0"/>
        <v>0</v>
      </c>
    </row>
    <row r="47" ht="18.75" customHeight="1">
      <c r="A47" s="10"/>
      <c r="B47" s="10"/>
      <c r="C47" s="24">
        <f>C28-C46</f>
        <v>19.825340000010328</v>
      </c>
      <c r="D47" s="11"/>
      <c r="E47" s="11"/>
      <c r="F47" s="11"/>
      <c r="G47" s="11"/>
      <c r="H47" s="11"/>
      <c r="J47" s="10"/>
      <c r="K47" s="10"/>
      <c r="L47" s="24">
        <f>L28-L46</f>
        <v>19.825340000010328</v>
      </c>
      <c r="M47" s="11"/>
      <c r="N47" s="11"/>
      <c r="O47" s="11"/>
      <c r="P47" s="11"/>
      <c r="Q47" s="11"/>
      <c r="S47" s="34"/>
      <c r="T47" s="34"/>
      <c r="U47" s="34"/>
      <c r="V47" s="34"/>
      <c r="W47" s="34"/>
      <c r="X47" s="34"/>
    </row>
    <row r="48" ht="20.25" customHeight="1">
      <c r="A48" s="225" t="s">
        <v>90</v>
      </c>
      <c r="B48" s="225"/>
      <c r="C48" s="225"/>
      <c r="D48" s="225"/>
      <c r="E48" s="225"/>
      <c r="F48" s="225"/>
      <c r="G48" s="225"/>
      <c r="H48" s="225"/>
      <c r="J48" s="225" t="s">
        <v>90</v>
      </c>
      <c r="K48" s="225"/>
      <c r="L48" s="225"/>
      <c r="M48" s="225"/>
      <c r="N48" s="225"/>
      <c r="O48" s="225"/>
      <c r="P48" s="225"/>
      <c r="Q48" s="225"/>
      <c r="S48" s="34"/>
      <c r="T48" s="34"/>
      <c r="U48" s="34"/>
      <c r="V48" s="34"/>
      <c r="W48" s="34"/>
      <c r="X48" s="34"/>
    </row>
    <row r="49" ht="18.75" customHeight="1">
      <c r="A49" s="229" t="s">
        <v>91</v>
      </c>
      <c r="B49" s="229"/>
      <c r="C49" s="15" t="s">
        <v>2</v>
      </c>
      <c r="D49" s="15" t="s">
        <v>3</v>
      </c>
      <c r="E49" s="15" t="s">
        <v>4</v>
      </c>
      <c r="F49" s="15" t="s">
        <v>5</v>
      </c>
      <c r="G49" s="15" t="s">
        <v>6</v>
      </c>
      <c r="H49" s="15" t="s">
        <v>7</v>
      </c>
      <c r="J49" s="229" t="s">
        <v>91</v>
      </c>
      <c r="K49" s="229"/>
      <c r="L49" s="15" t="s">
        <v>2</v>
      </c>
      <c r="M49" s="15" t="s">
        <v>3</v>
      </c>
      <c r="N49" s="15" t="s">
        <v>4</v>
      </c>
      <c r="O49" s="15" t="s">
        <v>5</v>
      </c>
      <c r="P49" s="15" t="s">
        <v>6</v>
      </c>
      <c r="Q49" s="15" t="s">
        <v>7</v>
      </c>
      <c r="S49" s="26" t="s">
        <v>2</v>
      </c>
      <c r="T49" s="26" t="s">
        <v>3</v>
      </c>
      <c r="U49" s="26" t="s">
        <v>4</v>
      </c>
      <c r="V49" s="26" t="s">
        <v>5</v>
      </c>
      <c r="W49" s="26" t="s">
        <v>6</v>
      </c>
      <c r="X49" s="26" t="s">
        <v>7</v>
      </c>
    </row>
    <row r="50" ht="18.75" customHeight="1">
      <c r="A50" s="4">
        <v>1</v>
      </c>
      <c r="B50" s="2" t="s">
        <v>92</v>
      </c>
      <c r="C50" s="14">
        <f ref="C50:C56" t="shared" si="16">D50+E50+F50+G50+H50</f>
        <v>0</v>
      </c>
      <c r="D50" s="189">
        <v>0</v>
      </c>
      <c r="E50" s="189">
        <v>0</v>
      </c>
      <c r="F50" s="189">
        <v>0</v>
      </c>
      <c r="G50" s="189">
        <v>0</v>
      </c>
      <c r="H50" s="189">
        <v>0</v>
      </c>
      <c r="J50" s="4">
        <v>1</v>
      </c>
      <c r="K50" s="2" t="s">
        <v>92</v>
      </c>
      <c r="L50" s="14">
        <f ref="L50:L56" t="shared" si="17">M50+N50+O50+P50+Q50</f>
        <v>0</v>
      </c>
      <c r="M50" s="189">
        <v>0</v>
      </c>
      <c r="N50" s="189">
        <v>0</v>
      </c>
      <c r="O50" s="189">
        <v>0</v>
      </c>
      <c r="P50" s="189"/>
      <c r="Q50" s="189"/>
      <c r="R50" s="7">
        <v>0</v>
      </c>
      <c r="S50" s="27">
        <f ref="S50:X64" t="shared" si="18">C50-L50</f>
        <v>0</v>
      </c>
      <c r="T50" s="33">
        <f t="shared" si="18"/>
        <v>0</v>
      </c>
      <c r="U50" s="33">
        <f t="shared" si="18"/>
        <v>0</v>
      </c>
      <c r="V50" s="33">
        <f t="shared" si="18"/>
        <v>0</v>
      </c>
      <c r="W50" s="33">
        <f t="shared" si="18"/>
        <v>0</v>
      </c>
      <c r="X50" s="33">
        <f t="shared" si="18"/>
        <v>0</v>
      </c>
    </row>
    <row r="51" ht="18.75" customHeight="1">
      <c r="A51" s="4">
        <v>2</v>
      </c>
      <c r="B51" s="2" t="s">
        <v>93</v>
      </c>
      <c r="C51" s="14">
        <f t="shared" si="16"/>
        <v>0</v>
      </c>
      <c r="D51" s="189">
        <v>0</v>
      </c>
      <c r="E51" s="189">
        <v>0</v>
      </c>
      <c r="F51" s="189">
        <v>0</v>
      </c>
      <c r="G51" s="189">
        <v>0</v>
      </c>
      <c r="H51" s="189">
        <v>0</v>
      </c>
      <c r="J51" s="4">
        <v>2</v>
      </c>
      <c r="K51" s="2" t="s">
        <v>93</v>
      </c>
      <c r="L51" s="14">
        <f t="shared" si="17"/>
        <v>0</v>
      </c>
      <c r="M51" s="189">
        <v>0</v>
      </c>
      <c r="N51" s="189">
        <v>0</v>
      </c>
      <c r="O51" s="189">
        <v>0</v>
      </c>
      <c r="P51" s="189">
        <v>0</v>
      </c>
      <c r="Q51" s="189">
        <v>0</v>
      </c>
      <c r="R51" s="7">
        <v>0</v>
      </c>
      <c r="S51" s="27">
        <f t="shared" si="18"/>
        <v>0</v>
      </c>
      <c r="T51" s="33">
        <f t="shared" si="18"/>
        <v>0</v>
      </c>
      <c r="U51" s="33">
        <f t="shared" si="18"/>
        <v>0</v>
      </c>
      <c r="V51" s="33">
        <f t="shared" si="18"/>
        <v>0</v>
      </c>
      <c r="W51" s="33">
        <f t="shared" si="18"/>
        <v>0</v>
      </c>
      <c r="X51" s="33">
        <f t="shared" si="18"/>
        <v>0</v>
      </c>
    </row>
    <row r="52" ht="18.75" customHeight="1">
      <c r="A52" s="4">
        <v>3</v>
      </c>
      <c r="B52" s="2" t="s">
        <v>94</v>
      </c>
      <c r="C52" s="14">
        <f t="shared" si="16"/>
        <v>0</v>
      </c>
      <c r="D52" s="189"/>
      <c r="E52" s="189"/>
      <c r="F52" s="189"/>
      <c r="G52" s="189"/>
      <c r="H52" s="189"/>
      <c r="J52" s="4">
        <v>3</v>
      </c>
      <c r="K52" s="2" t="s">
        <v>94</v>
      </c>
      <c r="L52" s="14">
        <f t="shared" si="17"/>
        <v>0</v>
      </c>
      <c r="M52" s="189"/>
      <c r="N52" s="189"/>
      <c r="O52" s="189"/>
      <c r="P52" s="189"/>
      <c r="Q52" s="189"/>
      <c r="R52" s="7">
        <v>0</v>
      </c>
      <c r="S52" s="27">
        <f t="shared" si="18"/>
        <v>0</v>
      </c>
      <c r="T52" s="33">
        <f t="shared" si="18"/>
        <v>0</v>
      </c>
      <c r="U52" s="33">
        <f t="shared" si="18"/>
        <v>0</v>
      </c>
      <c r="V52" s="33">
        <f t="shared" si="18"/>
        <v>0</v>
      </c>
      <c r="W52" s="33">
        <f t="shared" si="18"/>
        <v>0</v>
      </c>
      <c r="X52" s="33">
        <f t="shared" si="18"/>
        <v>0</v>
      </c>
    </row>
    <row r="53" ht="18.75" customHeight="1">
      <c r="A53" s="4">
        <v>4</v>
      </c>
      <c r="B53" s="2" t="s">
        <v>95</v>
      </c>
      <c r="C53" s="14">
        <f t="shared" si="16"/>
        <v>0</v>
      </c>
      <c r="D53" s="189"/>
      <c r="E53" s="189"/>
      <c r="F53" s="189"/>
      <c r="G53" s="189"/>
      <c r="H53" s="189"/>
      <c r="J53" s="4">
        <v>4</v>
      </c>
      <c r="K53" s="2" t="s">
        <v>95</v>
      </c>
      <c r="L53" s="14">
        <f t="shared" si="17"/>
        <v>0</v>
      </c>
      <c r="M53" s="189"/>
      <c r="N53" s="189"/>
      <c r="O53" s="189"/>
      <c r="P53" s="189"/>
      <c r="Q53" s="189"/>
      <c r="R53" s="7">
        <v>0</v>
      </c>
      <c r="S53" s="27">
        <f t="shared" si="18"/>
        <v>0</v>
      </c>
      <c r="T53" s="33">
        <f t="shared" si="18"/>
        <v>0</v>
      </c>
      <c r="U53" s="33">
        <f t="shared" si="18"/>
        <v>0</v>
      </c>
      <c r="V53" s="33">
        <f t="shared" si="18"/>
        <v>0</v>
      </c>
      <c r="W53" s="33">
        <f t="shared" si="18"/>
        <v>0</v>
      </c>
      <c r="X53" s="33">
        <f t="shared" si="18"/>
        <v>0</v>
      </c>
    </row>
    <row r="54" ht="18.75" customHeight="1">
      <c r="A54" s="4">
        <v>5</v>
      </c>
      <c r="B54" s="2" t="s">
        <v>96</v>
      </c>
      <c r="C54" s="14">
        <f t="shared" si="16"/>
        <v>0</v>
      </c>
      <c r="D54" s="189"/>
      <c r="E54" s="189"/>
      <c r="F54" s="189"/>
      <c r="G54" s="189"/>
      <c r="H54" s="189"/>
      <c r="J54" s="4">
        <v>5</v>
      </c>
      <c r="K54" s="2" t="s">
        <v>96</v>
      </c>
      <c r="L54" s="14">
        <f t="shared" si="17"/>
        <v>0</v>
      </c>
      <c r="M54" s="189"/>
      <c r="N54" s="189"/>
      <c r="O54" s="189"/>
      <c r="P54" s="189"/>
      <c r="Q54" s="189"/>
      <c r="R54" s="7">
        <v>0</v>
      </c>
      <c r="S54" s="27">
        <f t="shared" si="18"/>
        <v>0</v>
      </c>
      <c r="T54" s="33">
        <f t="shared" si="18"/>
        <v>0</v>
      </c>
      <c r="U54" s="33">
        <f t="shared" si="18"/>
        <v>0</v>
      </c>
      <c r="V54" s="33">
        <f t="shared" si="18"/>
        <v>0</v>
      </c>
      <c r="W54" s="33">
        <f t="shared" si="18"/>
        <v>0</v>
      </c>
      <c r="X54" s="33">
        <f t="shared" si="18"/>
        <v>0</v>
      </c>
    </row>
    <row r="55" ht="18.75" customHeight="1">
      <c r="A55" s="4">
        <v>6</v>
      </c>
      <c r="B55" s="2" t="s">
        <v>97</v>
      </c>
      <c r="C55" s="14">
        <f t="shared" si="16"/>
        <v>0</v>
      </c>
      <c r="D55" s="189"/>
      <c r="E55" s="189"/>
      <c r="F55" s="189"/>
      <c r="G55" s="189"/>
      <c r="H55" s="189"/>
      <c r="J55" s="4">
        <v>6</v>
      </c>
      <c r="K55" s="2" t="s">
        <v>97</v>
      </c>
      <c r="L55" s="14">
        <f t="shared" si="17"/>
        <v>0</v>
      </c>
      <c r="M55" s="189"/>
      <c r="N55" s="189"/>
      <c r="O55" s="189"/>
      <c r="P55" s="189"/>
      <c r="Q55" s="189"/>
      <c r="R55" s="7">
        <v>0</v>
      </c>
      <c r="S55" s="27">
        <f t="shared" si="18"/>
        <v>0</v>
      </c>
      <c r="T55" s="33">
        <f t="shared" si="18"/>
        <v>0</v>
      </c>
      <c r="U55" s="33">
        <f t="shared" si="18"/>
        <v>0</v>
      </c>
      <c r="V55" s="33">
        <f t="shared" si="18"/>
        <v>0</v>
      </c>
      <c r="W55" s="33">
        <f t="shared" si="18"/>
        <v>0</v>
      </c>
      <c r="X55" s="33">
        <f t="shared" si="18"/>
        <v>0</v>
      </c>
    </row>
    <row r="56" ht="35.25" customHeight="1">
      <c r="A56" s="4">
        <v>7</v>
      </c>
      <c r="B56" s="2" t="s">
        <v>98</v>
      </c>
      <c r="C56" s="14">
        <f t="shared" si="16"/>
        <v>0</v>
      </c>
      <c r="D56" s="189">
        <v>0</v>
      </c>
      <c r="E56" s="189">
        <v>0</v>
      </c>
      <c r="F56" s="189">
        <v>0</v>
      </c>
      <c r="G56" s="189">
        <v>0</v>
      </c>
      <c r="H56" s="189">
        <v>0</v>
      </c>
      <c r="J56" s="4">
        <v>7</v>
      </c>
      <c r="K56" s="2" t="s">
        <v>98</v>
      </c>
      <c r="L56" s="14">
        <f t="shared" si="17"/>
        <v>0</v>
      </c>
      <c r="M56" s="189">
        <v>0</v>
      </c>
      <c r="N56" s="189">
        <v>0</v>
      </c>
      <c r="O56" s="189">
        <v>0</v>
      </c>
      <c r="P56" s="189">
        <v>0</v>
      </c>
      <c r="Q56" s="189">
        <v>0</v>
      </c>
      <c r="R56" s="7">
        <v>0</v>
      </c>
      <c r="S56" s="27">
        <f t="shared" si="18"/>
        <v>0</v>
      </c>
      <c r="T56" s="33">
        <f t="shared" si="18"/>
        <v>0</v>
      </c>
      <c r="U56" s="33">
        <f t="shared" si="18"/>
        <v>0</v>
      </c>
      <c r="V56" s="33">
        <f t="shared" si="18"/>
        <v>0</v>
      </c>
      <c r="W56" s="33">
        <f t="shared" si="18"/>
        <v>0</v>
      </c>
      <c r="X56" s="33">
        <f t="shared" si="18"/>
        <v>0</v>
      </c>
    </row>
    <row r="57" ht="30" customHeight="1">
      <c r="A57" s="227" t="s">
        <v>99</v>
      </c>
      <c r="B57" s="228" t="s">
        <v>2</v>
      </c>
      <c r="C57" s="16">
        <f>C50+C51+C52+C53+C54+C55+C56</f>
        <v>0</v>
      </c>
      <c r="D57" s="194">
        <f ref="D57:H57" t="shared" si="19">D50+D51+D52+D53+D54+D55+D56</f>
        <v>0</v>
      </c>
      <c r="E57" s="194">
        <f t="shared" si="19"/>
        <v>0</v>
      </c>
      <c r="F57" s="194">
        <f t="shared" si="19"/>
        <v>0</v>
      </c>
      <c r="G57" s="194">
        <f t="shared" si="19"/>
        <v>0</v>
      </c>
      <c r="H57" s="194">
        <f t="shared" si="19"/>
        <v>0</v>
      </c>
      <c r="J57" s="227" t="s">
        <v>99</v>
      </c>
      <c r="K57" s="228" t="s">
        <v>2</v>
      </c>
      <c r="L57" s="16">
        <f>L50+L51+L52+L53+L54+L55+L56</f>
        <v>0</v>
      </c>
      <c r="M57" s="194">
        <f ref="M57:Q57" t="shared" si="20">M50+M51+M52+M53+M54+M55+M56</f>
        <v>0</v>
      </c>
      <c r="N57" s="194">
        <f t="shared" si="20"/>
        <v>0</v>
      </c>
      <c r="O57" s="194">
        <f t="shared" si="20"/>
        <v>0</v>
      </c>
      <c r="P57" s="194">
        <f t="shared" si="20"/>
        <v>0</v>
      </c>
      <c r="Q57" s="194">
        <f t="shared" si="20"/>
        <v>0</v>
      </c>
      <c r="R57" s="7">
        <v>0</v>
      </c>
      <c r="S57" s="29">
        <f t="shared" si="18"/>
        <v>0</v>
      </c>
      <c r="T57" s="29">
        <f t="shared" si="18"/>
        <v>0</v>
      </c>
      <c r="U57" s="29">
        <f t="shared" si="18"/>
        <v>0</v>
      </c>
      <c r="V57" s="29">
        <f t="shared" si="18"/>
        <v>0</v>
      </c>
      <c r="W57" s="29">
        <f t="shared" si="18"/>
        <v>0</v>
      </c>
      <c r="X57" s="29">
        <f t="shared" si="18"/>
        <v>0</v>
      </c>
    </row>
    <row r="58" ht="18.75" customHeight="1">
      <c r="A58" s="226" t="s">
        <v>100</v>
      </c>
      <c r="B58" s="226"/>
      <c r="C58" s="17" t="s">
        <v>2</v>
      </c>
      <c r="D58" s="193" t="s">
        <v>3</v>
      </c>
      <c r="E58" s="193" t="s">
        <v>4</v>
      </c>
      <c r="F58" s="193" t="s">
        <v>5</v>
      </c>
      <c r="G58" s="193" t="s">
        <v>6</v>
      </c>
      <c r="H58" s="193" t="s">
        <v>7</v>
      </c>
      <c r="J58" s="226" t="s">
        <v>100</v>
      </c>
      <c r="K58" s="226"/>
      <c r="L58" s="17" t="s">
        <v>2</v>
      </c>
      <c r="M58" s="193" t="s">
        <v>3</v>
      </c>
      <c r="N58" s="193" t="s">
        <v>4</v>
      </c>
      <c r="O58" s="193" t="s">
        <v>5</v>
      </c>
      <c r="P58" s="193" t="s">
        <v>6</v>
      </c>
      <c r="Q58" s="193" t="s">
        <v>7</v>
      </c>
      <c r="R58" s="7" t="s">
        <v>7</v>
      </c>
      <c r="S58" s="30" t="s">
        <v>2</v>
      </c>
      <c r="T58" s="30" t="s">
        <v>3</v>
      </c>
      <c r="U58" s="30" t="s">
        <v>4</v>
      </c>
      <c r="V58" s="30" t="s">
        <v>5</v>
      </c>
      <c r="W58" s="30" t="s">
        <v>6</v>
      </c>
      <c r="X58" s="30" t="s">
        <v>7</v>
      </c>
    </row>
    <row r="59" ht="18.75" customHeight="1">
      <c r="A59" s="4">
        <v>1</v>
      </c>
      <c r="B59" s="2" t="s">
        <v>101</v>
      </c>
      <c r="C59" s="19">
        <f>D59+E59+F59+G59+H59</f>
        <v>0</v>
      </c>
      <c r="D59" s="189"/>
      <c r="E59" s="189"/>
      <c r="F59" s="189"/>
      <c r="G59" s="189"/>
      <c r="H59" s="189"/>
      <c r="J59" s="4">
        <v>1</v>
      </c>
      <c r="K59" s="2" t="s">
        <v>101</v>
      </c>
      <c r="L59" s="19">
        <f>M59+N59+O59+P59+Q59</f>
        <v>0</v>
      </c>
      <c r="M59" s="189"/>
      <c r="N59" s="189"/>
      <c r="O59" s="189"/>
      <c r="P59" s="189"/>
      <c r="Q59" s="189"/>
      <c r="R59" s="7">
        <v>0</v>
      </c>
      <c r="S59" s="31">
        <f t="shared" si="18"/>
        <v>0</v>
      </c>
      <c r="T59" s="33">
        <f t="shared" si="18"/>
        <v>0</v>
      </c>
      <c r="U59" s="33">
        <f t="shared" si="18"/>
        <v>0</v>
      </c>
      <c r="V59" s="33">
        <f t="shared" si="18"/>
        <v>0</v>
      </c>
      <c r="W59" s="33">
        <f t="shared" si="18"/>
        <v>0</v>
      </c>
      <c r="X59" s="33">
        <f t="shared" si="18"/>
        <v>0</v>
      </c>
    </row>
    <row r="60" ht="33.75" customHeight="1">
      <c r="A60" s="4">
        <v>3</v>
      </c>
      <c r="B60" s="2" t="s">
        <v>95</v>
      </c>
      <c r="C60" s="19">
        <f>D60+E60+F60+G60+H60</f>
        <v>0</v>
      </c>
      <c r="D60" s="189"/>
      <c r="E60" s="189"/>
      <c r="F60" s="189"/>
      <c r="G60" s="189"/>
      <c r="H60" s="189"/>
      <c r="J60" s="4">
        <v>3</v>
      </c>
      <c r="K60" s="2" t="s">
        <v>95</v>
      </c>
      <c r="L60" s="19">
        <f>M60+N60+O60+P60+Q60</f>
        <v>0</v>
      </c>
      <c r="M60" s="189"/>
      <c r="N60" s="189"/>
      <c r="O60" s="189"/>
      <c r="P60" s="189"/>
      <c r="Q60" s="189"/>
      <c r="R60" s="7">
        <v>0</v>
      </c>
      <c r="S60" s="31">
        <f t="shared" si="18"/>
        <v>0</v>
      </c>
      <c r="T60" s="33">
        <f t="shared" si="18"/>
        <v>0</v>
      </c>
      <c r="U60" s="33">
        <f t="shared" si="18"/>
        <v>0</v>
      </c>
      <c r="V60" s="33">
        <f t="shared" si="18"/>
        <v>0</v>
      </c>
      <c r="W60" s="33">
        <f t="shared" si="18"/>
        <v>0</v>
      </c>
      <c r="X60" s="33">
        <f t="shared" si="18"/>
        <v>0</v>
      </c>
    </row>
    <row r="61" ht="18.75" customHeight="1">
      <c r="A61" s="4">
        <v>4</v>
      </c>
      <c r="B61" s="2" t="s">
        <v>96</v>
      </c>
      <c r="C61" s="19">
        <f>D61+E61+F61+G61+H61</f>
        <v>0</v>
      </c>
      <c r="D61" s="189"/>
      <c r="E61" s="189"/>
      <c r="F61" s="189"/>
      <c r="G61" s="189"/>
      <c r="H61" s="189"/>
      <c r="J61" s="4">
        <v>4</v>
      </c>
      <c r="K61" s="2" t="s">
        <v>96</v>
      </c>
      <c r="L61" s="19">
        <f>M61+N61+O61+P61+Q61</f>
        <v>0</v>
      </c>
      <c r="M61" s="189"/>
      <c r="N61" s="189"/>
      <c r="O61" s="189"/>
      <c r="P61" s="189"/>
      <c r="Q61" s="189"/>
      <c r="R61" s="7">
        <v>0</v>
      </c>
      <c r="S61" s="31">
        <f t="shared" si="18"/>
        <v>0</v>
      </c>
      <c r="T61" s="33">
        <f t="shared" si="18"/>
        <v>0</v>
      </c>
      <c r="U61" s="33">
        <f t="shared" si="18"/>
        <v>0</v>
      </c>
      <c r="V61" s="33">
        <f t="shared" si="18"/>
        <v>0</v>
      </c>
      <c r="W61" s="33">
        <f t="shared" si="18"/>
        <v>0</v>
      </c>
      <c r="X61" s="33">
        <f t="shared" si="18"/>
        <v>0</v>
      </c>
    </row>
    <row r="62" ht="18.75" customHeight="1">
      <c r="A62" s="4">
        <v>5</v>
      </c>
      <c r="B62" s="2" t="s">
        <v>97</v>
      </c>
      <c r="C62" s="19">
        <f>D62+E62+F62+G62+H62</f>
        <v>0</v>
      </c>
      <c r="D62" s="189"/>
      <c r="E62" s="189"/>
      <c r="F62" s="189"/>
      <c r="G62" s="189"/>
      <c r="H62" s="189"/>
      <c r="J62" s="4">
        <v>5</v>
      </c>
      <c r="K62" s="2" t="s">
        <v>97</v>
      </c>
      <c r="L62" s="19">
        <f>M62+N62+O62+P62+Q62</f>
        <v>0</v>
      </c>
      <c r="M62" s="189"/>
      <c r="N62" s="189"/>
      <c r="O62" s="189"/>
      <c r="P62" s="189"/>
      <c r="Q62" s="189"/>
      <c r="R62" s="7">
        <v>0</v>
      </c>
      <c r="S62" s="31">
        <f t="shared" si="18"/>
        <v>0</v>
      </c>
      <c r="T62" s="33">
        <f t="shared" si="18"/>
        <v>0</v>
      </c>
      <c r="U62" s="33">
        <f t="shared" si="18"/>
        <v>0</v>
      </c>
      <c r="V62" s="33">
        <f t="shared" si="18"/>
        <v>0</v>
      </c>
      <c r="W62" s="33">
        <f t="shared" si="18"/>
        <v>0</v>
      </c>
      <c r="X62" s="33">
        <f t="shared" si="18"/>
        <v>0</v>
      </c>
    </row>
    <row r="63" ht="18.75" customHeight="1">
      <c r="A63" s="4">
        <v>6</v>
      </c>
      <c r="B63" s="2" t="s">
        <v>102</v>
      </c>
      <c r="C63" s="19">
        <f>D63+E63+F63+G63+H63</f>
        <v>15833.849635775001</v>
      </c>
      <c r="D63" s="189">
        <v>15313.52461</v>
      </c>
      <c r="E63" s="189">
        <v>46.168073</v>
      </c>
      <c r="F63" s="189">
        <v>474.156952775</v>
      </c>
      <c r="G63" s="189">
        <v>0</v>
      </c>
      <c r="H63" s="189">
        <v>0</v>
      </c>
      <c r="J63" s="4">
        <v>6</v>
      </c>
      <c r="K63" s="2" t="s">
        <v>102</v>
      </c>
      <c r="L63" s="19">
        <f>M63+N63+O63+P63+Q63</f>
        <v>15835.282724200002</v>
      </c>
      <c r="M63" s="189">
        <v>15313.53461</v>
      </c>
      <c r="N63" s="189">
        <v>46.168073</v>
      </c>
      <c r="O63" s="189">
        <v>475.5800412</v>
      </c>
      <c r="P63" s="189">
        <v>0</v>
      </c>
      <c r="Q63" s="189">
        <v>0</v>
      </c>
      <c r="R63" s="7">
        <v>0</v>
      </c>
      <c r="S63" s="31">
        <f t="shared" si="18"/>
        <v>-1.4330884250011877</v>
      </c>
      <c r="T63" s="33">
        <f t="shared" si="18"/>
        <v>-0.010000000000218279</v>
      </c>
      <c r="U63" s="33">
        <f t="shared" si="18"/>
        <v>0</v>
      </c>
      <c r="V63" s="33">
        <f t="shared" si="18"/>
        <v>-1.4230884250000031</v>
      </c>
      <c r="W63" s="33">
        <f t="shared" si="18"/>
        <v>0</v>
      </c>
      <c r="X63" s="33">
        <f t="shared" si="18"/>
        <v>0</v>
      </c>
    </row>
    <row r="64">
      <c r="A64" s="230" t="s">
        <v>103</v>
      </c>
      <c r="B64" s="231" t="s">
        <v>2</v>
      </c>
      <c r="C64" s="18">
        <f>C59+C60+C61+C62+C63</f>
        <v>15833.849635775001</v>
      </c>
      <c r="D64" s="194">
        <f ref="D64:H64" t="shared" si="21">D59+D60+D61+D62+D63</f>
        <v>15313.52461</v>
      </c>
      <c r="E64" s="194">
        <f t="shared" si="21"/>
        <v>46.168073</v>
      </c>
      <c r="F64" s="194">
        <f t="shared" si="21"/>
        <v>474.156952775</v>
      </c>
      <c r="G64" s="194">
        <f t="shared" si="21"/>
        <v>0</v>
      </c>
      <c r="H64" s="194">
        <f t="shared" si="21"/>
        <v>0</v>
      </c>
      <c r="J64" s="230" t="s">
        <v>103</v>
      </c>
      <c r="K64" s="231" t="s">
        <v>2</v>
      </c>
      <c r="L64" s="18">
        <f>L59+L60+L61+L62+L63</f>
        <v>15835.282724200002</v>
      </c>
      <c r="M64" s="194">
        <f ref="M64:Q64" t="shared" si="22">M59+M60+M61+M62+M63</f>
        <v>15313.53461</v>
      </c>
      <c r="N64" s="194">
        <f t="shared" si="22"/>
        <v>46.168073</v>
      </c>
      <c r="O64" s="194">
        <f t="shared" si="22"/>
        <v>475.5800412</v>
      </c>
      <c r="P64" s="194">
        <f t="shared" si="22"/>
        <v>0</v>
      </c>
      <c r="Q64" s="194">
        <f t="shared" si="22"/>
        <v>0</v>
      </c>
      <c r="R64" s="7">
        <v>0</v>
      </c>
      <c r="S64" s="32">
        <f t="shared" si="18"/>
        <v>-1.4330884250011877</v>
      </c>
      <c r="T64" s="32">
        <f t="shared" si="18"/>
        <v>-0.010000000000218279</v>
      </c>
      <c r="U64" s="32">
        <f t="shared" si="18"/>
        <v>0</v>
      </c>
      <c r="V64" s="32">
        <f t="shared" si="18"/>
        <v>-1.4230884250000031</v>
      </c>
      <c r="W64" s="32">
        <f t="shared" si="18"/>
        <v>0</v>
      </c>
      <c r="X64" s="32">
        <f t="shared" si="18"/>
        <v>0</v>
      </c>
    </row>
    <row r="65" ht="15" customHeight="1">
      <c r="A65" s="213" t="s">
        <v>104</v>
      </c>
      <c r="B65" s="213" t="s">
        <v>2</v>
      </c>
      <c r="C65" s="93"/>
      <c r="J65" s="213" t="s">
        <v>104</v>
      </c>
      <c r="K65" s="213" t="s">
        <v>2</v>
      </c>
      <c r="L65" s="93"/>
      <c r="M65" s="9"/>
      <c r="N65" s="9"/>
      <c r="O65" s="9"/>
      <c r="P65" s="9"/>
      <c r="Q65" s="9"/>
    </row>
    <row r="66">
      <c r="A66" s="51">
        <v>1</v>
      </c>
      <c r="B66" s="52" t="s">
        <v>105</v>
      </c>
      <c r="C66" s="96">
        <v>7.2</v>
      </c>
      <c r="D66" s="167"/>
      <c r="J66" s="51">
        <v>1</v>
      </c>
      <c r="K66" s="52" t="s">
        <v>105</v>
      </c>
      <c r="L66" s="96">
        <v>9.5</v>
      </c>
      <c r="M66" s="167"/>
      <c r="N66" s="9"/>
      <c r="O66" s="9"/>
      <c r="P66" s="9"/>
      <c r="Q66" s="9"/>
    </row>
    <row r="67">
      <c r="A67" s="51">
        <v>2</v>
      </c>
      <c r="B67" s="52" t="s">
        <v>106</v>
      </c>
      <c r="C67" s="96"/>
      <c r="D67" s="167"/>
      <c r="E67" s="164"/>
      <c r="J67" s="51">
        <v>2</v>
      </c>
      <c r="K67" s="52" t="s">
        <v>106</v>
      </c>
      <c r="L67" s="96"/>
      <c r="M67" s="167"/>
      <c r="N67" s="164"/>
      <c r="O67" s="9"/>
      <c r="P67" s="9"/>
      <c r="Q67" s="9"/>
    </row>
    <row r="68">
      <c r="A68" s="51">
        <v>3</v>
      </c>
      <c r="B68" s="52" t="s">
        <v>107</v>
      </c>
      <c r="C68" s="96">
        <v>7.55</v>
      </c>
      <c r="D68" s="167"/>
      <c r="J68" s="51">
        <v>3</v>
      </c>
      <c r="K68" s="52" t="s">
        <v>107</v>
      </c>
      <c r="L68" s="96">
        <v>9.16</v>
      </c>
      <c r="M68" s="167"/>
      <c r="N68" s="9"/>
      <c r="O68" s="9"/>
      <c r="P68" s="9"/>
      <c r="Q68" s="9"/>
    </row>
    <row r="69">
      <c r="A69" s="51">
        <v>4</v>
      </c>
      <c r="B69" s="52" t="s">
        <v>108</v>
      </c>
      <c r="C69" s="96"/>
      <c r="D69" s="167"/>
      <c r="J69" s="51">
        <v>4</v>
      </c>
      <c r="K69" s="52" t="s">
        <v>108</v>
      </c>
      <c r="L69" s="96"/>
      <c r="M69" s="167"/>
      <c r="N69" s="9"/>
      <c r="O69" s="9"/>
      <c r="P69" s="9"/>
      <c r="Q69" s="9"/>
    </row>
    <row r="70">
      <c r="A70" s="51">
        <v>5</v>
      </c>
      <c r="B70" s="52" t="s">
        <v>109</v>
      </c>
      <c r="C70" s="96">
        <v>0</v>
      </c>
      <c r="D70" s="167"/>
      <c r="J70" s="51">
        <v>5</v>
      </c>
      <c r="K70" s="52" t="s">
        <v>109</v>
      </c>
      <c r="L70" s="96">
        <v>0</v>
      </c>
      <c r="M70" s="167"/>
      <c r="N70" s="9"/>
      <c r="O70" s="9"/>
      <c r="P70" s="9"/>
      <c r="Q70" s="9"/>
    </row>
    <row r="71">
      <c r="A71" s="51">
        <v>6</v>
      </c>
      <c r="B71" s="52" t="s">
        <v>110</v>
      </c>
      <c r="C71" s="93"/>
      <c r="D71" s="167"/>
      <c r="J71" s="51">
        <v>6</v>
      </c>
      <c r="K71" s="52" t="s">
        <v>110</v>
      </c>
      <c r="L71" s="93"/>
      <c r="M71" s="167"/>
      <c r="N71" s="9"/>
      <c r="O71" s="9"/>
      <c r="P71" s="9"/>
      <c r="Q71" s="9"/>
    </row>
    <row r="72">
      <c r="A72" s="51">
        <v>7</v>
      </c>
      <c r="B72" s="52" t="s">
        <v>111</v>
      </c>
      <c r="C72" s="96">
        <v>0</v>
      </c>
      <c r="J72" s="51">
        <v>7</v>
      </c>
      <c r="K72" s="52" t="s">
        <v>111</v>
      </c>
      <c r="L72" s="96">
        <v>0</v>
      </c>
      <c r="M72" s="9"/>
      <c r="N72" s="9"/>
      <c r="O72" s="9"/>
      <c r="P72" s="9"/>
      <c r="Q72" s="9"/>
    </row>
    <row r="73">
      <c r="A73" s="51">
        <v>8</v>
      </c>
      <c r="B73" s="52" t="s">
        <v>112</v>
      </c>
      <c r="C73" s="93"/>
      <c r="J73" s="51">
        <v>8</v>
      </c>
      <c r="K73" s="52" t="s">
        <v>112</v>
      </c>
      <c r="L73" s="93"/>
      <c r="M73" s="9"/>
      <c r="N73" s="9"/>
      <c r="O73" s="9"/>
      <c r="P73" s="9"/>
      <c r="Q73" s="9"/>
    </row>
    <row r="74">
      <c r="A74" s="51">
        <v>9</v>
      </c>
      <c r="B74" s="52" t="s">
        <v>113</v>
      </c>
      <c r="C74" s="210">
        <v>0</v>
      </c>
      <c r="J74" s="51">
        <v>9</v>
      </c>
      <c r="K74" s="52" t="s">
        <v>113</v>
      </c>
      <c r="L74" s="207">
        <v>0</v>
      </c>
      <c r="M74" s="9"/>
      <c r="N74" s="9"/>
      <c r="O74" s="9"/>
      <c r="P74" s="9"/>
      <c r="Q74" s="9"/>
    </row>
    <row r="75">
      <c r="A75" s="51">
        <v>10</v>
      </c>
      <c r="B75" s="52" t="s">
        <v>114</v>
      </c>
      <c r="C75" s="211">
        <v>5.7</v>
      </c>
      <c r="J75" s="51">
        <v>10</v>
      </c>
      <c r="K75" s="52" t="s">
        <v>114</v>
      </c>
      <c r="L75" s="208">
        <v>7.12</v>
      </c>
      <c r="M75" s="9"/>
      <c r="N75" s="9"/>
      <c r="O75" s="9"/>
      <c r="P75" s="9"/>
      <c r="Q75" s="9"/>
    </row>
    <row r="76">
      <c r="A76" s="51">
        <v>11</v>
      </c>
      <c r="B76" s="52" t="s">
        <v>115</v>
      </c>
      <c r="C76" s="210">
        <v>1413.69463</v>
      </c>
      <c r="J76" s="51">
        <v>11</v>
      </c>
      <c r="K76" s="52" t="s">
        <v>115</v>
      </c>
      <c r="L76" s="207">
        <v>1404.76271</v>
      </c>
      <c r="M76" s="9"/>
      <c r="N76" s="9"/>
      <c r="O76" s="9"/>
      <c r="P76" s="9"/>
      <c r="Q76" s="9"/>
    </row>
    <row r="77">
      <c r="A77" s="51">
        <v>12</v>
      </c>
      <c r="B77" s="53" t="s">
        <v>116</v>
      </c>
      <c r="C77" s="210">
        <v>1290.96407</v>
      </c>
      <c r="J77" s="51">
        <v>12</v>
      </c>
      <c r="K77" s="53" t="s">
        <v>116</v>
      </c>
      <c r="L77" s="207">
        <v>1287.93557</v>
      </c>
      <c r="M77" s="9"/>
      <c r="N77" s="9"/>
      <c r="O77" s="9"/>
      <c r="P77" s="9"/>
      <c r="Q77" s="9"/>
    </row>
    <row r="78">
      <c r="A78" s="51">
        <v>13</v>
      </c>
      <c r="B78" s="52" t="s">
        <v>117</v>
      </c>
      <c r="C78" s="196">
        <v>2.0392366694693891</v>
      </c>
      <c r="J78" s="51">
        <v>13</v>
      </c>
      <c r="K78" s="52" t="s">
        <v>117</v>
      </c>
      <c r="L78" s="196">
        <v>2.038105093664905</v>
      </c>
      <c r="M78" s="9"/>
      <c r="N78" s="9"/>
      <c r="O78" s="9"/>
      <c r="P78" s="9"/>
      <c r="Q78" s="9"/>
    </row>
    <row r="79">
      <c r="A79" s="51">
        <v>14</v>
      </c>
      <c r="B79" s="52" t="s">
        <v>118</v>
      </c>
      <c r="C79" s="196">
        <v>0.91325707505933873</v>
      </c>
      <c r="J79" s="51">
        <v>14</v>
      </c>
      <c r="K79" s="52" t="s">
        <v>118</v>
      </c>
      <c r="L79" s="196">
        <v>0.91279639486589959</v>
      </c>
      <c r="M79" s="9"/>
      <c r="N79" s="9"/>
      <c r="O79" s="9"/>
      <c r="P79" s="9"/>
      <c r="Q79" s="9"/>
    </row>
    <row r="80" s="122" customFormat="1">
      <c r="A80" s="51">
        <v>15</v>
      </c>
      <c r="B80" s="135" t="s">
        <v>119</v>
      </c>
      <c r="C80" s="203"/>
      <c r="D80" s="136"/>
      <c r="E80" s="136"/>
      <c r="F80" s="136"/>
      <c r="G80" s="136"/>
      <c r="H80" s="136"/>
      <c r="J80" s="51">
        <v>15</v>
      </c>
      <c r="K80" s="135" t="s">
        <v>119</v>
      </c>
      <c r="L80" s="203"/>
      <c r="M80" s="136"/>
      <c r="N80" s="136"/>
      <c r="O80" s="136"/>
      <c r="P80" s="136"/>
      <c r="Q80" s="136"/>
    </row>
    <row r="81">
      <c r="A81" s="51">
        <v>16</v>
      </c>
      <c r="B81" s="52" t="s">
        <v>120</v>
      </c>
      <c r="C81" s="212">
        <v>324.72406</v>
      </c>
      <c r="J81" s="51">
        <v>16</v>
      </c>
      <c r="K81" s="52" t="s">
        <v>120</v>
      </c>
      <c r="L81" s="209">
        <v>324.72406</v>
      </c>
      <c r="M81" s="9"/>
      <c r="N81" s="9"/>
      <c r="O81" s="9"/>
      <c r="P81" s="9"/>
      <c r="Q81" s="9"/>
    </row>
    <row r="82">
      <c r="A82" s="51">
        <v>17</v>
      </c>
      <c r="B82" s="52" t="s">
        <v>121</v>
      </c>
      <c r="C82" s="212">
        <v>2707.27443</v>
      </c>
      <c r="J82" s="51">
        <v>17</v>
      </c>
      <c r="K82" s="52" t="s">
        <v>121</v>
      </c>
      <c r="L82" s="209">
        <v>2712.97138</v>
      </c>
      <c r="M82" s="9"/>
      <c r="N82" s="9"/>
      <c r="O82" s="9"/>
      <c r="P82" s="9"/>
      <c r="Q82" s="9"/>
    </row>
    <row r="83">
      <c r="A83" s="51">
        <v>18</v>
      </c>
      <c r="B83" s="52" t="s">
        <v>122</v>
      </c>
      <c r="C83" s="201"/>
      <c r="J83" s="51">
        <v>18</v>
      </c>
      <c r="K83" s="52" t="s">
        <v>122</v>
      </c>
      <c r="L83" s="201"/>
      <c r="M83" s="9"/>
      <c r="N83" s="9"/>
      <c r="O83" s="9"/>
      <c r="P83" s="9"/>
      <c r="Q83" s="9"/>
    </row>
    <row r="84">
      <c r="L84" s="9"/>
    </row>
    <row r="1048553">
      <c r="C1048553" s="189">
        <v>0</v>
      </c>
      <c r="D1048553" s="189">
        <v>0</v>
      </c>
      <c r="E1048553" s="189">
        <v>368.98</v>
      </c>
      <c r="F1048553" s="189">
        <v>0</v>
      </c>
      <c r="G1048553" s="189">
        <v>0</v>
      </c>
    </row>
    <row r="1048554">
      <c r="C1048554" s="189">
        <v>198.65102</v>
      </c>
      <c r="D1048554" s="189">
        <v>0</v>
      </c>
      <c r="E1048554" s="189">
        <v>0</v>
      </c>
      <c r="F1048554" s="189">
        <v>0</v>
      </c>
      <c r="G1048554" s="189">
        <v>0</v>
      </c>
    </row>
    <row r="1048555">
      <c r="C1048555" s="189">
        <v>0</v>
      </c>
      <c r="D1048555" s="189">
        <v>0</v>
      </c>
      <c r="E1048555" s="189">
        <v>0</v>
      </c>
      <c r="F1048555" s="189">
        <v>0</v>
      </c>
      <c r="G1048555" s="189">
        <v>0</v>
      </c>
    </row>
    <row r="1048556">
      <c r="C1048556" s="189">
        <v>0</v>
      </c>
      <c r="D1048556" s="189">
        <v>0</v>
      </c>
      <c r="E1048556" s="189">
        <v>0</v>
      </c>
      <c r="F1048556" s="189">
        <v>0</v>
      </c>
      <c r="G1048556" s="189">
        <v>0</v>
      </c>
    </row>
    <row r="1048557">
      <c r="C1048557" s="189">
        <v>0</v>
      </c>
      <c r="D1048557" s="189">
        <v>0</v>
      </c>
      <c r="E1048557" s="189">
        <v>0</v>
      </c>
      <c r="F1048557" s="189">
        <v>0</v>
      </c>
      <c r="G1048557" s="189">
        <v>0</v>
      </c>
    </row>
    <row r="1048558">
      <c r="C1048558" s="189">
        <v>0</v>
      </c>
      <c r="D1048558" s="189">
        <v>0</v>
      </c>
      <c r="E1048558" s="189">
        <v>0</v>
      </c>
      <c r="F1048558" s="189">
        <v>0</v>
      </c>
      <c r="G1048558" s="189">
        <v>0</v>
      </c>
    </row>
    <row r="1048559">
      <c r="C1048559" s="189">
        <v>413</v>
      </c>
      <c r="D1048559" s="189">
        <v>0</v>
      </c>
      <c r="E1048559" s="189">
        <v>0</v>
      </c>
      <c r="F1048559" s="189">
        <v>0</v>
      </c>
      <c r="G1048559" s="189">
        <v>0</v>
      </c>
    </row>
    <row r="1048560">
      <c r="C1048560" s="194">
        <f ref="C1048560:G1048560" t="shared" si="23">C1048553+C1048554+C1048555+C1048556+C1048557+C1048558+C1048559</f>
        <v>611.65102</v>
      </c>
      <c r="D1048560" s="194">
        <f t="shared" si="23"/>
        <v>0</v>
      </c>
      <c r="E1048560" s="194">
        <f t="shared" si="23"/>
        <v>368.98</v>
      </c>
      <c r="F1048560" s="194">
        <f t="shared" si="23"/>
        <v>0</v>
      </c>
      <c r="G1048560" s="194">
        <f t="shared" si="23"/>
        <v>0</v>
      </c>
    </row>
    <row r="1048561">
      <c r="C1048561" s="193" t="s">
        <v>3</v>
      </c>
      <c r="D1048561" s="193" t="s">
        <v>4</v>
      </c>
      <c r="E1048561" s="193" t="s">
        <v>5</v>
      </c>
      <c r="F1048561" s="193" t="s">
        <v>6</v>
      </c>
      <c r="G1048561" s="193" t="s">
        <v>7</v>
      </c>
    </row>
    <row r="1048562">
      <c r="C1048562" s="189">
        <v>0</v>
      </c>
      <c r="D1048562" s="189">
        <v>0</v>
      </c>
      <c r="E1048562" s="189">
        <v>0</v>
      </c>
      <c r="F1048562" s="189">
        <v>0</v>
      </c>
      <c r="G1048562" s="189">
        <v>0</v>
      </c>
    </row>
    <row r="1048563">
      <c r="C1048563" s="189">
        <v>0</v>
      </c>
      <c r="D1048563" s="189">
        <v>0</v>
      </c>
      <c r="E1048563" s="189">
        <v>0</v>
      </c>
      <c r="F1048563" s="189">
        <v>0</v>
      </c>
      <c r="G1048563" s="189">
        <v>0</v>
      </c>
    </row>
    <row r="1048564">
      <c r="C1048564" s="189">
        <v>0</v>
      </c>
      <c r="D1048564" s="189">
        <v>0</v>
      </c>
      <c r="E1048564" s="189">
        <v>0</v>
      </c>
      <c r="F1048564" s="189">
        <v>0</v>
      </c>
      <c r="G1048564" s="189">
        <v>0</v>
      </c>
    </row>
    <row r="1048565">
      <c r="C1048565" s="189">
        <v>0</v>
      </c>
      <c r="D1048565" s="189">
        <v>0</v>
      </c>
      <c r="E1048565" s="189">
        <v>0</v>
      </c>
      <c r="F1048565" s="189">
        <v>0</v>
      </c>
      <c r="G1048565" s="189">
        <v>0</v>
      </c>
    </row>
    <row r="1048566">
      <c r="C1048566" s="189">
        <v>15322.9086</v>
      </c>
      <c r="D1048566" s="189">
        <v>46.16808</v>
      </c>
      <c r="E1048566" s="189">
        <v>495.36903</v>
      </c>
      <c r="F1048566" s="189">
        <v>0</v>
      </c>
      <c r="G1048566" s="189">
        <v>0</v>
      </c>
    </row>
  </sheetData>
  <mergeCells>
    <mergeCell ref="S4:X4"/>
    <mergeCell ref="U3:V3"/>
    <mergeCell ref="S3:T3"/>
    <mergeCell ref="W3:X3"/>
    <mergeCell ref="J46:K46"/>
    <mergeCell ref="J4:Q4"/>
    <mergeCell ref="J5:K5"/>
    <mergeCell ref="J28:K28"/>
    <mergeCell ref="J29:K29"/>
    <mergeCell ref="J43:K43"/>
    <mergeCell ref="J3:K3"/>
    <mergeCell ref="A46:B46"/>
    <mergeCell ref="A49:B49"/>
    <mergeCell ref="A43:B43"/>
    <mergeCell ref="A65:B65"/>
    <mergeCell ref="A1:H1"/>
    <mergeCell ref="A4:H4"/>
    <mergeCell ref="A5:B5"/>
    <mergeCell ref="A29:B29"/>
    <mergeCell ref="A28:B28"/>
    <mergeCell ref="A2:B2"/>
    <mergeCell ref="A3:B3"/>
    <mergeCell ref="J65:K65"/>
    <mergeCell ref="A48:H48"/>
    <mergeCell ref="A58:B58"/>
    <mergeCell ref="A57:B57"/>
    <mergeCell ref="J49:K49"/>
    <mergeCell ref="J57:K57"/>
    <mergeCell ref="J58:K58"/>
    <mergeCell ref="J64:K64"/>
    <mergeCell ref="J48:Q48"/>
    <mergeCell ref="A64:B64"/>
  </mergeCells>
  <conditionalFormatting sqref="D66:D67 D70:D71">
    <cfRule type="cellIs" dxfId="0" priority="3" operator="greaterThan">
      <formula>" -     "</formula>
    </cfRule>
    <cfRule type="expression" dxfId="0" priority="4">
      <formula>"""&gt;&lt;0"""</formula>
    </cfRule>
  </conditionalFormatting>
  <conditionalFormatting sqref="M66:M67 M70:M71">
    <cfRule type="cellIs" dxfId="0" priority="1" operator="greaterThan">
      <formula>" -     "</formula>
    </cfRule>
    <cfRule type="expression" dxfId="0" priority="2">
      <formula>"""&gt;&lt;0"""</formula>
    </cfRule>
  </conditionalFormatting>
  <printOptions horizontalCentered="1"/>
  <pageMargins left="0" right="0" top="0" bottom="0.15748031496062992" header="0.15748031496062992" footer="0.15748031496062992"/>
  <pageSetup paperSize="9" scale="6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N186"/>
  <sheetViews>
    <sheetView showGridLines="0" zoomScaleNormal="100" workbookViewId="0">
      <selection activeCell="J10" sqref="J10:L10"/>
    </sheetView>
  </sheetViews>
  <sheetFormatPr defaultColWidth="9.140625" defaultRowHeight="12.75" outlineLevelCol="1" x14ac:dyDescent="0.25"/>
  <cols>
    <col min="1" max="1" bestFit="1" width="10.7109375" customWidth="1" style="102"/>
    <col min="2" max="2" width="9.28515625" customWidth="1" style="102"/>
    <col min="3" max="3" bestFit="1" width="13.28515625" customWidth="1" style="102"/>
    <col min="4" max="5" width="12" customWidth="1" outlineLevel="1" style="102"/>
    <col min="6" max="7" width="11" customWidth="1" outlineLevel="1" style="102"/>
    <col min="8" max="8" width="9.7109375" customWidth="1" outlineLevel="1" style="102"/>
    <col min="9" max="9" width="9.140625" customWidth="1" style="102"/>
    <col min="10" max="10" width="39" customWidth="1" style="102"/>
    <col min="11" max="11" width="10" customWidth="1" style="111"/>
    <col min="12" max="12" bestFit="1" width="16.28515625" customWidth="1" style="149"/>
    <col min="13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41"/>
    </row>
    <row r="2">
      <c r="A2" s="244" t="s">
        <v>1</v>
      </c>
      <c r="B2" s="245"/>
      <c r="C2" s="113" t="s">
        <v>2</v>
      </c>
      <c r="D2" s="113" t="s">
        <v>3</v>
      </c>
      <c r="E2" s="113" t="s">
        <v>4</v>
      </c>
      <c r="F2" s="113" t="s">
        <v>5</v>
      </c>
      <c r="G2" s="113" t="s">
        <v>6</v>
      </c>
      <c r="H2" s="113" t="s">
        <v>7</v>
      </c>
      <c r="J2" s="10"/>
      <c r="K2" s="41"/>
    </row>
    <row r="3" ht="25.5">
      <c r="A3" s="4">
        <v>1</v>
      </c>
      <c r="B3" s="106" t="s">
        <v>8</v>
      </c>
      <c r="C3" s="114">
        <f>D3+E3+F3+G3+H3</f>
        <v>0</v>
      </c>
      <c r="D3" s="115">
        <f>'Daily-Report'!D6</f>
        <v>0</v>
      </c>
      <c r="E3" s="115">
        <f>'Daily-Report'!E6</f>
        <v>0</v>
      </c>
      <c r="F3" s="115">
        <f>'Daily-Report'!F6</f>
        <v>0</v>
      </c>
      <c r="G3" s="115">
        <f>'Daily-Report'!G6</f>
        <v>0</v>
      </c>
      <c r="H3" s="115">
        <f>'Daily-Report'!H6</f>
        <v>0</v>
      </c>
      <c r="J3" s="40" t="s">
        <v>9</v>
      </c>
      <c r="K3" s="40" t="s">
        <v>10</v>
      </c>
      <c r="L3" s="156" t="s">
        <v>11</v>
      </c>
    </row>
    <row r="4" ht="15">
      <c r="A4" s="247" t="str">
        <f>'Daily-Report'!J3</f>
        <v>Tarix 19/01/2024</v>
      </c>
      <c r="B4" s="247"/>
      <c r="J4" s="120"/>
      <c r="L4" s="187"/>
      <c r="N4" s="103"/>
    </row>
    <row r="5">
      <c r="A5" s="244" t="s">
        <v>1</v>
      </c>
      <c r="B5" s="245"/>
      <c r="C5" s="113" t="s">
        <v>2</v>
      </c>
      <c r="D5" s="113" t="s">
        <v>3</v>
      </c>
      <c r="E5" s="113" t="s">
        <v>4</v>
      </c>
      <c r="F5" s="113" t="s">
        <v>5</v>
      </c>
      <c r="G5" s="113" t="s">
        <v>6</v>
      </c>
      <c r="H5" s="113" t="s">
        <v>7</v>
      </c>
      <c r="N5" s="103"/>
    </row>
    <row r="6" ht="25.5">
      <c r="A6" s="4">
        <v>1</v>
      </c>
      <c r="B6" s="106" t="s">
        <v>8</v>
      </c>
      <c r="C6" s="114">
        <f>D6+E6+F6+G6+H6</f>
        <v>0</v>
      </c>
      <c r="D6" s="115">
        <f>'Daily-Report'!M6</f>
        <v>0</v>
      </c>
      <c r="E6" s="115">
        <f>'Daily-Report'!N6</f>
        <v>0</v>
      </c>
      <c r="F6" s="115">
        <f>'Daily-Report'!O6</f>
        <v>0</v>
      </c>
      <c r="G6" s="115">
        <f>'Daily-Report'!P6</f>
        <v>0</v>
      </c>
      <c r="H6" s="115">
        <f>'Daily-Report'!Q6</f>
        <v>0</v>
      </c>
    </row>
    <row r="7" ht="15">
      <c r="A7" s="10"/>
      <c r="B7" s="105"/>
      <c r="C7" s="116"/>
      <c r="D7" s="116"/>
      <c r="E7" s="116"/>
      <c r="F7" s="116"/>
      <c r="G7" s="116"/>
      <c r="H7" s="116"/>
      <c r="J7" s="120"/>
      <c r="K7" s="186"/>
      <c r="L7" s="187"/>
      <c r="N7" s="103"/>
    </row>
    <row r="8" ht="15">
      <c r="A8" s="108" t="s">
        <v>12</v>
      </c>
      <c r="J8" s="120"/>
      <c r="K8" s="186"/>
      <c r="L8" s="187"/>
    </row>
    <row r="9">
      <c r="A9" s="244" t="s">
        <v>1</v>
      </c>
      <c r="B9" s="245"/>
      <c r="C9" s="113" t="s">
        <v>2</v>
      </c>
      <c r="D9" s="113" t="s">
        <v>3</v>
      </c>
      <c r="E9" s="113" t="s">
        <v>4</v>
      </c>
      <c r="F9" s="113" t="s">
        <v>5</v>
      </c>
      <c r="G9" s="113" t="s">
        <v>6</v>
      </c>
      <c r="H9" s="113" t="s">
        <v>7</v>
      </c>
    </row>
    <row r="10" ht="25.5">
      <c r="A10" s="4">
        <v>1</v>
      </c>
      <c r="B10" s="106" t="s">
        <v>8</v>
      </c>
      <c r="C10" s="114">
        <f>D10+E10+F10+G10+H10</f>
        <v>0</v>
      </c>
      <c r="D10" s="115">
        <f>D3-D6</f>
        <v>0</v>
      </c>
      <c r="E10" s="115">
        <f>E3-E6</f>
        <v>0</v>
      </c>
      <c r="F10" s="115">
        <f>F3-F6</f>
        <v>0</v>
      </c>
      <c r="G10" s="115">
        <f>G3-G6</f>
        <v>0</v>
      </c>
      <c r="H10" s="115">
        <f>H3-H6</f>
        <v>0</v>
      </c>
      <c r="J10" s="120"/>
      <c r="K10" s="186"/>
      <c r="L10" s="187"/>
    </row>
    <row r="11" ht="15">
      <c r="A11" s="10"/>
      <c r="B11" s="105"/>
      <c r="C11" s="116"/>
      <c r="D11" s="116"/>
      <c r="E11" s="116"/>
      <c r="F11" s="116"/>
      <c r="G11" s="116"/>
      <c r="H11" s="116"/>
      <c r="J11" s="120"/>
      <c r="K11" s="186"/>
      <c r="L11" s="187"/>
    </row>
    <row r="12" ht="15">
      <c r="A12" s="10"/>
      <c r="B12" s="105"/>
      <c r="C12" s="116"/>
      <c r="D12" s="116"/>
      <c r="E12" s="116"/>
      <c r="F12" s="116"/>
      <c r="G12" s="116"/>
      <c r="H12" s="116"/>
      <c r="J12" s="122"/>
      <c r="K12" s="186"/>
      <c r="L12" s="187"/>
      <c r="N12" s="103"/>
    </row>
    <row r="13" ht="15">
      <c r="A13" s="10"/>
      <c r="B13" s="105"/>
      <c r="C13" s="116"/>
      <c r="D13" s="116"/>
      <c r="E13" s="116"/>
      <c r="F13" s="116"/>
      <c r="G13" s="116"/>
      <c r="H13" s="116"/>
      <c r="J13" s="122"/>
      <c r="K13" s="186"/>
      <c r="L13" s="187"/>
      <c r="N13" s="103"/>
    </row>
    <row r="14" ht="15">
      <c r="A14" s="10"/>
      <c r="B14" s="105"/>
      <c r="C14" s="116"/>
      <c r="D14" s="116"/>
      <c r="E14" s="116"/>
      <c r="F14" s="116"/>
      <c r="G14" s="116"/>
      <c r="H14" s="116"/>
      <c r="J14" s="120"/>
      <c r="N14" s="103"/>
    </row>
    <row r="15" ht="15">
      <c r="A15" s="10"/>
      <c r="B15" s="105"/>
      <c r="C15" s="116"/>
      <c r="D15" s="116"/>
      <c r="E15" s="116"/>
      <c r="F15" s="116"/>
      <c r="G15" s="116"/>
      <c r="H15" s="116"/>
      <c r="J15" s="122"/>
      <c r="N15" s="103"/>
    </row>
    <row r="16" ht="15">
      <c r="A16" s="10"/>
      <c r="B16" s="105"/>
      <c r="C16" s="116"/>
      <c r="D16" s="116"/>
      <c r="E16" s="116"/>
      <c r="F16" s="116"/>
      <c r="G16" s="116"/>
      <c r="H16" s="116"/>
      <c r="J16" s="120"/>
      <c r="N16" s="103"/>
    </row>
    <row r="17" ht="15">
      <c r="A17" s="10"/>
      <c r="B17" s="105"/>
      <c r="C17" s="116"/>
      <c r="D17" s="116"/>
      <c r="E17" s="116"/>
      <c r="F17" s="116"/>
      <c r="G17" s="116"/>
      <c r="H17" s="116"/>
      <c r="J17" s="120" t="s">
        <v>13</v>
      </c>
      <c r="N17" s="103"/>
    </row>
    <row r="18" ht="15">
      <c r="A18" s="10"/>
      <c r="B18" s="105"/>
      <c r="C18" s="116"/>
      <c r="D18" s="116"/>
      <c r="E18" s="116"/>
      <c r="F18" s="116"/>
      <c r="G18" s="116"/>
      <c r="H18" s="116"/>
      <c r="J18" s="120"/>
      <c r="N18" s="103"/>
    </row>
    <row r="19">
      <c r="A19" s="10"/>
      <c r="B19" s="105"/>
      <c r="C19" s="116"/>
      <c r="D19" s="116"/>
      <c r="E19" s="116"/>
      <c r="F19" s="116"/>
      <c r="G19" s="116"/>
      <c r="H19" s="116"/>
      <c r="K19" s="102"/>
      <c r="L19" s="102"/>
      <c r="N19" s="103"/>
    </row>
    <row r="20">
      <c r="A20" s="10"/>
      <c r="B20" s="105"/>
      <c r="C20" s="116"/>
      <c r="D20" s="116"/>
      <c r="E20" s="116"/>
      <c r="F20" s="116"/>
      <c r="G20" s="116"/>
      <c r="H20" s="116"/>
      <c r="J20" s="166" t="s">
        <v>14</v>
      </c>
      <c r="L20" s="150">
        <f>SUM(L4:L19)</f>
        <v>0</v>
      </c>
    </row>
    <row r="21">
      <c r="A21" s="10"/>
      <c r="B21" s="105"/>
      <c r="C21" s="116"/>
      <c r="D21" s="116"/>
      <c r="E21" s="116"/>
      <c r="F21" s="116"/>
      <c r="G21" s="116"/>
      <c r="H21" s="116"/>
      <c r="K21" s="102"/>
    </row>
    <row r="22">
      <c r="A22" s="10"/>
      <c r="B22" s="105"/>
      <c r="C22" s="116"/>
      <c r="D22" s="116"/>
      <c r="E22" s="116"/>
      <c r="F22" s="116"/>
      <c r="G22" s="116"/>
      <c r="H22" s="116"/>
      <c r="K22" s="102"/>
      <c r="L22" s="102"/>
    </row>
    <row r="23">
      <c r="A23" s="10"/>
      <c r="B23" s="105"/>
      <c r="C23" s="116"/>
      <c r="D23" s="116"/>
      <c r="E23" s="116"/>
      <c r="F23" s="116"/>
      <c r="G23" s="116"/>
      <c r="H23" s="116"/>
      <c r="K23" s="102"/>
      <c r="L23" s="102"/>
    </row>
    <row r="24">
      <c r="A24" s="10"/>
      <c r="B24" s="105"/>
      <c r="C24" s="116"/>
      <c r="D24" s="116"/>
      <c r="E24" s="116"/>
      <c r="F24" s="116"/>
      <c r="G24" s="116"/>
      <c r="H24" s="116"/>
    </row>
    <row r="25">
      <c r="A25" s="10"/>
      <c r="B25" s="105"/>
      <c r="C25" s="116"/>
      <c r="D25" s="116"/>
      <c r="E25" s="116"/>
      <c r="F25" s="116"/>
      <c r="G25" s="116"/>
      <c r="H25" s="116"/>
    </row>
    <row r="26">
      <c r="A26" s="10"/>
      <c r="B26" s="105"/>
      <c r="C26" s="116"/>
      <c r="D26" s="116"/>
      <c r="E26" s="116"/>
      <c r="F26" s="116"/>
      <c r="G26" s="116"/>
      <c r="H26" s="116"/>
      <c r="K26" s="102"/>
      <c r="L26" s="102"/>
    </row>
    <row r="27">
      <c r="A27" s="10"/>
      <c r="B27" s="105"/>
      <c r="C27" s="116"/>
      <c r="D27" s="116"/>
      <c r="E27" s="116"/>
      <c r="F27" s="116"/>
      <c r="G27" s="116"/>
      <c r="H27" s="116"/>
      <c r="L27" s="103"/>
    </row>
    <row r="28">
      <c r="A28" s="10"/>
      <c r="B28" s="105"/>
      <c r="C28" s="116"/>
      <c r="D28" s="116"/>
      <c r="E28" s="116"/>
      <c r="F28" s="116"/>
      <c r="G28" s="116"/>
      <c r="H28" s="116"/>
      <c r="L28" s="103"/>
    </row>
    <row r="29">
      <c r="A29" s="10"/>
      <c r="B29" s="105"/>
      <c r="C29" s="116"/>
      <c r="D29" s="116"/>
      <c r="E29" s="116"/>
      <c r="F29" s="116"/>
      <c r="G29" s="116"/>
      <c r="H29" s="116"/>
      <c r="L29" s="103"/>
    </row>
    <row r="30">
      <c r="A30" s="10"/>
      <c r="B30" s="105"/>
      <c r="C30" s="116"/>
      <c r="D30" s="116"/>
      <c r="E30" s="116"/>
      <c r="F30" s="116"/>
      <c r="G30" s="116"/>
      <c r="H30" s="116"/>
      <c r="L30" s="103"/>
    </row>
    <row r="31">
      <c r="A31" s="10"/>
      <c r="B31" s="105"/>
      <c r="C31" s="116"/>
      <c r="D31" s="116"/>
      <c r="E31" s="116"/>
      <c r="F31" s="116"/>
      <c r="G31" s="116"/>
      <c r="H31" s="116"/>
    </row>
    <row r="32">
      <c r="A32" s="10"/>
      <c r="B32" s="105"/>
      <c r="C32" s="116"/>
      <c r="D32" s="116"/>
      <c r="E32" s="116"/>
      <c r="F32" s="116"/>
      <c r="G32" s="116"/>
      <c r="H32" s="116"/>
      <c r="L32" s="103"/>
    </row>
    <row r="33">
      <c r="A33" s="10"/>
      <c r="B33" s="105"/>
      <c r="C33" s="116"/>
      <c r="D33" s="116"/>
      <c r="E33" s="116"/>
      <c r="F33" s="116"/>
      <c r="G33" s="116"/>
      <c r="H33" s="116"/>
    </row>
    <row r="34">
      <c r="A34" s="10"/>
      <c r="B34" s="105"/>
      <c r="C34" s="116"/>
      <c r="D34" s="116"/>
      <c r="E34" s="116"/>
      <c r="F34" s="116"/>
      <c r="G34" s="116"/>
      <c r="H34" s="116"/>
    </row>
    <row r="35">
      <c r="A35" s="10"/>
      <c r="B35" s="105"/>
      <c r="C35" s="116"/>
      <c r="D35" s="116"/>
      <c r="E35" s="116"/>
      <c r="F35" s="116"/>
      <c r="G35" s="116"/>
      <c r="H35" s="116"/>
      <c r="L35" s="103"/>
    </row>
    <row r="36">
      <c r="A36" s="10"/>
      <c r="B36" s="105"/>
      <c r="C36" s="116"/>
      <c r="D36" s="116"/>
      <c r="E36" s="116"/>
      <c r="F36" s="116"/>
      <c r="G36" s="116"/>
      <c r="H36" s="116"/>
      <c r="L36" s="103"/>
    </row>
    <row r="37">
      <c r="A37" s="10"/>
      <c r="B37" s="105"/>
      <c r="C37" s="116"/>
      <c r="D37" s="116"/>
      <c r="E37" s="116"/>
      <c r="F37" s="116"/>
      <c r="G37" s="116"/>
      <c r="H37" s="116"/>
      <c r="L37" s="103"/>
    </row>
    <row r="38">
      <c r="A38" s="10"/>
      <c r="B38" s="105"/>
      <c r="C38" s="116"/>
      <c r="D38" s="116"/>
      <c r="E38" s="116"/>
      <c r="F38" s="116"/>
      <c r="G38" s="116"/>
      <c r="H38" s="116"/>
    </row>
    <row r="39">
      <c r="A39" s="10"/>
      <c r="B39" s="105"/>
      <c r="C39" s="116"/>
      <c r="D39" s="116"/>
      <c r="E39" s="116"/>
      <c r="F39" s="116"/>
      <c r="G39" s="116"/>
      <c r="H39" s="116"/>
      <c r="L39" s="103"/>
    </row>
    <row r="40">
      <c r="A40" s="10"/>
      <c r="B40" s="105"/>
      <c r="C40" s="116"/>
      <c r="D40" s="116"/>
      <c r="E40" s="116"/>
      <c r="F40" s="116"/>
      <c r="G40" s="116"/>
      <c r="H40" s="116"/>
      <c r="L40" s="103"/>
    </row>
    <row r="41">
      <c r="A41" s="10"/>
      <c r="B41" s="105"/>
      <c r="C41" s="116"/>
      <c r="D41" s="116"/>
      <c r="E41" s="116"/>
      <c r="F41" s="116"/>
      <c r="G41" s="116"/>
      <c r="H41" s="116"/>
      <c r="L41" s="103"/>
    </row>
    <row r="42">
      <c r="A42" s="10"/>
      <c r="B42" s="105"/>
      <c r="C42" s="116"/>
      <c r="D42" s="116"/>
      <c r="E42" s="116"/>
      <c r="F42" s="116"/>
      <c r="G42" s="116"/>
      <c r="H42" s="116"/>
    </row>
    <row r="43">
      <c r="A43" s="10"/>
      <c r="B43" s="105"/>
      <c r="C43" s="116"/>
      <c r="D43" s="116"/>
      <c r="E43" s="116"/>
      <c r="F43" s="116"/>
      <c r="G43" s="116"/>
      <c r="H43" s="116"/>
      <c r="L43" s="103"/>
    </row>
    <row r="44">
      <c r="A44" s="10"/>
      <c r="B44" s="105"/>
      <c r="C44" s="116"/>
      <c r="D44" s="116"/>
      <c r="E44" s="116"/>
      <c r="F44" s="116"/>
      <c r="G44" s="116"/>
      <c r="H44" s="116"/>
      <c r="L44" s="103"/>
    </row>
    <row r="45">
      <c r="A45" s="10"/>
      <c r="B45" s="105"/>
      <c r="C45" s="116"/>
      <c r="D45" s="116"/>
      <c r="E45" s="116"/>
      <c r="F45" s="116"/>
      <c r="G45" s="116"/>
      <c r="H45" s="116"/>
      <c r="L45" s="103"/>
    </row>
    <row r="46">
      <c r="A46" s="10"/>
      <c r="B46" s="105"/>
      <c r="C46" s="116"/>
      <c r="D46" s="116"/>
      <c r="E46" s="116"/>
      <c r="F46" s="116"/>
      <c r="G46" s="116"/>
      <c r="H46" s="116"/>
    </row>
    <row r="47">
      <c r="A47" s="10"/>
      <c r="B47" s="105"/>
      <c r="C47" s="116"/>
      <c r="D47" s="116"/>
      <c r="E47" s="116"/>
      <c r="F47" s="116"/>
      <c r="G47" s="116"/>
      <c r="H47" s="116"/>
    </row>
    <row r="48">
      <c r="A48" s="10"/>
      <c r="B48" s="105"/>
      <c r="C48" s="116"/>
      <c r="D48" s="116"/>
      <c r="E48" s="116"/>
      <c r="F48" s="116"/>
      <c r="G48" s="116"/>
      <c r="H48" s="116"/>
    </row>
    <row r="49">
      <c r="A49" s="10"/>
      <c r="B49" s="105"/>
      <c r="C49" s="116"/>
      <c r="D49" s="116"/>
      <c r="E49" s="116"/>
      <c r="F49" s="116"/>
      <c r="G49" s="116"/>
      <c r="H49" s="116"/>
    </row>
    <row r="50">
      <c r="A50" s="10"/>
      <c r="B50" s="105"/>
      <c r="C50" s="116"/>
      <c r="D50" s="116"/>
      <c r="E50" s="116"/>
      <c r="F50" s="116"/>
      <c r="G50" s="116"/>
      <c r="H50" s="116"/>
    </row>
    <row r="51">
      <c r="A51" s="10"/>
      <c r="B51" s="105"/>
      <c r="C51" s="116"/>
      <c r="D51" s="116"/>
      <c r="E51" s="116"/>
      <c r="F51" s="116"/>
      <c r="G51" s="116"/>
      <c r="H51" s="116"/>
    </row>
    <row r="52">
      <c r="A52" s="10"/>
      <c r="B52" s="105"/>
      <c r="C52" s="116"/>
      <c r="D52" s="116"/>
      <c r="E52" s="116"/>
      <c r="F52" s="116"/>
      <c r="G52" s="116"/>
      <c r="H52" s="116"/>
      <c r="J52" s="43"/>
      <c r="L52" s="137"/>
    </row>
    <row r="53">
      <c r="A53" s="10"/>
      <c r="B53" s="105"/>
      <c r="C53" s="116"/>
      <c r="D53" s="116"/>
      <c r="E53" s="116"/>
      <c r="F53" s="116"/>
      <c r="G53" s="116"/>
      <c r="H53" s="116"/>
    </row>
    <row r="54">
      <c r="A54" s="10"/>
      <c r="B54" s="105"/>
      <c r="C54" s="116"/>
      <c r="D54" s="116"/>
      <c r="E54" s="116"/>
      <c r="F54" s="116"/>
      <c r="G54" s="116"/>
      <c r="H54" s="116"/>
    </row>
    <row r="55">
      <c r="A55" s="10"/>
      <c r="B55" s="105"/>
      <c r="C55" s="116"/>
      <c r="D55" s="116"/>
      <c r="E55" s="116"/>
      <c r="F55" s="116"/>
      <c r="G55" s="116"/>
      <c r="H55" s="116"/>
      <c r="J55" s="43"/>
      <c r="L55" s="137"/>
    </row>
    <row r="56">
      <c r="A56" s="10"/>
      <c r="B56" s="105"/>
      <c r="C56" s="116"/>
      <c r="D56" s="116"/>
      <c r="E56" s="116"/>
      <c r="F56" s="116"/>
      <c r="G56" s="116"/>
      <c r="H56" s="116"/>
      <c r="J56" s="43"/>
      <c r="L56" s="137"/>
    </row>
    <row r="57">
      <c r="A57" s="10"/>
      <c r="B57" s="105"/>
      <c r="C57" s="116"/>
      <c r="D57" s="116"/>
      <c r="E57" s="116"/>
      <c r="F57" s="116"/>
      <c r="G57" s="116"/>
      <c r="H57" s="116"/>
    </row>
    <row r="58">
      <c r="A58" s="10"/>
      <c r="B58" s="105"/>
      <c r="C58" s="116"/>
      <c r="D58" s="116"/>
      <c r="E58" s="116"/>
      <c r="F58" s="116"/>
      <c r="G58" s="116"/>
      <c r="H58" s="116"/>
    </row>
    <row r="59">
      <c r="A59" s="10"/>
      <c r="B59" s="105"/>
      <c r="C59" s="116"/>
      <c r="D59" s="116"/>
      <c r="E59" s="116"/>
      <c r="F59" s="116"/>
      <c r="G59" s="116"/>
      <c r="H59" s="116"/>
      <c r="J59" s="43"/>
      <c r="L59" s="137"/>
    </row>
    <row r="60">
      <c r="A60" s="10"/>
      <c r="B60" s="105"/>
      <c r="C60" s="116"/>
      <c r="D60" s="116"/>
      <c r="E60" s="116"/>
      <c r="F60" s="116"/>
      <c r="G60" s="116"/>
      <c r="H60" s="116"/>
      <c r="J60" s="43"/>
      <c r="L60" s="137"/>
    </row>
    <row r="61">
      <c r="A61" s="10"/>
      <c r="B61" s="105"/>
      <c r="C61" s="116"/>
      <c r="D61" s="116"/>
      <c r="E61" s="116"/>
      <c r="F61" s="116"/>
      <c r="G61" s="116"/>
      <c r="H61" s="116"/>
      <c r="J61" s="43"/>
      <c r="L61" s="137"/>
    </row>
    <row r="62">
      <c r="A62" s="10"/>
      <c r="B62" s="105"/>
      <c r="C62" s="116"/>
      <c r="D62" s="116"/>
      <c r="E62" s="116"/>
      <c r="F62" s="116"/>
      <c r="G62" s="116"/>
      <c r="H62" s="116"/>
    </row>
    <row r="63">
      <c r="A63" s="10"/>
      <c r="B63" s="105"/>
      <c r="C63" s="116"/>
      <c r="D63" s="116"/>
      <c r="E63" s="116"/>
      <c r="F63" s="116"/>
      <c r="G63" s="116"/>
      <c r="H63" s="116"/>
      <c r="J63" s="43"/>
      <c r="L63" s="137"/>
    </row>
    <row r="64">
      <c r="A64" s="10"/>
      <c r="B64" s="105"/>
      <c r="C64" s="116"/>
      <c r="D64" s="116"/>
      <c r="E64" s="116"/>
      <c r="F64" s="116"/>
      <c r="G64" s="116"/>
      <c r="H64" s="116"/>
      <c r="L64" s="137"/>
    </row>
    <row r="65">
      <c r="A65" s="10"/>
      <c r="B65" s="105"/>
      <c r="C65" s="116"/>
      <c r="D65" s="116"/>
      <c r="E65" s="116"/>
      <c r="F65" s="116"/>
      <c r="G65" s="116"/>
      <c r="H65" s="116"/>
      <c r="L65" s="137"/>
    </row>
    <row r="66">
      <c r="A66" s="10"/>
      <c r="B66" s="105"/>
      <c r="C66" s="116"/>
      <c r="D66" s="116"/>
      <c r="E66" s="116"/>
      <c r="F66" s="116"/>
      <c r="G66" s="116"/>
      <c r="H66" s="116"/>
    </row>
    <row r="67">
      <c r="A67" s="10"/>
      <c r="B67" s="105"/>
      <c r="C67" s="116"/>
      <c r="D67" s="116"/>
      <c r="E67" s="116"/>
      <c r="F67" s="116"/>
      <c r="G67" s="116"/>
      <c r="H67" s="116"/>
    </row>
    <row r="68">
      <c r="A68" s="10"/>
      <c r="B68" s="105"/>
      <c r="C68" s="116"/>
      <c r="D68" s="116"/>
      <c r="E68" s="116"/>
      <c r="F68" s="116"/>
      <c r="G68" s="116"/>
      <c r="H68" s="116"/>
      <c r="L68" s="137"/>
    </row>
    <row r="69">
      <c r="A69" s="10"/>
      <c r="B69" s="105"/>
      <c r="C69" s="116"/>
      <c r="D69" s="116"/>
      <c r="E69" s="116"/>
      <c r="F69" s="116"/>
      <c r="G69" s="116"/>
      <c r="H69" s="116"/>
      <c r="L69" s="137"/>
    </row>
    <row r="70">
      <c r="A70" s="10"/>
      <c r="B70" s="105"/>
      <c r="C70" s="116"/>
      <c r="D70" s="116"/>
      <c r="E70" s="116"/>
      <c r="F70" s="116"/>
      <c r="G70" s="116"/>
      <c r="H70" s="116"/>
    </row>
    <row r="71">
      <c r="A71" s="10"/>
      <c r="B71" s="105"/>
      <c r="C71" s="116"/>
      <c r="D71" s="116"/>
      <c r="E71" s="116"/>
      <c r="F71" s="116"/>
      <c r="G71" s="116"/>
      <c r="H71" s="116"/>
      <c r="L71" s="137"/>
    </row>
    <row r="72">
      <c r="A72" s="10"/>
      <c r="B72" s="105"/>
      <c r="C72" s="116"/>
      <c r="D72" s="116"/>
      <c r="E72" s="116"/>
      <c r="F72" s="116"/>
      <c r="G72" s="116"/>
      <c r="H72" s="116"/>
      <c r="L72" s="137"/>
    </row>
    <row r="73">
      <c r="A73" s="10"/>
      <c r="B73" s="105"/>
      <c r="C73" s="116"/>
      <c r="D73" s="116"/>
      <c r="E73" s="116"/>
      <c r="F73" s="116"/>
      <c r="G73" s="116"/>
      <c r="H73" s="116"/>
    </row>
    <row r="74">
      <c r="A74" s="10"/>
      <c r="B74" s="105"/>
      <c r="C74" s="116"/>
      <c r="D74" s="116"/>
      <c r="E74" s="116"/>
      <c r="F74" s="116"/>
      <c r="G74" s="116"/>
      <c r="H74" s="116"/>
      <c r="L74" s="137"/>
    </row>
    <row r="75">
      <c r="A75" s="10"/>
      <c r="B75" s="105"/>
      <c r="C75" s="116"/>
      <c r="D75" s="116"/>
      <c r="E75" s="116"/>
      <c r="F75" s="116"/>
      <c r="G75" s="116"/>
      <c r="H75" s="116"/>
      <c r="L75" s="137"/>
    </row>
    <row r="76">
      <c r="A76" s="10"/>
      <c r="B76" s="105"/>
      <c r="C76" s="116"/>
      <c r="D76" s="116"/>
      <c r="E76" s="116"/>
      <c r="F76" s="116"/>
      <c r="G76" s="116"/>
      <c r="H76" s="116"/>
    </row>
    <row r="77">
      <c r="A77" s="10"/>
      <c r="B77" s="105"/>
      <c r="C77" s="116"/>
      <c r="D77" s="116"/>
      <c r="E77" s="116"/>
      <c r="F77" s="116"/>
      <c r="G77" s="116"/>
      <c r="H77" s="116"/>
    </row>
    <row r="78">
      <c r="A78" s="10"/>
      <c r="B78" s="105"/>
      <c r="C78" s="116"/>
      <c r="D78" s="116"/>
      <c r="E78" s="116"/>
      <c r="F78" s="116"/>
      <c r="G78" s="116"/>
      <c r="H78" s="116"/>
      <c r="L78" s="137"/>
    </row>
    <row r="79">
      <c r="A79" s="10"/>
      <c r="B79" s="105"/>
      <c r="C79" s="116"/>
      <c r="D79" s="116"/>
      <c r="E79" s="116"/>
      <c r="F79" s="116"/>
      <c r="G79" s="116"/>
      <c r="H79" s="116"/>
      <c r="L79" s="137"/>
    </row>
    <row r="80">
      <c r="A80" s="10"/>
      <c r="B80" s="105"/>
      <c r="C80" s="116"/>
      <c r="D80" s="116"/>
      <c r="E80" s="116"/>
      <c r="F80" s="116"/>
      <c r="G80" s="116"/>
      <c r="H80" s="116"/>
      <c r="L80" s="137"/>
    </row>
    <row r="81">
      <c r="A81" s="10"/>
      <c r="B81" s="105"/>
      <c r="C81" s="116"/>
      <c r="D81" s="116"/>
      <c r="E81" s="116"/>
      <c r="F81" s="116"/>
      <c r="G81" s="116"/>
      <c r="H81" s="116"/>
      <c r="L81" s="137"/>
    </row>
    <row r="82">
      <c r="A82" s="10"/>
      <c r="B82" s="105"/>
      <c r="C82" s="116"/>
      <c r="D82" s="116"/>
      <c r="E82" s="116"/>
      <c r="F82" s="116"/>
      <c r="G82" s="116"/>
      <c r="H82" s="116"/>
      <c r="L82" s="137"/>
    </row>
    <row r="83">
      <c r="A83" s="10"/>
      <c r="B83" s="105"/>
      <c r="C83" s="116"/>
      <c r="D83" s="116"/>
      <c r="E83" s="116"/>
      <c r="F83" s="116"/>
      <c r="G83" s="116"/>
      <c r="H83" s="116"/>
    </row>
    <row r="84">
      <c r="A84" s="10"/>
      <c r="B84" s="105"/>
      <c r="C84" s="116"/>
      <c r="D84" s="116"/>
      <c r="E84" s="116"/>
      <c r="F84" s="116"/>
      <c r="G84" s="116"/>
      <c r="H84" s="116"/>
      <c r="L84" s="137"/>
    </row>
    <row r="85">
      <c r="A85" s="10"/>
      <c r="B85" s="105"/>
      <c r="C85" s="116"/>
      <c r="D85" s="116"/>
      <c r="E85" s="116"/>
      <c r="F85" s="116"/>
      <c r="G85" s="116"/>
      <c r="H85" s="116"/>
      <c r="L85" s="137"/>
    </row>
    <row r="86">
      <c r="A86" s="10"/>
      <c r="B86" s="105"/>
      <c r="C86" s="116"/>
      <c r="D86" s="116"/>
      <c r="E86" s="116"/>
      <c r="F86" s="116"/>
      <c r="G86" s="116"/>
      <c r="H86" s="116"/>
    </row>
    <row r="87">
      <c r="A87" s="10"/>
      <c r="B87" s="105"/>
      <c r="C87" s="116"/>
      <c r="D87" s="116"/>
      <c r="E87" s="116"/>
      <c r="F87" s="116"/>
      <c r="G87" s="116"/>
      <c r="H87" s="116"/>
      <c r="L87" s="137"/>
    </row>
    <row r="88">
      <c r="A88" s="10"/>
      <c r="B88" s="105"/>
      <c r="C88" s="116"/>
      <c r="D88" s="116"/>
      <c r="E88" s="116"/>
      <c r="F88" s="116"/>
      <c r="G88" s="116"/>
      <c r="H88" s="116"/>
      <c r="L88" s="137"/>
    </row>
    <row r="89">
      <c r="A89" s="10"/>
      <c r="B89" s="105"/>
      <c r="C89" s="116"/>
      <c r="D89" s="116"/>
      <c r="E89" s="116"/>
      <c r="F89" s="116"/>
      <c r="G89" s="116"/>
      <c r="H89" s="116"/>
      <c r="L89" s="137"/>
    </row>
    <row r="90">
      <c r="A90" s="10"/>
      <c r="B90" s="105"/>
      <c r="C90" s="116"/>
      <c r="D90" s="116"/>
      <c r="E90" s="116"/>
      <c r="F90" s="116"/>
      <c r="G90" s="116"/>
      <c r="H90" s="116"/>
      <c r="L90" s="137"/>
    </row>
    <row r="91">
      <c r="A91" s="10"/>
      <c r="B91" s="105"/>
      <c r="C91" s="116"/>
      <c r="D91" s="116"/>
      <c r="E91" s="116"/>
      <c r="F91" s="116"/>
      <c r="G91" s="116"/>
      <c r="H91" s="116"/>
      <c r="L91" s="137"/>
    </row>
    <row r="92">
      <c r="A92" s="10"/>
      <c r="B92" s="105"/>
      <c r="C92" s="116"/>
      <c r="D92" s="116"/>
      <c r="E92" s="116"/>
      <c r="F92" s="116"/>
      <c r="G92" s="116"/>
      <c r="H92" s="116"/>
      <c r="L92" s="137"/>
    </row>
    <row r="93">
      <c r="A93" s="10"/>
      <c r="B93" s="105"/>
      <c r="C93" s="116"/>
      <c r="D93" s="116"/>
      <c r="E93" s="116"/>
      <c r="F93" s="116"/>
      <c r="G93" s="116"/>
      <c r="H93" s="116"/>
      <c r="L93" s="137"/>
    </row>
    <row r="94">
      <c r="A94" s="10"/>
      <c r="B94" s="105"/>
      <c r="C94" s="116"/>
      <c r="D94" s="116"/>
      <c r="E94" s="116"/>
      <c r="F94" s="116"/>
      <c r="G94" s="116"/>
      <c r="H94" s="116"/>
      <c r="L94" s="137"/>
    </row>
    <row r="95">
      <c r="A95" s="10"/>
      <c r="B95" s="105"/>
      <c r="C95" s="116"/>
      <c r="D95" s="116"/>
      <c r="E95" s="116"/>
      <c r="F95" s="116"/>
      <c r="G95" s="116"/>
      <c r="H95" s="116"/>
      <c r="L95" s="137"/>
    </row>
    <row r="96">
      <c r="A96" s="10"/>
      <c r="B96" s="105"/>
      <c r="C96" s="116"/>
      <c r="D96" s="116"/>
      <c r="E96" s="116"/>
      <c r="F96" s="116"/>
      <c r="G96" s="116"/>
      <c r="H96" s="116"/>
      <c r="L96" s="137"/>
    </row>
    <row r="97">
      <c r="A97" s="10"/>
      <c r="B97" s="105"/>
      <c r="C97" s="116"/>
      <c r="D97" s="116"/>
      <c r="E97" s="116"/>
      <c r="F97" s="116"/>
      <c r="G97" s="116"/>
      <c r="H97" s="116"/>
      <c r="L97" s="137"/>
    </row>
    <row r="98">
      <c r="A98" s="10"/>
      <c r="B98" s="105"/>
      <c r="C98" s="116"/>
      <c r="D98" s="116"/>
      <c r="E98" s="116"/>
      <c r="F98" s="116"/>
      <c r="G98" s="116"/>
      <c r="H98" s="116"/>
      <c r="L98" s="137"/>
    </row>
    <row r="99">
      <c r="A99" s="10"/>
      <c r="B99" s="105"/>
      <c r="C99" s="116"/>
      <c r="D99" s="116"/>
      <c r="E99" s="116"/>
      <c r="F99" s="116"/>
      <c r="G99" s="116"/>
      <c r="H99" s="116"/>
      <c r="L99" s="137"/>
    </row>
    <row r="100">
      <c r="A100" s="10"/>
      <c r="B100" s="105"/>
      <c r="C100" s="116"/>
      <c r="D100" s="116"/>
      <c r="E100" s="116"/>
      <c r="F100" s="116"/>
      <c r="G100" s="116"/>
      <c r="H100" s="116"/>
      <c r="L100" s="137"/>
    </row>
    <row r="101">
      <c r="A101" s="10"/>
      <c r="B101" s="105"/>
      <c r="C101" s="116"/>
      <c r="D101" s="116"/>
      <c r="E101" s="116"/>
      <c r="F101" s="116"/>
      <c r="G101" s="116"/>
      <c r="H101" s="116"/>
      <c r="L101" s="137"/>
    </row>
    <row r="102">
      <c r="A102" s="10"/>
      <c r="B102" s="105"/>
      <c r="C102" s="116"/>
      <c r="D102" s="116"/>
      <c r="E102" s="116"/>
      <c r="F102" s="116"/>
      <c r="G102" s="116"/>
      <c r="H102" s="116"/>
      <c r="L102" s="137"/>
    </row>
    <row r="103">
      <c r="A103" s="10"/>
      <c r="B103" s="105"/>
      <c r="C103" s="116"/>
      <c r="D103" s="116"/>
      <c r="E103" s="116"/>
      <c r="F103" s="116"/>
      <c r="G103" s="116"/>
      <c r="H103" s="116"/>
      <c r="J103" s="43"/>
      <c r="L103" s="137"/>
    </row>
    <row r="104">
      <c r="A104" s="10"/>
      <c r="B104" s="105"/>
      <c r="C104" s="116"/>
      <c r="D104" s="116"/>
      <c r="E104" s="116"/>
      <c r="F104" s="116"/>
      <c r="G104" s="116"/>
      <c r="H104" s="116"/>
      <c r="J104" s="43"/>
      <c r="L104" s="137"/>
    </row>
    <row r="105">
      <c r="A105" s="10"/>
      <c r="B105" s="105"/>
      <c r="C105" s="116"/>
      <c r="D105" s="116"/>
      <c r="E105" s="116"/>
      <c r="F105" s="116"/>
      <c r="G105" s="116"/>
      <c r="H105" s="116"/>
      <c r="L105" s="137"/>
    </row>
    <row r="106">
      <c r="A106" s="10"/>
      <c r="B106" s="105"/>
      <c r="C106" s="116"/>
      <c r="D106" s="116"/>
      <c r="E106" s="116"/>
      <c r="F106" s="116"/>
      <c r="G106" s="116"/>
      <c r="H106" s="116"/>
      <c r="L106" s="137"/>
    </row>
    <row r="107">
      <c r="A107" s="10"/>
      <c r="B107" s="105"/>
      <c r="C107" s="116"/>
      <c r="D107" s="116"/>
      <c r="E107" s="116"/>
      <c r="F107" s="116"/>
      <c r="G107" s="116"/>
      <c r="H107" s="116"/>
      <c r="L107" s="137"/>
    </row>
    <row r="108">
      <c r="A108" s="10"/>
      <c r="B108" s="105"/>
      <c r="C108" s="116"/>
      <c r="D108" s="116"/>
      <c r="E108" s="116"/>
      <c r="F108" s="116"/>
      <c r="G108" s="116"/>
      <c r="H108" s="116"/>
    </row>
    <row r="109">
      <c r="A109" s="10"/>
      <c r="B109" s="105"/>
      <c r="C109" s="116"/>
      <c r="D109" s="116"/>
      <c r="E109" s="116"/>
      <c r="F109" s="116"/>
      <c r="G109" s="116"/>
      <c r="H109" s="116"/>
    </row>
    <row r="110">
      <c r="A110" s="10"/>
      <c r="B110" s="105"/>
      <c r="C110" s="116"/>
      <c r="D110" s="116"/>
      <c r="E110" s="116"/>
      <c r="F110" s="116"/>
      <c r="G110" s="116"/>
      <c r="H110" s="116"/>
    </row>
    <row r="111">
      <c r="A111" s="10"/>
      <c r="B111" s="105"/>
      <c r="C111" s="116"/>
      <c r="D111" s="116"/>
      <c r="E111" s="116"/>
      <c r="F111" s="116"/>
      <c r="G111" s="116"/>
      <c r="H111" s="116"/>
      <c r="L111" s="137"/>
    </row>
    <row r="112">
      <c r="A112" s="10"/>
      <c r="B112" s="105"/>
      <c r="C112" s="116"/>
      <c r="D112" s="116"/>
      <c r="E112" s="116"/>
      <c r="F112" s="116"/>
      <c r="G112" s="116"/>
      <c r="H112" s="116"/>
    </row>
    <row r="113">
      <c r="A113" s="10"/>
      <c r="B113" s="105"/>
      <c r="C113" s="116"/>
      <c r="D113" s="116"/>
      <c r="E113" s="116"/>
      <c r="F113" s="116"/>
      <c r="G113" s="116"/>
      <c r="H113" s="116"/>
    </row>
    <row r="114">
      <c r="A114" s="10"/>
      <c r="B114" s="105"/>
      <c r="C114" s="116"/>
      <c r="D114" s="116"/>
      <c r="E114" s="116"/>
      <c r="F114" s="116"/>
      <c r="G114" s="116"/>
      <c r="H114" s="116"/>
    </row>
    <row r="115">
      <c r="A115" s="10"/>
      <c r="B115" s="105"/>
      <c r="C115" s="116"/>
      <c r="D115" s="116"/>
      <c r="E115" s="116"/>
      <c r="F115" s="116"/>
      <c r="G115" s="116"/>
      <c r="H115" s="116"/>
      <c r="J115" s="43"/>
      <c r="L115" s="137"/>
    </row>
    <row r="116">
      <c r="A116" s="10"/>
      <c r="B116" s="105"/>
      <c r="C116" s="116"/>
      <c r="D116" s="116"/>
      <c r="E116" s="116"/>
      <c r="F116" s="116"/>
      <c r="G116" s="116"/>
      <c r="H116" s="116"/>
      <c r="J116" s="43"/>
      <c r="L116" s="137"/>
    </row>
    <row r="117">
      <c r="A117" s="10"/>
      <c r="B117" s="105"/>
      <c r="C117" s="116"/>
      <c r="D117" s="116"/>
      <c r="E117" s="116"/>
      <c r="F117" s="116"/>
      <c r="G117" s="116"/>
      <c r="H117" s="116"/>
    </row>
    <row r="118">
      <c r="A118" s="10"/>
      <c r="B118" s="105"/>
      <c r="C118" s="116"/>
      <c r="D118" s="116"/>
      <c r="E118" s="116"/>
      <c r="F118" s="116"/>
      <c r="G118" s="116"/>
      <c r="H118" s="116"/>
    </row>
    <row r="119">
      <c r="A119" s="10"/>
      <c r="B119" s="105"/>
      <c r="C119" s="116"/>
      <c r="D119" s="116"/>
      <c r="E119" s="116"/>
      <c r="F119" s="116"/>
      <c r="G119" s="116"/>
      <c r="H119" s="116"/>
      <c r="J119" s="43"/>
      <c r="L119" s="137"/>
    </row>
    <row r="120">
      <c r="A120" s="10"/>
      <c r="B120" s="105"/>
      <c r="C120" s="116"/>
      <c r="D120" s="116"/>
      <c r="E120" s="116"/>
      <c r="F120" s="116"/>
      <c r="G120" s="116"/>
      <c r="H120" s="116"/>
      <c r="J120" s="43"/>
      <c r="L120" s="137"/>
    </row>
    <row r="121">
      <c r="A121" s="10"/>
      <c r="B121" s="105"/>
      <c r="C121" s="116"/>
      <c r="D121" s="116"/>
      <c r="E121" s="116"/>
      <c r="F121" s="116"/>
      <c r="G121" s="116"/>
      <c r="H121" s="116"/>
      <c r="J121" s="43"/>
      <c r="L121" s="137"/>
    </row>
    <row r="122">
      <c r="A122" s="10"/>
      <c r="B122" s="105"/>
      <c r="C122" s="116"/>
      <c r="D122" s="116"/>
      <c r="E122" s="116"/>
      <c r="F122" s="116"/>
      <c r="G122" s="116"/>
      <c r="H122" s="116"/>
    </row>
    <row r="123">
      <c r="A123" s="10"/>
      <c r="B123" s="105"/>
      <c r="C123" s="116"/>
      <c r="D123" s="116"/>
      <c r="E123" s="116"/>
      <c r="F123" s="116"/>
      <c r="G123" s="116"/>
      <c r="H123" s="116"/>
      <c r="J123" s="43"/>
    </row>
    <row r="124">
      <c r="A124" s="10"/>
      <c r="B124" s="105"/>
      <c r="C124" s="116"/>
      <c r="D124" s="116"/>
      <c r="E124" s="116"/>
      <c r="F124" s="116"/>
      <c r="G124" s="116"/>
      <c r="H124" s="116"/>
      <c r="J124" s="43"/>
      <c r="L124" s="137"/>
    </row>
    <row r="125">
      <c r="A125" s="10"/>
      <c r="B125" s="105"/>
      <c r="C125" s="116"/>
      <c r="D125" s="116"/>
      <c r="E125" s="116"/>
      <c r="F125" s="116"/>
      <c r="G125" s="116"/>
      <c r="H125" s="116"/>
      <c r="J125" s="43"/>
      <c r="L125" s="137"/>
    </row>
    <row r="126">
      <c r="A126" s="10"/>
      <c r="B126" s="105"/>
      <c r="C126" s="116"/>
      <c r="D126" s="116"/>
      <c r="E126" s="116"/>
      <c r="F126" s="116"/>
      <c r="G126" s="116"/>
      <c r="H126" s="116"/>
      <c r="J126" s="43"/>
      <c r="L126" s="137"/>
    </row>
    <row r="127">
      <c r="A127" s="10"/>
      <c r="B127" s="105"/>
      <c r="C127" s="116"/>
      <c r="D127" s="116"/>
      <c r="E127" s="116"/>
      <c r="F127" s="116"/>
      <c r="G127" s="116"/>
      <c r="H127" s="116"/>
      <c r="J127" s="43"/>
      <c r="L127" s="137"/>
    </row>
    <row r="128">
      <c r="A128" s="10"/>
      <c r="B128" s="105"/>
      <c r="C128" s="116"/>
      <c r="D128" s="116"/>
      <c r="E128" s="116"/>
      <c r="F128" s="116"/>
      <c r="G128" s="116"/>
      <c r="H128" s="116"/>
      <c r="J128" s="43"/>
      <c r="L128" s="137"/>
    </row>
    <row r="129">
      <c r="A129" s="10"/>
      <c r="B129" s="105"/>
      <c r="C129" s="116"/>
      <c r="D129" s="116"/>
      <c r="E129" s="116"/>
      <c r="F129" s="116"/>
      <c r="G129" s="116"/>
      <c r="H129" s="116"/>
      <c r="J129" s="43"/>
      <c r="L129" s="137"/>
    </row>
    <row r="130">
      <c r="A130" s="10"/>
      <c r="B130" s="105"/>
      <c r="C130" s="116"/>
      <c r="D130" s="116"/>
      <c r="E130" s="116"/>
      <c r="F130" s="116"/>
      <c r="G130" s="116"/>
      <c r="H130" s="116"/>
      <c r="J130" s="43"/>
      <c r="L130" s="137"/>
    </row>
    <row r="131">
      <c r="A131" s="10"/>
      <c r="B131" s="105"/>
      <c r="C131" s="116"/>
      <c r="D131" s="116"/>
      <c r="E131" s="116"/>
      <c r="F131" s="116"/>
      <c r="G131" s="116"/>
      <c r="H131" s="116"/>
    </row>
    <row r="132">
      <c r="A132" s="10"/>
      <c r="B132" s="105"/>
      <c r="C132" s="116"/>
      <c r="D132" s="116"/>
      <c r="E132" s="116"/>
      <c r="F132" s="116"/>
      <c r="G132" s="116"/>
      <c r="H132" s="116"/>
      <c r="J132" s="43"/>
      <c r="L132" s="137"/>
    </row>
    <row r="133">
      <c r="A133" s="10"/>
      <c r="B133" s="105"/>
      <c r="C133" s="116"/>
      <c r="D133" s="116"/>
      <c r="E133" s="116"/>
      <c r="F133" s="116"/>
      <c r="G133" s="116"/>
      <c r="H133" s="116"/>
      <c r="J133" s="43"/>
      <c r="L133" s="137"/>
    </row>
    <row r="134">
      <c r="A134" s="10"/>
      <c r="B134" s="105"/>
      <c r="C134" s="116"/>
      <c r="D134" s="116"/>
      <c r="E134" s="116"/>
      <c r="F134" s="116"/>
      <c r="G134" s="116"/>
      <c r="H134" s="116"/>
    </row>
    <row r="135">
      <c r="A135" s="10"/>
      <c r="B135" s="105"/>
      <c r="C135" s="116"/>
      <c r="D135" s="116"/>
      <c r="E135" s="116"/>
      <c r="F135" s="116"/>
      <c r="G135" s="116"/>
      <c r="H135" s="116"/>
      <c r="J135" s="43"/>
      <c r="L135" s="137"/>
    </row>
    <row r="136">
      <c r="A136" s="10"/>
      <c r="B136" s="105"/>
      <c r="C136" s="116"/>
      <c r="D136" s="116"/>
      <c r="E136" s="116"/>
      <c r="F136" s="116"/>
      <c r="G136" s="116"/>
      <c r="H136" s="116"/>
      <c r="J136" s="43"/>
      <c r="L136" s="137"/>
    </row>
    <row r="137">
      <c r="A137" s="10"/>
      <c r="B137" s="105"/>
      <c r="C137" s="116"/>
      <c r="D137" s="116"/>
      <c r="E137" s="116"/>
      <c r="F137" s="116"/>
      <c r="G137" s="116"/>
      <c r="H137" s="116"/>
    </row>
    <row r="138">
      <c r="A138" s="10"/>
      <c r="B138" s="105"/>
      <c r="C138" s="116"/>
      <c r="D138" s="116"/>
      <c r="E138" s="116"/>
      <c r="F138" s="116"/>
      <c r="G138" s="116"/>
      <c r="H138" s="116"/>
    </row>
    <row r="139">
      <c r="A139" s="10"/>
      <c r="B139" s="105"/>
      <c r="C139" s="116"/>
      <c r="D139" s="116"/>
      <c r="E139" s="116"/>
      <c r="F139" s="116"/>
      <c r="G139" s="116"/>
      <c r="H139" s="116"/>
      <c r="L139" s="137"/>
    </row>
    <row r="140">
      <c r="A140" s="10"/>
      <c r="B140" s="105"/>
      <c r="C140" s="116"/>
      <c r="D140" s="116"/>
      <c r="E140" s="116"/>
      <c r="F140" s="116"/>
      <c r="G140" s="116"/>
      <c r="H140" s="116"/>
    </row>
    <row r="141">
      <c r="A141" s="10"/>
      <c r="B141" s="105"/>
      <c r="C141" s="116"/>
      <c r="D141" s="116"/>
      <c r="E141" s="116"/>
      <c r="F141" s="116"/>
      <c r="G141" s="116"/>
      <c r="H141" s="116"/>
    </row>
    <row r="142">
      <c r="A142" s="10"/>
      <c r="B142" s="105"/>
      <c r="C142" s="116"/>
      <c r="D142" s="116"/>
      <c r="E142" s="116"/>
      <c r="F142" s="116"/>
      <c r="G142" s="116"/>
      <c r="H142" s="116"/>
      <c r="J142" s="43"/>
      <c r="L142" s="137"/>
    </row>
    <row r="143">
      <c r="A143" s="10"/>
      <c r="B143" s="105"/>
      <c r="C143" s="116"/>
      <c r="D143" s="116"/>
      <c r="E143" s="116"/>
      <c r="F143" s="116"/>
      <c r="G143" s="116"/>
      <c r="H143" s="116"/>
    </row>
    <row r="144">
      <c r="A144" s="10"/>
      <c r="B144" s="105"/>
      <c r="C144" s="116"/>
      <c r="D144" s="116"/>
      <c r="E144" s="116"/>
      <c r="F144" s="116"/>
      <c r="G144" s="116"/>
      <c r="H144" s="116"/>
      <c r="J144" s="43"/>
      <c r="L144" s="137"/>
    </row>
    <row r="145">
      <c r="A145" s="10"/>
      <c r="B145" s="105"/>
      <c r="C145" s="116"/>
      <c r="D145" s="116"/>
      <c r="E145" s="116"/>
      <c r="F145" s="116"/>
      <c r="G145" s="116"/>
      <c r="H145" s="116"/>
    </row>
    <row r="146">
      <c r="A146" s="10"/>
      <c r="B146" s="105"/>
      <c r="C146" s="116"/>
      <c r="D146" s="116"/>
      <c r="E146" s="116"/>
      <c r="F146" s="116"/>
      <c r="G146" s="116"/>
      <c r="H146" s="116"/>
      <c r="M146" s="161"/>
    </row>
    <row r="147">
      <c r="A147" s="10"/>
      <c r="B147" s="105"/>
      <c r="C147" s="116"/>
      <c r="D147" s="116"/>
      <c r="E147" s="116"/>
      <c r="F147" s="116"/>
      <c r="G147" s="116"/>
      <c r="H147" s="116"/>
    </row>
    <row r="148">
      <c r="J148" s="43"/>
      <c r="L148" s="137"/>
    </row>
    <row r="151">
      <c r="L151" s="137"/>
    </row>
    <row r="156">
      <c r="J156" s="43"/>
      <c r="L156" s="137"/>
    </row>
    <row r="158">
      <c r="J158" s="43"/>
      <c r="L158" s="137"/>
    </row>
    <row r="160">
      <c r="J160" s="43"/>
      <c r="L160" s="137"/>
    </row>
    <row r="161">
      <c r="J161" s="43"/>
      <c r="L161" s="137"/>
    </row>
    <row r="163">
      <c r="J163" s="43"/>
      <c r="L163" s="137"/>
    </row>
    <row r="164">
      <c r="J164" s="43"/>
      <c r="L164" s="137"/>
    </row>
    <row r="170">
      <c r="J170" s="117"/>
      <c r="L170" s="151"/>
    </row>
    <row r="178">
      <c r="J178" s="117"/>
      <c r="L178" s="151"/>
    </row>
    <row r="182">
      <c r="J182" s="117"/>
      <c r="L182" s="151"/>
    </row>
    <row r="184">
      <c r="J184" s="117"/>
    </row>
    <row r="185">
      <c r="J185" s="117"/>
    </row>
    <row r="186">
      <c r="J186" s="97"/>
      <c r="L186" s="150"/>
    </row>
  </sheetData>
  <sortState ref="J16:L17">
    <sortCondition descending="1" ref="L16:L17"/>
  </sortState>
  <mergeCells>
    <mergeCell ref="A2:B2"/>
    <mergeCell ref="A5:B5"/>
    <mergeCell ref="A9:B9"/>
    <mergeCell ref="A1:B1"/>
    <mergeCell ref="A4:B4"/>
  </mergeCells>
  <pageMargins left="0.7" right="0.7" top="0.75" bottom="0.75" header="0.3" footer="0.3"/>
  <pageSetup paperSize="9" orientation="portrait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Q99"/>
  <sheetViews>
    <sheetView showGridLines="0" zoomScaleNormal="100" workbookViewId="0">
      <selection activeCell="J7" sqref="J7:L10"/>
    </sheetView>
  </sheetViews>
  <sheetFormatPr defaultColWidth="9.140625" defaultRowHeight="12.75" outlineLevelCol="1" x14ac:dyDescent="0.25"/>
  <cols>
    <col min="1" max="1" bestFit="1" width="19.7109375" customWidth="1" style="102"/>
    <col min="2" max="2" bestFit="1" width="7" customWidth="1" style="102"/>
    <col min="3" max="3" bestFit="1" width="13.28515625" customWidth="1" style="102"/>
    <col min="4" max="4" width="13.140625" customWidth="1" outlineLevel="1" style="102"/>
    <col min="5" max="5" bestFit="1" width="12.28515625" customWidth="1" outlineLevel="1" style="102"/>
    <col min="6" max="6" width="11.28515625" customWidth="1" outlineLevel="1" style="102"/>
    <col min="7" max="7" width="7.140625" customWidth="1" outlineLevel="1" style="102"/>
    <col min="8" max="8" width="7.7109375" customWidth="1" outlineLevel="1" style="102"/>
    <col min="9" max="9" width="9.140625" customWidth="1" style="102"/>
    <col min="10" max="10" width="64.28515625" customWidth="1" style="102"/>
    <col min="11" max="11" bestFit="1" width="9.7109375" customWidth="1" style="111"/>
    <col min="12" max="12" bestFit="1" width="17.140625" customWidth="1" style="118"/>
    <col min="13" max="13" bestFit="1" width="11.7109375" customWidth="1" style="148"/>
    <col min="14" max="16384" width="9.140625" customWidth="1" style="102"/>
  </cols>
  <sheetData>
    <row r="1">
      <c r="A1" s="104" t="str">
        <f>'Daily-Report'!A3</f>
        <v>Tarix: 22/01/2024</v>
      </c>
      <c r="J1" s="40" t="s">
        <v>0</v>
      </c>
      <c r="K1" s="41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41"/>
    </row>
    <row r="3" ht="31.5" customHeight="1">
      <c r="A3" s="4" t="s">
        <v>25</v>
      </c>
      <c r="B3" s="106" t="s">
        <v>26</v>
      </c>
      <c r="C3" s="99">
        <f>D3+E3+F3+G3+H3</f>
        <v>0</v>
      </c>
      <c r="D3" s="100">
        <f>'Daily-Report'!D8</f>
        <v>0</v>
      </c>
      <c r="E3" s="100">
        <f>'Daily-Report'!E8</f>
        <v>0</v>
      </c>
      <c r="F3" s="100">
        <f>'Daily-Report'!F8</f>
        <v>0</v>
      </c>
      <c r="G3" s="100">
        <f>'Daily-Report'!G8</f>
        <v>0</v>
      </c>
      <c r="H3" s="100">
        <f>'Daily-Report'!H8</f>
        <v>0</v>
      </c>
      <c r="J3" s="40" t="s">
        <v>9</v>
      </c>
      <c r="K3" s="40" t="s">
        <v>10</v>
      </c>
      <c r="L3" s="153" t="s">
        <v>11</v>
      </c>
    </row>
    <row r="4" ht="15">
      <c r="A4" s="104" t="str">
        <f>'Daily-Report'!J3</f>
        <v>Tarix 19/01/2024</v>
      </c>
      <c r="I4" s="148"/>
      <c r="J4" s="120"/>
      <c r="M4" s="188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I5" s="148"/>
      <c r="M5" s="188"/>
    </row>
    <row r="6" ht="15">
      <c r="A6" s="4" t="s">
        <v>25</v>
      </c>
      <c r="B6" s="106" t="s">
        <v>26</v>
      </c>
      <c r="C6" s="99">
        <f>D6+E6+F6+G6+H6</f>
        <v>0</v>
      </c>
      <c r="D6" s="100">
        <f>'Daily-Report'!M8</f>
        <v>0</v>
      </c>
      <c r="E6" s="100">
        <f>'Daily-Report'!N8</f>
        <v>0</v>
      </c>
      <c r="F6" s="100">
        <f>'Daily-Report'!O8</f>
        <v>0</v>
      </c>
      <c r="G6" s="100">
        <f>'Daily-Report'!P8</f>
        <v>0</v>
      </c>
      <c r="H6" s="100">
        <f>'Daily-Report'!Q8</f>
        <v>0</v>
      </c>
      <c r="J6" s="200"/>
      <c r="L6" s="198"/>
      <c r="M6" s="188"/>
    </row>
    <row r="7" ht="15">
      <c r="A7" s="10"/>
      <c r="B7" s="105"/>
      <c r="C7" s="101"/>
      <c r="D7" s="101"/>
      <c r="E7" s="101"/>
      <c r="F7" s="101"/>
      <c r="G7" s="101"/>
      <c r="H7" s="101"/>
      <c r="J7" s="200"/>
      <c r="L7" s="198"/>
      <c r="M7" s="188"/>
      <c r="Q7" s="185"/>
    </row>
    <row r="8" ht="15">
      <c r="A8" s="108" t="s">
        <v>12</v>
      </c>
      <c r="J8" s="200"/>
      <c r="L8" s="149"/>
      <c r="M8" s="188"/>
    </row>
    <row r="9" ht="15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J9" s="200"/>
      <c r="L9" s="149"/>
      <c r="M9" s="188"/>
    </row>
    <row r="10" ht="15">
      <c r="A10" s="4" t="s">
        <v>25</v>
      </c>
      <c r="B10" s="106" t="s">
        <v>26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J10" s="200"/>
      <c r="L10" s="149"/>
      <c r="M10" s="188"/>
    </row>
    <row r="11">
      <c r="A11" s="10"/>
      <c r="B11" s="105"/>
      <c r="D11" s="101"/>
      <c r="E11" s="101"/>
      <c r="F11" s="101"/>
      <c r="G11" s="101"/>
      <c r="H11" s="101"/>
      <c r="M11" s="188"/>
    </row>
    <row r="12" ht="15">
      <c r="A12" s="10"/>
      <c r="B12" s="105"/>
      <c r="D12" s="101"/>
      <c r="E12" s="101"/>
      <c r="F12" s="101"/>
      <c r="G12" s="101"/>
      <c r="H12" s="101"/>
      <c r="J12" s="120"/>
      <c r="M12" s="188"/>
    </row>
    <row r="13">
      <c r="A13" s="10"/>
      <c r="B13" s="105"/>
      <c r="D13" s="101"/>
      <c r="E13" s="101"/>
      <c r="F13" s="101"/>
      <c r="G13" s="101"/>
      <c r="H13" s="101"/>
      <c r="K13" s="102"/>
      <c r="L13" s="102"/>
      <c r="M13" s="188"/>
    </row>
    <row r="14">
      <c r="A14" s="10"/>
      <c r="B14" s="105"/>
      <c r="D14" s="101"/>
      <c r="E14" s="101"/>
      <c r="F14" s="101"/>
      <c r="G14" s="101"/>
      <c r="H14" s="101"/>
      <c r="K14" s="102"/>
      <c r="L14" s="102"/>
      <c r="M14" s="188"/>
    </row>
    <row r="15">
      <c r="A15" s="10"/>
      <c r="B15" s="105"/>
      <c r="D15" s="101"/>
      <c r="E15" s="101"/>
      <c r="F15" s="101"/>
      <c r="G15" s="101"/>
      <c r="H15" s="101"/>
      <c r="K15" s="102"/>
      <c r="L15" s="102"/>
    </row>
    <row r="16">
      <c r="A16" s="10"/>
      <c r="B16" s="105"/>
      <c r="D16" s="101"/>
      <c r="E16" s="101"/>
      <c r="F16" s="101"/>
      <c r="G16" s="101"/>
      <c r="H16" s="101"/>
      <c r="K16" s="102"/>
      <c r="L16" s="102"/>
    </row>
    <row r="17">
      <c r="A17" s="10"/>
      <c r="B17" s="105"/>
      <c r="D17" s="101"/>
      <c r="E17" s="101"/>
      <c r="F17" s="101"/>
      <c r="G17" s="101"/>
      <c r="H17" s="101"/>
      <c r="L17" s="111"/>
    </row>
    <row r="18">
      <c r="A18" s="10"/>
      <c r="B18" s="105"/>
      <c r="D18" s="101"/>
      <c r="E18" s="101"/>
      <c r="F18" s="101"/>
      <c r="G18" s="101"/>
      <c r="H18" s="101"/>
      <c r="K18" s="102"/>
      <c r="L18" s="102"/>
    </row>
    <row r="19">
      <c r="A19" s="10"/>
      <c r="B19" s="105"/>
      <c r="D19" s="101"/>
      <c r="E19" s="101"/>
      <c r="F19" s="101"/>
      <c r="G19" s="101"/>
      <c r="H19" s="101"/>
      <c r="L19" s="111"/>
    </row>
    <row r="20">
      <c r="A20" s="10"/>
      <c r="B20" s="105"/>
      <c r="D20" s="101"/>
      <c r="E20" s="101"/>
      <c r="F20" s="101"/>
      <c r="G20" s="101"/>
      <c r="H20" s="101"/>
      <c r="L20" s="111"/>
    </row>
    <row r="21">
      <c r="A21" s="10"/>
      <c r="B21" s="105"/>
      <c r="D21" s="101"/>
      <c r="E21" s="101"/>
      <c r="F21" s="101"/>
      <c r="G21" s="101"/>
      <c r="H21" s="101"/>
      <c r="L21" s="111"/>
    </row>
    <row r="22">
      <c r="A22" s="10"/>
      <c r="B22" s="105"/>
      <c r="D22" s="101"/>
      <c r="E22" s="101"/>
      <c r="F22" s="101"/>
      <c r="G22" s="101"/>
      <c r="H22" s="101"/>
      <c r="L22" s="111"/>
    </row>
    <row r="23" ht="15">
      <c r="A23" s="10"/>
      <c r="B23" s="105"/>
      <c r="D23" s="101"/>
      <c r="E23" s="101"/>
      <c r="F23" s="101"/>
      <c r="G23" s="101"/>
      <c r="H23" s="101"/>
      <c r="J23" s="120" t="s">
        <v>162</v>
      </c>
    </row>
    <row r="24" ht="15">
      <c r="A24" s="10"/>
      <c r="B24" s="105"/>
      <c r="D24" s="101"/>
      <c r="E24" s="101"/>
      <c r="F24" s="101"/>
      <c r="G24" s="101"/>
      <c r="H24" s="101"/>
      <c r="J24" s="120"/>
    </row>
    <row r="25" ht="15">
      <c r="A25" s="10"/>
      <c r="B25" s="105"/>
      <c r="D25" s="101"/>
      <c r="E25" s="101"/>
      <c r="F25" s="101"/>
      <c r="G25" s="101"/>
      <c r="H25" s="101"/>
      <c r="J25" s="120"/>
    </row>
    <row r="26" ht="15">
      <c r="A26" s="10"/>
      <c r="B26" s="105"/>
      <c r="D26" s="101"/>
      <c r="E26" s="101"/>
      <c r="F26" s="101"/>
      <c r="G26" s="101"/>
      <c r="H26" s="101"/>
      <c r="J26" s="120"/>
    </row>
    <row r="27">
      <c r="A27" s="10"/>
      <c r="B27" s="105"/>
      <c r="D27" s="101"/>
      <c r="E27" s="101"/>
      <c r="F27" s="101"/>
      <c r="G27" s="101"/>
      <c r="H27" s="101"/>
      <c r="K27" s="102"/>
    </row>
    <row r="28">
      <c r="A28" s="10"/>
      <c r="B28" s="105"/>
      <c r="D28" s="101"/>
      <c r="E28" s="101"/>
      <c r="F28" s="101"/>
      <c r="G28" s="101"/>
      <c r="H28" s="101"/>
      <c r="J28" s="97" t="s">
        <v>14</v>
      </c>
      <c r="L28" s="119">
        <f>SUM(L4:L27)</f>
        <v>0</v>
      </c>
    </row>
    <row r="29" ht="15">
      <c r="A29" s="10"/>
      <c r="B29" s="105"/>
      <c r="D29" s="101"/>
      <c r="E29" s="101"/>
      <c r="F29" s="101"/>
      <c r="G29" s="101"/>
      <c r="H29" s="101"/>
      <c r="J29" s="120"/>
    </row>
    <row r="30" ht="15">
      <c r="A30" s="10"/>
      <c r="B30" s="105"/>
      <c r="D30" s="101"/>
      <c r="E30" s="101"/>
      <c r="F30" s="101"/>
      <c r="G30" s="101"/>
      <c r="H30" s="101"/>
      <c r="J30" s="120"/>
    </row>
    <row r="31">
      <c r="A31" s="10"/>
      <c r="B31" s="105"/>
      <c r="D31" s="101"/>
      <c r="E31" s="101"/>
      <c r="F31" s="101"/>
      <c r="G31" s="101"/>
      <c r="H31" s="101"/>
      <c r="K31" s="102"/>
      <c r="L31" s="102"/>
    </row>
    <row r="32">
      <c r="A32" s="10"/>
      <c r="B32" s="105"/>
      <c r="D32" s="101"/>
      <c r="E32" s="101"/>
      <c r="F32" s="101"/>
      <c r="G32" s="101"/>
      <c r="H32" s="101"/>
    </row>
    <row r="33">
      <c r="A33" s="10"/>
      <c r="B33" s="105"/>
      <c r="D33" s="101"/>
      <c r="E33" s="101"/>
      <c r="F33" s="101"/>
      <c r="G33" s="101"/>
      <c r="H33" s="101"/>
    </row>
    <row r="34">
      <c r="A34" s="10"/>
      <c r="B34" s="105"/>
      <c r="D34" s="101"/>
      <c r="E34" s="101"/>
      <c r="F34" s="101"/>
      <c r="G34" s="101"/>
      <c r="H34" s="101"/>
      <c r="K34" s="102"/>
    </row>
    <row r="35">
      <c r="A35" s="10"/>
      <c r="B35" s="105"/>
      <c r="D35" s="101"/>
      <c r="E35" s="101"/>
      <c r="F35" s="101"/>
      <c r="G35" s="101"/>
      <c r="H35" s="101"/>
      <c r="K35" s="102"/>
      <c r="L35" s="102"/>
    </row>
    <row r="36">
      <c r="A36" s="10"/>
      <c r="B36" s="105"/>
      <c r="D36" s="101"/>
      <c r="E36" s="101"/>
      <c r="F36" s="101"/>
      <c r="G36" s="101"/>
      <c r="H36" s="101"/>
    </row>
    <row r="37">
      <c r="A37" s="10"/>
      <c r="B37" s="105"/>
      <c r="D37" s="101"/>
      <c r="E37" s="101"/>
      <c r="F37" s="101"/>
      <c r="G37" s="101"/>
      <c r="H37" s="101"/>
    </row>
    <row r="38">
      <c r="A38" s="10"/>
      <c r="B38" s="105"/>
      <c r="D38" s="101"/>
      <c r="E38" s="101"/>
      <c r="F38" s="101"/>
      <c r="G38" s="101"/>
      <c r="H38" s="101"/>
      <c r="K38" s="102"/>
      <c r="L38" s="102"/>
    </row>
    <row r="39">
      <c r="A39" s="10"/>
      <c r="B39" s="105"/>
      <c r="D39" s="101"/>
      <c r="E39" s="101"/>
      <c r="F39" s="101"/>
      <c r="G39" s="101"/>
      <c r="H39" s="101"/>
    </row>
    <row r="40">
      <c r="A40" s="10"/>
      <c r="B40" s="105"/>
      <c r="D40" s="101"/>
      <c r="E40" s="101"/>
      <c r="F40" s="101"/>
      <c r="G40" s="101"/>
      <c r="H40" s="101"/>
    </row>
    <row r="41">
      <c r="A41" s="10"/>
      <c r="B41" s="105"/>
      <c r="D41" s="101"/>
      <c r="E41" s="101"/>
      <c r="F41" s="101"/>
      <c r="G41" s="101"/>
      <c r="H41" s="101"/>
      <c r="K41" s="102"/>
    </row>
    <row r="42">
      <c r="A42" s="10"/>
      <c r="B42" s="105"/>
      <c r="D42" s="101"/>
      <c r="E42" s="101"/>
      <c r="F42" s="101"/>
      <c r="G42" s="101"/>
      <c r="H42" s="101"/>
      <c r="K42" s="102"/>
      <c r="L42" s="102"/>
    </row>
    <row r="43">
      <c r="A43" s="10"/>
      <c r="B43" s="105"/>
      <c r="D43" s="101"/>
      <c r="E43" s="101"/>
      <c r="F43" s="101"/>
      <c r="G43" s="101"/>
      <c r="H43" s="101"/>
      <c r="L43" s="149"/>
    </row>
    <row r="44">
      <c r="A44" s="10"/>
      <c r="B44" s="105"/>
      <c r="D44" s="101"/>
      <c r="E44" s="101"/>
      <c r="F44" s="101"/>
      <c r="G44" s="101"/>
      <c r="H44" s="101"/>
      <c r="L44" s="149"/>
    </row>
    <row r="45">
      <c r="A45" s="10"/>
      <c r="B45" s="105"/>
      <c r="D45" s="101"/>
      <c r="E45" s="101"/>
      <c r="F45" s="101"/>
      <c r="G45" s="101"/>
      <c r="H45" s="101"/>
    </row>
    <row r="46">
      <c r="A46" s="10"/>
      <c r="B46" s="105"/>
      <c r="D46" s="101"/>
      <c r="E46" s="101"/>
      <c r="F46" s="101"/>
      <c r="G46" s="101"/>
      <c r="H46" s="101"/>
    </row>
    <row r="47">
      <c r="A47" s="10"/>
      <c r="B47" s="105"/>
      <c r="D47" s="101"/>
      <c r="E47" s="101"/>
      <c r="F47" s="101"/>
      <c r="G47" s="101"/>
      <c r="H47" s="101"/>
      <c r="L47" s="149"/>
    </row>
    <row r="48">
      <c r="A48" s="10"/>
      <c r="B48" s="105"/>
      <c r="D48" s="101"/>
      <c r="E48" s="101"/>
      <c r="F48" s="101"/>
      <c r="G48" s="101"/>
      <c r="H48" s="101"/>
    </row>
    <row r="49">
      <c r="A49" s="10"/>
      <c r="B49" s="105"/>
      <c r="D49" s="101"/>
      <c r="E49" s="101"/>
      <c r="F49" s="101"/>
      <c r="G49" s="101"/>
      <c r="H49" s="101"/>
    </row>
    <row r="50">
      <c r="A50" s="10"/>
      <c r="B50" s="105"/>
      <c r="D50" s="101"/>
      <c r="E50" s="101"/>
      <c r="F50" s="101"/>
      <c r="G50" s="101"/>
      <c r="H50" s="101"/>
    </row>
    <row r="51">
      <c r="A51" s="10"/>
      <c r="B51" s="105"/>
      <c r="D51" s="101"/>
      <c r="E51" s="101"/>
      <c r="F51" s="101"/>
      <c r="G51" s="101"/>
      <c r="H51" s="101"/>
    </row>
    <row r="52">
      <c r="A52" s="10"/>
      <c r="B52" s="105"/>
      <c r="D52" s="101"/>
      <c r="E52" s="101"/>
      <c r="F52" s="101"/>
      <c r="G52" s="101"/>
      <c r="H52" s="101"/>
      <c r="K52" s="102"/>
      <c r="L52" s="102"/>
    </row>
    <row r="53">
      <c r="A53" s="10"/>
      <c r="B53" s="105"/>
      <c r="D53" s="101"/>
      <c r="E53" s="101"/>
      <c r="F53" s="101"/>
      <c r="G53" s="101"/>
      <c r="H53" s="101"/>
      <c r="L53" s="149"/>
    </row>
    <row r="54">
      <c r="A54" s="10"/>
      <c r="B54" s="105"/>
      <c r="D54" s="101"/>
      <c r="E54" s="101"/>
      <c r="F54" s="101"/>
      <c r="G54" s="101"/>
      <c r="H54" s="101"/>
    </row>
    <row r="55">
      <c r="A55" s="10"/>
      <c r="B55" s="105"/>
      <c r="D55" s="101"/>
      <c r="E55" s="101"/>
      <c r="F55" s="101"/>
      <c r="G55" s="101"/>
      <c r="H55" s="101"/>
    </row>
    <row r="60">
      <c r="N60" s="103"/>
    </row>
    <row r="61">
      <c r="N61" s="103"/>
    </row>
    <row r="62">
      <c r="N62" s="103"/>
    </row>
    <row r="65">
      <c r="K65" s="102"/>
      <c r="L65" s="102"/>
    </row>
    <row r="84">
      <c r="J84" s="43"/>
      <c r="L84" s="161"/>
    </row>
    <row r="89">
      <c r="J89" s="43"/>
      <c r="L89" s="161"/>
    </row>
    <row r="90">
      <c r="J90" s="43"/>
      <c r="L90" s="161"/>
    </row>
    <row r="91">
      <c r="J91" s="43"/>
      <c r="L91" s="161"/>
    </row>
    <row r="95">
      <c r="J95" s="43"/>
      <c r="L95" s="161"/>
    </row>
    <row r="96">
      <c r="J96" s="43"/>
      <c r="L96" s="161"/>
    </row>
    <row r="97">
      <c r="J97" s="43"/>
      <c r="L97" s="161"/>
    </row>
    <row r="99">
      <c r="J99" s="43"/>
      <c r="L99" s="161"/>
    </row>
  </sheetData>
  <sortState ref="J9:L18">
    <sortCondition ref="L9:L18"/>
  </sortState>
  <mergeCells>
    <mergeCell ref="A2:B2"/>
    <mergeCell ref="A5:B5"/>
    <mergeCell ref="A9:B9"/>
  </mergeCells>
  <pageMargins left="0.7" right="0.7" top="0.75" bottom="0.75" header="0.3" footer="0.3"/>
  <pageSetup orientation="portrait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92D050"/>
  </sheetPr>
  <dimension ref="A1:M24"/>
  <sheetViews>
    <sheetView showGridLines="0" zoomScaleNormal="100" workbookViewId="0">
      <selection activeCell="E3" sqref="E3"/>
    </sheetView>
  </sheetViews>
  <sheetFormatPr defaultColWidth="9.140625" defaultRowHeight="12.75" outlineLevelCol="1" x14ac:dyDescent="0.25"/>
  <cols>
    <col min="1" max="1" bestFit="1" width="10.7109375" customWidth="1" style="102"/>
    <col min="2" max="2" bestFit="1" width="37.85546875" customWidth="1" style="102"/>
    <col min="3" max="3" width="13.7109375" customWidth="1" style="102"/>
    <col min="4" max="4" width="8.85546875" customWidth="1" outlineLevel="1" style="102"/>
    <col min="5" max="5" bestFit="1" width="11" customWidth="1" outlineLevel="1" style="102"/>
    <col min="6" max="6" width="9.28515625" customWidth="1" outlineLevel="1" style="102"/>
    <col min="7" max="7" width="9.7109375" customWidth="1" outlineLevel="1" style="102"/>
    <col min="8" max="8" width="12.7109375" customWidth="1" outlineLevel="1" style="102"/>
    <col min="9" max="9" width="9.140625" customWidth="1" style="102"/>
    <col min="10" max="10" bestFit="1" width="32" customWidth="1" style="102"/>
    <col min="11" max="11" width="10.28515625" customWidth="1" style="102"/>
    <col min="12" max="12" width="12.7109375" customWidth="1" style="102"/>
    <col min="13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105"/>
      <c r="L1" s="110"/>
      <c r="M1" s="148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105"/>
      <c r="L2" s="110"/>
      <c r="M2" s="148"/>
    </row>
    <row r="3" ht="25.5">
      <c r="A3" s="4" t="s">
        <v>30</v>
      </c>
      <c r="B3" s="106" t="s">
        <v>31</v>
      </c>
      <c r="C3" s="99">
        <f>D3+E3+F3+G3+H3</f>
        <v>0</v>
      </c>
      <c r="D3" s="100">
        <f>'Daily-Report'!D10</f>
        <v>0</v>
      </c>
      <c r="E3" s="100">
        <f>'Daily-Report'!E10</f>
        <v>0</v>
      </c>
      <c r="F3" s="100">
        <f>'Daily-Report'!F10</f>
        <v>0</v>
      </c>
      <c r="G3" s="100">
        <f>'Daily-Report'!G10</f>
        <v>0</v>
      </c>
      <c r="H3" s="100">
        <f>'Daily-Report'!H10</f>
        <v>0</v>
      </c>
      <c r="J3" s="40" t="s">
        <v>9</v>
      </c>
      <c r="K3" s="40" t="s">
        <v>10</v>
      </c>
      <c r="L3" s="44" t="s">
        <v>11</v>
      </c>
      <c r="M3" s="148"/>
    </row>
    <row r="4">
      <c r="A4" s="247" t="str">
        <f>'Daily-Report'!J3</f>
        <v>Tarix 19/01/2024</v>
      </c>
      <c r="B4" s="247"/>
      <c r="K4" s="111"/>
      <c r="L4" s="111"/>
      <c r="M4" s="148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K5" s="111"/>
      <c r="L5" s="111"/>
      <c r="M5" s="148"/>
    </row>
    <row r="6">
      <c r="A6" s="4" t="s">
        <v>30</v>
      </c>
      <c r="B6" s="106" t="s">
        <v>31</v>
      </c>
      <c r="C6" s="99">
        <f>D6+E6+F6+G6+H6</f>
        <v>0</v>
      </c>
      <c r="D6" s="100">
        <f>'Daily-Report'!M10</f>
        <v>0</v>
      </c>
      <c r="E6" s="100">
        <f>'Daily-Report'!N10</f>
        <v>0</v>
      </c>
      <c r="F6" s="100">
        <f>'Daily-Report'!O10</f>
        <v>0</v>
      </c>
      <c r="G6" s="100">
        <f>'Daily-Report'!P10</f>
        <v>0</v>
      </c>
      <c r="H6" s="100">
        <f>'Daily-Report'!Q10</f>
        <v>0</v>
      </c>
      <c r="M6" s="148"/>
    </row>
    <row r="7">
      <c r="A7" s="10"/>
      <c r="B7" s="105"/>
      <c r="C7" s="101"/>
      <c r="D7" s="101"/>
      <c r="E7" s="101"/>
      <c r="F7" s="101"/>
      <c r="G7" s="101"/>
      <c r="H7" s="101"/>
      <c r="K7" s="111"/>
      <c r="L7" s="111"/>
      <c r="M7" s="148"/>
    </row>
    <row r="8">
      <c r="A8" s="108" t="s">
        <v>12</v>
      </c>
      <c r="K8" s="111"/>
      <c r="L8" s="111"/>
      <c r="M8" s="148"/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K9" s="111"/>
      <c r="L9" s="111"/>
      <c r="M9" s="148"/>
    </row>
    <row r="10">
      <c r="A10" s="4" t="s">
        <v>30</v>
      </c>
      <c r="B10" s="106" t="s">
        <v>31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K10" s="111"/>
      <c r="L10" s="111"/>
      <c r="M10" s="148"/>
    </row>
    <row r="11">
      <c r="A11" s="10"/>
      <c r="B11" s="105"/>
      <c r="D11" s="101"/>
      <c r="E11" s="101"/>
      <c r="F11" s="101"/>
      <c r="G11" s="101"/>
      <c r="H11" s="101"/>
      <c r="K11" s="111"/>
      <c r="L11" s="111"/>
      <c r="M11" s="148"/>
    </row>
    <row r="12">
      <c r="D12" s="101"/>
      <c r="E12" s="101"/>
      <c r="F12" s="101"/>
      <c r="G12" s="101"/>
      <c r="H12" s="101"/>
      <c r="K12" s="111"/>
      <c r="L12" s="111"/>
      <c r="M12" s="148"/>
    </row>
    <row r="13">
      <c r="D13" s="101"/>
      <c r="E13" s="101"/>
      <c r="F13" s="101"/>
      <c r="G13" s="101"/>
      <c r="H13" s="101"/>
      <c r="K13" s="111"/>
      <c r="L13" s="111"/>
      <c r="M13" s="148"/>
    </row>
    <row r="14">
      <c r="D14" s="101"/>
      <c r="E14" s="101"/>
      <c r="F14" s="101"/>
      <c r="G14" s="101"/>
      <c r="H14" s="101"/>
      <c r="M14" s="148"/>
    </row>
    <row r="15">
      <c r="D15" s="101"/>
      <c r="E15" s="101"/>
      <c r="F15" s="101"/>
      <c r="G15" s="101"/>
      <c r="H15" s="101"/>
      <c r="J15" s="97" t="s">
        <v>14</v>
      </c>
      <c r="K15" s="111"/>
      <c r="L15" s="150">
        <f>SUM(L4:L13)</f>
        <v>0</v>
      </c>
      <c r="M15" s="148"/>
    </row>
    <row r="16">
      <c r="D16" s="101"/>
      <c r="E16" s="101"/>
      <c r="F16" s="101"/>
      <c r="G16" s="101"/>
      <c r="H16" s="101"/>
      <c r="M16" s="148"/>
    </row>
    <row r="17">
      <c r="M17" s="148"/>
    </row>
    <row r="24">
      <c r="L24" s="150"/>
    </row>
  </sheetData>
  <mergeCells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2D050"/>
  </sheetPr>
  <dimension ref="A1:P131"/>
  <sheetViews>
    <sheetView showGridLines="0" topLeftCell="B1" zoomScaleNormal="100" workbookViewId="0">
      <selection activeCell="J5" sqref="J5:L5"/>
    </sheetView>
  </sheetViews>
  <sheetFormatPr defaultColWidth="9.140625" defaultRowHeight="12.75" outlineLevelCol="1" x14ac:dyDescent="0.25"/>
  <cols>
    <col min="1" max="1" bestFit="1" width="10.7109375" customWidth="1" style="102"/>
    <col min="2" max="2" width="31" customWidth="1" style="102"/>
    <col min="3" max="3" bestFit="1" width="14.7109375" customWidth="1" style="102"/>
    <col min="4" max="4" width="12.7109375" customWidth="1" outlineLevel="1" style="102"/>
    <col min="5" max="5" bestFit="1" width="13.140625" customWidth="1" outlineLevel="1" style="102"/>
    <col min="6" max="6" width="13.7109375" customWidth="1" outlineLevel="1" style="102"/>
    <col min="7" max="7" width="11.28515625" customWidth="1" outlineLevel="1" style="102"/>
    <col min="8" max="8" bestFit="1" width="11" customWidth="1" outlineLevel="1" style="102"/>
    <col min="9" max="9" width="9.140625" customWidth="1" style="102"/>
    <col min="10" max="10" width="54.7109375" customWidth="1" style="102"/>
    <col min="11" max="11" bestFit="1" width="8.28515625" customWidth="1" style="111"/>
    <col min="12" max="12" bestFit="1" width="16.7109375" customWidth="1" style="137"/>
    <col min="13" max="15" width="9.140625" customWidth="1" style="102"/>
    <col min="16" max="16" bestFit="1" width="11.7109375" customWidth="1" style="102"/>
    <col min="17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41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41"/>
    </row>
    <row r="3" ht="25.5">
      <c r="A3" s="4" t="s">
        <v>34</v>
      </c>
      <c r="B3" s="106" t="s">
        <v>35</v>
      </c>
      <c r="C3" s="99">
        <f>D3+E3+F3+G3+H3</f>
        <v>0</v>
      </c>
      <c r="D3" s="100">
        <f>'Daily-Report'!D12</f>
        <v>0</v>
      </c>
      <c r="E3" s="100">
        <f>'Daily-Report'!E12</f>
        <v>0</v>
      </c>
      <c r="F3" s="100">
        <f>'Daily-Report'!F12</f>
        <v>0</v>
      </c>
      <c r="G3" s="100">
        <f>'Daily-Report'!G12</f>
        <v>0</v>
      </c>
      <c r="H3" s="100">
        <f>'Daily-Report'!H12</f>
        <v>0</v>
      </c>
      <c r="J3" s="40" t="s">
        <v>9</v>
      </c>
      <c r="K3" s="40" t="s">
        <v>10</v>
      </c>
      <c r="L3" s="40" t="s">
        <v>11</v>
      </c>
    </row>
    <row r="4">
      <c r="A4" s="247"/>
      <c r="B4" s="247"/>
      <c r="L4" s="111"/>
      <c r="M4" s="103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L5" s="161"/>
      <c r="M5" s="103"/>
    </row>
    <row r="6" ht="25.5">
      <c r="A6" s="4" t="s">
        <v>34</v>
      </c>
      <c r="B6" s="106" t="s">
        <v>35</v>
      </c>
      <c r="C6" s="99">
        <f>D6+E6+F6+G6+H6</f>
        <v>0</v>
      </c>
      <c r="D6" s="100">
        <f>'Daily-Report'!M12</f>
        <v>0</v>
      </c>
      <c r="E6" s="100">
        <f>'Daily-Report'!N12</f>
        <v>0</v>
      </c>
      <c r="F6" s="100">
        <f>'Daily-Report'!O12</f>
        <v>0</v>
      </c>
      <c r="G6" s="100">
        <f>'Daily-Report'!P12</f>
        <v>0</v>
      </c>
      <c r="H6" s="100">
        <f>'Daily-Report'!Q12</f>
        <v>0</v>
      </c>
      <c r="M6" s="148"/>
    </row>
    <row r="7">
      <c r="A7" s="10"/>
      <c r="B7" s="105"/>
      <c r="C7" s="101"/>
      <c r="D7" s="101"/>
      <c r="E7" s="101"/>
      <c r="F7" s="101"/>
      <c r="G7" s="101"/>
      <c r="H7" s="101"/>
      <c r="L7" s="111"/>
      <c r="M7" s="103"/>
      <c r="P7" s="103"/>
    </row>
    <row r="8">
      <c r="A8" s="108" t="s">
        <v>12</v>
      </c>
      <c r="L8" s="111"/>
      <c r="M8" s="103"/>
    </row>
    <row r="9" ht="15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J9" s="120"/>
      <c r="L9" s="111"/>
      <c r="M9" s="103"/>
      <c r="P9" s="103"/>
    </row>
    <row r="10" ht="25.5">
      <c r="A10" s="4" t="s">
        <v>34</v>
      </c>
      <c r="B10" s="106" t="s">
        <v>35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L10" s="161"/>
      <c r="M10" s="103"/>
    </row>
    <row r="11">
      <c r="A11" s="10"/>
      <c r="B11" s="105"/>
      <c r="C11" s="101"/>
      <c r="D11" s="101"/>
      <c r="E11" s="101"/>
      <c r="F11" s="101"/>
      <c r="G11" s="101"/>
      <c r="H11" s="101"/>
      <c r="L11" s="111"/>
      <c r="M11" s="103"/>
    </row>
    <row r="12">
      <c r="A12" s="10"/>
      <c r="B12" s="105"/>
      <c r="C12" s="101"/>
      <c r="D12" s="101"/>
      <c r="E12" s="101"/>
      <c r="F12" s="101"/>
      <c r="G12" s="101"/>
      <c r="H12" s="101"/>
      <c r="L12" s="111"/>
      <c r="M12" s="103"/>
    </row>
    <row r="13">
      <c r="A13" s="10"/>
      <c r="B13" s="105"/>
      <c r="C13" s="101"/>
      <c r="D13" s="101"/>
      <c r="E13" s="101"/>
      <c r="F13" s="101"/>
      <c r="G13" s="101"/>
      <c r="H13" s="101"/>
      <c r="L13" s="111"/>
      <c r="M13" s="103"/>
    </row>
    <row r="14">
      <c r="A14" s="10"/>
      <c r="B14" s="105"/>
      <c r="C14" s="101"/>
      <c r="D14" s="101"/>
      <c r="E14" s="101"/>
      <c r="F14" s="101"/>
      <c r="G14" s="101"/>
      <c r="H14" s="101"/>
      <c r="L14" s="111"/>
      <c r="M14" s="103"/>
    </row>
    <row r="15">
      <c r="A15" s="10"/>
      <c r="B15" s="105"/>
      <c r="C15" s="101"/>
      <c r="D15" s="101"/>
      <c r="E15" s="101"/>
      <c r="F15" s="101"/>
      <c r="G15" s="101"/>
      <c r="H15" s="101"/>
      <c r="L15" s="118"/>
      <c r="M15" s="103"/>
    </row>
    <row r="16">
      <c r="A16" s="10"/>
      <c r="B16" s="105"/>
      <c r="C16" s="101"/>
      <c r="D16" s="101"/>
      <c r="E16" s="101"/>
      <c r="F16" s="101"/>
      <c r="G16" s="101"/>
      <c r="H16" s="101"/>
      <c r="L16" s="118"/>
      <c r="M16" s="103"/>
    </row>
    <row r="17">
      <c r="A17" s="10"/>
      <c r="B17" s="105"/>
      <c r="C17" s="101"/>
      <c r="D17" s="101"/>
      <c r="E17" s="101"/>
      <c r="F17" s="101"/>
      <c r="G17" s="101"/>
      <c r="H17" s="101"/>
      <c r="J17" s="43"/>
      <c r="M17" s="103"/>
    </row>
    <row r="18">
      <c r="A18" s="10"/>
      <c r="B18" s="105"/>
      <c r="C18" s="101"/>
      <c r="D18" s="101"/>
      <c r="E18" s="101"/>
      <c r="F18" s="101"/>
      <c r="G18" s="101"/>
      <c r="H18" s="101"/>
      <c r="J18" s="43"/>
      <c r="M18" s="103"/>
    </row>
    <row r="19">
      <c r="A19" s="10"/>
      <c r="B19" s="105"/>
      <c r="C19" s="101"/>
      <c r="D19" s="101"/>
      <c r="E19" s="101"/>
      <c r="F19" s="101"/>
      <c r="G19" s="101"/>
      <c r="H19" s="101"/>
      <c r="J19" s="43"/>
      <c r="M19" s="103"/>
    </row>
    <row r="20">
      <c r="A20" s="10"/>
      <c r="B20" s="105"/>
      <c r="C20" s="101"/>
      <c r="D20" s="101"/>
      <c r="E20" s="101"/>
      <c r="F20" s="101"/>
      <c r="G20" s="101"/>
      <c r="H20" s="101"/>
      <c r="J20" s="43"/>
      <c r="M20" s="103"/>
    </row>
    <row r="21">
      <c r="A21" s="10"/>
      <c r="B21" s="105"/>
      <c r="C21" s="101"/>
      <c r="D21" s="101"/>
      <c r="E21" s="101"/>
      <c r="F21" s="101"/>
      <c r="G21" s="101"/>
      <c r="H21" s="101"/>
      <c r="J21" s="43"/>
      <c r="M21" s="103"/>
    </row>
    <row r="22">
      <c r="A22" s="10"/>
      <c r="B22" s="105"/>
      <c r="C22" s="101"/>
      <c r="D22" s="101"/>
      <c r="E22" s="101"/>
      <c r="F22" s="101"/>
      <c r="G22" s="101"/>
      <c r="H22" s="101"/>
      <c r="J22" s="43"/>
    </row>
    <row r="23">
      <c r="A23" s="10"/>
      <c r="B23" s="105"/>
      <c r="C23" s="101"/>
      <c r="D23" s="101"/>
      <c r="E23" s="101"/>
      <c r="F23" s="101"/>
      <c r="G23" s="101"/>
      <c r="H23" s="101"/>
      <c r="J23" s="43"/>
    </row>
    <row r="24">
      <c r="A24" s="10"/>
      <c r="B24" s="105"/>
      <c r="C24" s="101"/>
      <c r="D24" s="101"/>
      <c r="E24" s="101"/>
      <c r="F24" s="101"/>
      <c r="G24" s="101"/>
      <c r="H24" s="101"/>
      <c r="J24" s="43"/>
    </row>
    <row r="25">
      <c r="A25" s="10"/>
      <c r="B25" s="105"/>
      <c r="C25" s="101"/>
      <c r="D25" s="101"/>
      <c r="E25" s="101"/>
      <c r="F25" s="101"/>
      <c r="G25" s="101"/>
      <c r="H25" s="101"/>
      <c r="J25" s="43"/>
      <c r="M25" s="103"/>
    </row>
    <row r="26">
      <c r="A26" s="10"/>
      <c r="B26" s="105"/>
      <c r="C26" s="101"/>
      <c r="D26" s="101"/>
      <c r="E26" s="101"/>
      <c r="F26" s="101"/>
      <c r="G26" s="101"/>
      <c r="H26" s="101"/>
      <c r="J26" s="43" t="s">
        <v>13</v>
      </c>
    </row>
    <row r="27">
      <c r="A27" s="10"/>
      <c r="B27" s="105"/>
      <c r="C27" s="101"/>
      <c r="D27" s="101"/>
      <c r="E27" s="101"/>
      <c r="F27" s="101"/>
      <c r="G27" s="101"/>
      <c r="H27" s="101"/>
      <c r="J27" s="43"/>
      <c r="M27" s="103"/>
    </row>
    <row r="28">
      <c r="A28" s="10"/>
      <c r="B28" s="105"/>
      <c r="C28" s="101"/>
      <c r="D28" s="101"/>
      <c r="E28" s="101"/>
      <c r="F28" s="101"/>
      <c r="G28" s="101"/>
      <c r="H28" s="101"/>
      <c r="J28" s="43"/>
      <c r="M28" s="103"/>
    </row>
    <row r="29">
      <c r="A29" s="10"/>
      <c r="B29" s="105"/>
      <c r="C29" s="101"/>
      <c r="D29" s="101"/>
      <c r="E29" s="101"/>
      <c r="F29" s="101"/>
      <c r="G29" s="101"/>
      <c r="H29" s="101"/>
      <c r="J29" s="43"/>
      <c r="M29" s="103"/>
    </row>
    <row r="30">
      <c r="A30" s="10"/>
      <c r="B30" s="105"/>
      <c r="C30" s="101"/>
      <c r="D30" s="101"/>
      <c r="E30" s="101"/>
      <c r="F30" s="101"/>
      <c r="G30" s="101"/>
      <c r="H30" s="101"/>
      <c r="J30" s="43"/>
      <c r="M30" s="103"/>
    </row>
    <row r="31">
      <c r="A31" s="10"/>
      <c r="B31" s="105"/>
      <c r="C31" s="101"/>
      <c r="D31" s="101"/>
      <c r="E31" s="101"/>
      <c r="F31" s="101"/>
      <c r="G31" s="101"/>
      <c r="H31" s="101"/>
      <c r="J31" s="43"/>
      <c r="M31" s="103"/>
    </row>
    <row r="32">
      <c r="A32" s="10"/>
      <c r="B32" s="105"/>
      <c r="C32" s="101"/>
      <c r="D32" s="101"/>
      <c r="E32" s="101"/>
      <c r="F32" s="101"/>
      <c r="G32" s="101"/>
      <c r="H32" s="101"/>
      <c r="J32" s="43"/>
      <c r="M32" s="103"/>
    </row>
    <row r="33">
      <c r="A33" s="10"/>
      <c r="B33" s="105"/>
      <c r="C33" s="105"/>
      <c r="D33" s="101"/>
      <c r="E33" s="101"/>
      <c r="F33" s="101"/>
      <c r="G33" s="101"/>
      <c r="H33" s="101"/>
      <c r="J33" s="43"/>
      <c r="L33" s="149"/>
    </row>
    <row r="34">
      <c r="A34" s="10"/>
      <c r="B34" s="105"/>
      <c r="C34" s="105"/>
      <c r="D34" s="101"/>
      <c r="E34" s="101"/>
      <c r="F34" s="101"/>
      <c r="G34" s="101"/>
      <c r="H34" s="101"/>
      <c r="J34" s="97" t="s">
        <v>14</v>
      </c>
      <c r="L34" s="150">
        <f>SUM(L4:L33)</f>
        <v>0</v>
      </c>
    </row>
    <row r="35" ht="15">
      <c r="A35" s="10"/>
      <c r="B35" s="105"/>
      <c r="C35" s="105"/>
      <c r="D35" s="101"/>
      <c r="E35" s="101"/>
      <c r="F35" s="101"/>
      <c r="G35" s="101"/>
      <c r="H35" s="101"/>
      <c r="J35" s="122"/>
      <c r="L35" s="149"/>
    </row>
    <row r="36">
      <c r="A36" s="10"/>
      <c r="B36" s="105"/>
      <c r="C36" s="105"/>
      <c r="D36" s="101"/>
      <c r="E36" s="101"/>
      <c r="F36" s="101"/>
      <c r="G36" s="101"/>
      <c r="H36" s="101"/>
      <c r="K36" s="102"/>
      <c r="L36" s="102"/>
    </row>
    <row r="37" ht="15">
      <c r="A37" s="10"/>
      <c r="B37" s="105"/>
      <c r="C37" s="105"/>
      <c r="D37" s="101"/>
      <c r="E37" s="101"/>
      <c r="F37" s="101"/>
      <c r="G37" s="101"/>
      <c r="H37" s="101"/>
      <c r="J37" s="120"/>
      <c r="L37" s="149"/>
    </row>
    <row r="38" ht="15">
      <c r="A38" s="10"/>
      <c r="B38" s="105"/>
      <c r="C38" s="105"/>
      <c r="D38" s="101"/>
      <c r="E38" s="101"/>
      <c r="F38" s="101"/>
      <c r="G38" s="101"/>
      <c r="H38" s="101"/>
      <c r="J38" s="120"/>
      <c r="L38" s="149"/>
    </row>
    <row r="39" ht="15">
      <c r="A39" s="10"/>
      <c r="B39" s="105"/>
      <c r="C39" s="105"/>
      <c r="D39" s="101"/>
      <c r="E39" s="101"/>
      <c r="F39" s="101"/>
      <c r="G39" s="101"/>
      <c r="H39" s="101"/>
      <c r="J39" s="120"/>
      <c r="L39" s="149"/>
    </row>
    <row r="40" ht="15">
      <c r="A40" s="10"/>
      <c r="B40" s="105"/>
      <c r="C40" s="105"/>
      <c r="D40" s="101"/>
      <c r="E40" s="101"/>
      <c r="F40" s="101"/>
      <c r="G40" s="101"/>
      <c r="H40" s="101"/>
      <c r="J40" s="120"/>
      <c r="L40" s="149"/>
    </row>
    <row r="41">
      <c r="A41" s="10"/>
      <c r="B41" s="105"/>
      <c r="C41" s="105"/>
      <c r="D41" s="101"/>
      <c r="E41" s="101"/>
      <c r="F41" s="101"/>
      <c r="G41" s="101"/>
      <c r="H41" s="101"/>
    </row>
    <row r="42" ht="15">
      <c r="A42" s="10"/>
      <c r="B42" s="105"/>
      <c r="C42" s="105"/>
      <c r="D42" s="101"/>
      <c r="E42" s="101"/>
      <c r="F42" s="101"/>
      <c r="G42" s="101"/>
      <c r="H42" s="101"/>
      <c r="J42" s="120"/>
      <c r="L42" s="149"/>
    </row>
    <row r="43" ht="15">
      <c r="A43" s="10"/>
      <c r="B43" s="105"/>
      <c r="C43" s="105"/>
      <c r="D43" s="101"/>
      <c r="E43" s="101"/>
      <c r="F43" s="101"/>
      <c r="G43" s="101"/>
      <c r="H43" s="101"/>
      <c r="J43" s="120"/>
      <c r="L43" s="149"/>
    </row>
    <row r="44" ht="15">
      <c r="A44" s="10"/>
      <c r="B44" s="105"/>
      <c r="C44" s="105"/>
      <c r="D44" s="101"/>
      <c r="E44" s="101"/>
      <c r="F44" s="101"/>
      <c r="G44" s="101"/>
      <c r="H44" s="101"/>
      <c r="J44" s="120"/>
      <c r="L44" s="149"/>
    </row>
    <row r="45" ht="15">
      <c r="A45" s="10"/>
      <c r="B45" s="105"/>
      <c r="C45" s="105"/>
      <c r="D45" s="101"/>
      <c r="E45" s="101"/>
      <c r="F45" s="101"/>
      <c r="G45" s="101"/>
      <c r="H45" s="101"/>
      <c r="J45" s="120"/>
      <c r="L45" s="149"/>
    </row>
    <row r="46" ht="15">
      <c r="A46" s="10"/>
      <c r="B46" s="105"/>
      <c r="C46" s="105"/>
      <c r="D46" s="101"/>
      <c r="E46" s="101"/>
      <c r="F46" s="101"/>
      <c r="G46" s="101"/>
      <c r="H46" s="101"/>
      <c r="J46" s="120"/>
      <c r="L46" s="149"/>
    </row>
    <row r="47" ht="15">
      <c r="A47" s="10"/>
      <c r="B47" s="105"/>
      <c r="C47" s="105"/>
      <c r="D47" s="101"/>
      <c r="E47" s="101"/>
      <c r="F47" s="101"/>
      <c r="G47" s="101"/>
      <c r="H47" s="101"/>
      <c r="J47" s="120"/>
      <c r="L47" s="149"/>
    </row>
    <row r="48" ht="15">
      <c r="A48" s="10"/>
      <c r="B48" s="105"/>
      <c r="C48" s="105"/>
      <c r="D48" s="101"/>
      <c r="E48" s="101"/>
      <c r="F48" s="101"/>
      <c r="G48" s="101"/>
      <c r="H48" s="101"/>
      <c r="J48" s="120"/>
      <c r="L48" s="149"/>
    </row>
    <row r="49">
      <c r="A49" s="10"/>
      <c r="B49" s="105"/>
      <c r="C49" s="101"/>
      <c r="D49" s="101"/>
      <c r="E49" s="101"/>
      <c r="F49" s="101"/>
      <c r="G49" s="101"/>
      <c r="H49" s="101"/>
    </row>
    <row r="50">
      <c r="A50" s="117"/>
    </row>
    <row r="51">
      <c r="A51" s="117"/>
    </row>
    <row r="52">
      <c r="A52" s="117"/>
    </row>
    <row r="53">
      <c r="A53" s="117"/>
    </row>
    <row r="54">
      <c r="A54" s="117"/>
    </row>
    <row r="55">
      <c r="A55" s="117"/>
    </row>
    <row r="56">
      <c r="A56" s="117"/>
    </row>
    <row r="57">
      <c r="A57" s="117"/>
    </row>
    <row r="58">
      <c r="A58" s="117"/>
    </row>
    <row r="59">
      <c r="A59" s="117"/>
    </row>
    <row r="60">
      <c r="A60" s="117"/>
    </row>
    <row r="61">
      <c r="M61" s="147"/>
    </row>
    <row r="62">
      <c r="M62" s="147"/>
    </row>
    <row r="63">
      <c r="A63" s="117"/>
      <c r="L63" s="118"/>
      <c r="M63" s="147"/>
    </row>
    <row r="64">
      <c r="A64" s="117"/>
      <c r="M64" s="147"/>
    </row>
    <row r="65">
      <c r="A65" s="117"/>
      <c r="J65" s="43"/>
      <c r="M65" s="147"/>
    </row>
    <row r="66">
      <c r="A66" s="117"/>
      <c r="J66" s="43"/>
      <c r="M66" s="147"/>
    </row>
    <row r="67">
      <c r="A67" s="117"/>
      <c r="J67" s="43"/>
      <c r="M67" s="147"/>
    </row>
    <row r="68">
      <c r="A68" s="117"/>
      <c r="M68" s="147"/>
    </row>
    <row r="69">
      <c r="A69" s="117"/>
      <c r="L69" s="149"/>
      <c r="M69" s="147"/>
    </row>
    <row r="70">
      <c r="A70" s="117"/>
      <c r="J70" s="43"/>
      <c r="M70" s="147"/>
    </row>
    <row r="71">
      <c r="A71" s="117"/>
      <c r="J71" s="43"/>
      <c r="M71" s="147"/>
    </row>
    <row r="72">
      <c r="A72" s="117"/>
    </row>
    <row r="73">
      <c r="A73" s="117"/>
    </row>
    <row r="74">
      <c r="A74" s="117"/>
      <c r="M74" s="147"/>
    </row>
    <row r="75">
      <c r="A75" s="117"/>
      <c r="J75" s="43"/>
      <c r="M75" s="147"/>
    </row>
    <row r="76">
      <c r="A76" s="117"/>
      <c r="J76" s="43"/>
      <c r="M76" s="147"/>
    </row>
    <row r="77">
      <c r="A77" s="117"/>
      <c r="J77" s="43"/>
      <c r="M77" s="147"/>
    </row>
    <row r="78">
      <c r="A78" s="117"/>
      <c r="M78" s="147"/>
    </row>
    <row r="79">
      <c r="A79" s="117"/>
      <c r="M79" s="147"/>
    </row>
    <row r="80">
      <c r="A80" s="117"/>
      <c r="J80" s="43"/>
      <c r="M80" s="147"/>
    </row>
    <row r="81">
      <c r="A81" s="117"/>
      <c r="J81" s="43"/>
      <c r="M81" s="147"/>
    </row>
    <row r="82">
      <c r="A82" s="117"/>
      <c r="J82" s="43"/>
      <c r="M82" s="147"/>
    </row>
    <row r="83">
      <c r="A83" s="117"/>
    </row>
    <row r="84">
      <c r="A84" s="117"/>
      <c r="M84" s="161"/>
    </row>
    <row r="85">
      <c r="A85" s="117"/>
      <c r="J85" s="43"/>
      <c r="M85" s="147"/>
    </row>
    <row r="86">
      <c r="A86" s="117"/>
      <c r="M86" s="147"/>
    </row>
    <row r="87">
      <c r="A87" s="117"/>
      <c r="M87" s="147"/>
    </row>
    <row r="88">
      <c r="A88" s="117"/>
      <c r="J88" s="43"/>
      <c r="M88" s="43"/>
    </row>
    <row r="89">
      <c r="A89" s="117"/>
      <c r="M89" s="43"/>
    </row>
    <row r="90">
      <c r="A90" s="117"/>
      <c r="M90" s="43"/>
    </row>
    <row r="91">
      <c r="A91" s="117"/>
      <c r="M91" s="43"/>
    </row>
    <row r="92">
      <c r="A92" s="117"/>
      <c r="M92" s="43"/>
    </row>
    <row r="93">
      <c r="A93" s="117"/>
      <c r="M93" s="43"/>
    </row>
    <row r="94">
      <c r="A94" s="117"/>
      <c r="M94" s="43"/>
    </row>
    <row r="95">
      <c r="A95" s="117"/>
      <c r="M95" s="43"/>
    </row>
    <row r="96">
      <c r="A96" s="117"/>
      <c r="M96" s="43"/>
    </row>
    <row r="97">
      <c r="A97" s="117"/>
      <c r="M97" s="43"/>
    </row>
    <row r="98">
      <c r="J98" s="43"/>
      <c r="M98" s="43"/>
    </row>
    <row r="99">
      <c r="M99" s="43"/>
    </row>
    <row r="100">
      <c r="J100" s="43"/>
      <c r="M100" s="43"/>
    </row>
    <row r="101">
      <c r="M101" s="43"/>
    </row>
    <row r="102">
      <c r="M102" s="43"/>
    </row>
    <row r="103">
      <c r="J103" s="43"/>
      <c r="M103" s="43"/>
    </row>
    <row r="104">
      <c r="J104" s="43"/>
      <c r="M104" s="43"/>
    </row>
    <row r="105">
      <c r="J105" s="43"/>
      <c r="M105" s="43"/>
    </row>
    <row r="106">
      <c r="J106" s="43"/>
      <c r="M106" s="43"/>
    </row>
    <row r="107">
      <c r="L107" s="149"/>
      <c r="M107" s="43"/>
    </row>
    <row r="108">
      <c r="M108" s="43"/>
    </row>
    <row r="109">
      <c r="M109" s="43"/>
    </row>
    <row r="110">
      <c r="M110" s="43"/>
    </row>
    <row r="111">
      <c r="M111" s="43"/>
    </row>
    <row r="112">
      <c r="M112" s="43"/>
    </row>
    <row r="120">
      <c r="J120" s="107"/>
    </row>
    <row r="121">
      <c r="J121" s="107"/>
    </row>
    <row r="122">
      <c r="J122" s="107"/>
    </row>
    <row r="131">
      <c r="K131" s="102"/>
    </row>
  </sheetData>
  <sortState ref="J9:L17">
    <sortCondition ref="L9:L17"/>
  </sortState>
  <mergeCells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00"/>
  </sheetPr>
  <sheetViews>
    <sheetView showGridLines="0" workbookViewId="0"/>
  </sheetViews>
  <sheetFormatPr defaultRowHeight="15" x14ac:dyDescent="0.25"/>
  <sheetData/>
  <pageMargins left="0.7" right="0.7" top="0.75" bottom="0.75" header="0.3" footer="0.3"/>
  <pageSetup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92D050"/>
  </sheetPr>
  <dimension ref="A1:L29"/>
  <sheetViews>
    <sheetView showGridLines="0" topLeftCell="C1" zoomScaleNormal="100" workbookViewId="0">
      <selection activeCell="J9" sqref="J9:L12"/>
    </sheetView>
  </sheetViews>
  <sheetFormatPr defaultColWidth="9.140625" defaultRowHeight="15" outlineLevelCol="1" x14ac:dyDescent="0.25"/>
  <cols>
    <col min="1" max="1" bestFit="1" width="10.7109375" customWidth="1" style="120"/>
    <col min="2" max="2" width="31" customWidth="1" style="120"/>
    <col min="3" max="3" bestFit="1" width="14.7109375" customWidth="1" style="120"/>
    <col min="4" max="4" width="12" customWidth="1" outlineLevel="1" style="120"/>
    <col min="5" max="5" width="13.140625" customWidth="1" outlineLevel="1" style="120"/>
    <col min="6" max="6" width="13.7109375" customWidth="1" outlineLevel="1" style="120"/>
    <col min="7" max="7" width="7.7109375" customWidth="1" outlineLevel="1" style="120"/>
    <col min="8" max="8" width="9.7109375" customWidth="1" outlineLevel="1" style="120"/>
    <col min="9" max="9" width="9.140625" customWidth="1" style="120"/>
    <col min="10" max="10" width="88.85546875" customWidth="1" style="120"/>
    <col min="11" max="11" bestFit="1" width="8.28515625" customWidth="1" style="120"/>
    <col min="12" max="12" bestFit="1" width="16.7109375" customWidth="1" style="154"/>
    <col min="13" max="16384" width="9.140625" customWidth="1" style="120"/>
  </cols>
  <sheetData>
    <row r="1">
      <c r="A1" s="248" t="str">
        <f>'Daily-Report'!A3</f>
        <v>Tarix: 22/01/2024</v>
      </c>
      <c r="B1" s="248"/>
      <c r="J1" s="40" t="s">
        <v>0</v>
      </c>
      <c r="K1" s="105"/>
    </row>
    <row r="2">
      <c r="A2" s="227" t="s">
        <v>1</v>
      </c>
      <c r="B2" s="228"/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J2" s="10"/>
      <c r="K2" s="105"/>
    </row>
    <row r="3" ht="25.5">
      <c r="A3" s="4">
        <v>3</v>
      </c>
      <c r="B3" s="106" t="s">
        <v>38</v>
      </c>
      <c r="C3" s="14">
        <f>D3+E3+F3+G3+H3</f>
        <v>0</v>
      </c>
      <c r="D3" s="22">
        <f>'Daily-Report'!D14</f>
        <v>0</v>
      </c>
      <c r="E3" s="22">
        <f>'Daily-Report'!E14</f>
        <v>0</v>
      </c>
      <c r="F3" s="22">
        <f>'Daily-Report'!F14</f>
        <v>0</v>
      </c>
      <c r="G3" s="22">
        <f>'Daily-Report'!G14</f>
        <v>0</v>
      </c>
      <c r="H3" s="22">
        <f>'Daily-Report'!H14</f>
        <v>0</v>
      </c>
      <c r="J3" s="40" t="s">
        <v>9</v>
      </c>
      <c r="K3" s="40" t="s">
        <v>10</v>
      </c>
      <c r="L3" s="44" t="s">
        <v>11</v>
      </c>
    </row>
    <row r="4">
      <c r="A4" s="247" t="str">
        <f>'Daily-Report'!J3</f>
        <v>Tarix 19/01/2024</v>
      </c>
      <c r="B4" s="247"/>
    </row>
    <row r="5">
      <c r="A5" s="227" t="s">
        <v>1</v>
      </c>
      <c r="B5" s="228"/>
      <c r="C5" s="15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J5" s="200"/>
      <c r="K5" s="111"/>
      <c r="L5" s="149"/>
    </row>
    <row r="6" ht="18.75" customHeight="1">
      <c r="A6" s="4">
        <v>3</v>
      </c>
      <c r="B6" s="106" t="s">
        <v>38</v>
      </c>
      <c r="C6" s="14">
        <f>D6+E6+F6+G6+H6</f>
        <v>0</v>
      </c>
      <c r="D6" s="22">
        <f>'Daily-Report'!M14</f>
        <v>0</v>
      </c>
      <c r="E6" s="22">
        <f>'Daily-Report'!N14</f>
        <v>0</v>
      </c>
      <c r="F6" s="22">
        <f>'Daily-Report'!O14</f>
        <v>0</v>
      </c>
      <c r="G6" s="22">
        <f>'Daily-Report'!P14</f>
        <v>0</v>
      </c>
      <c r="H6" s="22">
        <f>'Daily-Report'!Q14</f>
        <v>0</v>
      </c>
      <c r="J6" s="102"/>
      <c r="K6" s="111"/>
      <c r="L6" s="149"/>
    </row>
    <row r="7">
      <c r="A7" s="10"/>
      <c r="B7" s="105"/>
      <c r="C7" s="39"/>
      <c r="D7" s="39"/>
      <c r="E7" s="39"/>
      <c r="F7" s="39"/>
      <c r="G7" s="39"/>
      <c r="H7" s="39"/>
      <c r="K7" s="111"/>
      <c r="L7" s="121"/>
    </row>
    <row r="8">
      <c r="A8" s="123" t="s">
        <v>12</v>
      </c>
      <c r="J8" s="97" t="s">
        <v>14</v>
      </c>
      <c r="L8" s="171">
        <f>SUM(L5:L7)</f>
        <v>0</v>
      </c>
    </row>
    <row r="9">
      <c r="A9" s="227" t="s">
        <v>1</v>
      </c>
      <c r="B9" s="228"/>
      <c r="C9" s="15" t="s">
        <v>2</v>
      </c>
      <c r="D9" s="15" t="s">
        <v>3</v>
      </c>
      <c r="E9" s="15" t="s">
        <v>4</v>
      </c>
      <c r="F9" s="15" t="s">
        <v>5</v>
      </c>
      <c r="G9" s="15" t="s">
        <v>6</v>
      </c>
      <c r="H9" s="15" t="s">
        <v>7</v>
      </c>
      <c r="J9" s="200"/>
      <c r="K9" s="202"/>
      <c r="L9" s="187"/>
    </row>
    <row r="10">
      <c r="A10" s="4">
        <v>3</v>
      </c>
      <c r="B10" s="106" t="s">
        <v>38</v>
      </c>
      <c r="C10" s="14">
        <f>D10+E10+F10+G10+H10</f>
        <v>0</v>
      </c>
      <c r="D10" s="22">
        <f>D3-D6</f>
        <v>0</v>
      </c>
      <c r="E10" s="22">
        <f>E3-E6</f>
        <v>0</v>
      </c>
      <c r="F10" s="22">
        <f>F3-F6</f>
        <v>0</v>
      </c>
      <c r="G10" s="22">
        <f>G3-G6</f>
        <v>0</v>
      </c>
      <c r="H10" s="22">
        <f>H3-H6</f>
        <v>0</v>
      </c>
      <c r="J10" s="200"/>
      <c r="K10" s="202"/>
    </row>
    <row r="11">
      <c r="J11" s="205"/>
      <c r="K11" s="206"/>
      <c r="L11" s="204"/>
    </row>
    <row r="12">
      <c r="J12" s="199"/>
      <c r="K12" s="202"/>
      <c r="L12" s="155"/>
    </row>
    <row r="13">
      <c r="L13" s="155"/>
    </row>
    <row r="14">
      <c r="L14" s="155"/>
    </row>
    <row r="15">
      <c r="L15" s="155"/>
    </row>
    <row r="16">
      <c r="L16" s="155"/>
    </row>
    <row r="17">
      <c r="L17" s="155"/>
    </row>
    <row r="18">
      <c r="L18" s="155"/>
    </row>
    <row r="19">
      <c r="L19" s="155"/>
    </row>
    <row r="20">
      <c r="L20" s="155"/>
    </row>
    <row r="21">
      <c r="L21" s="155"/>
    </row>
    <row r="22">
      <c r="L22" s="155"/>
    </row>
    <row r="23">
      <c r="L23" s="155"/>
    </row>
    <row r="24">
      <c r="L24" s="155"/>
    </row>
    <row r="25">
      <c r="L25" s="155"/>
    </row>
    <row r="26">
      <c r="L26" s="155"/>
    </row>
    <row r="27">
      <c r="L27" s="155"/>
    </row>
    <row r="28">
      <c r="L28" s="155"/>
    </row>
    <row r="29">
      <c r="L29" s="155"/>
    </row>
  </sheetData>
  <sortState ref="J4:L5">
    <sortCondition ref="L4:L5"/>
  </sortState>
  <mergeCells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2D050"/>
  </sheetPr>
  <dimension ref="A1:L19"/>
  <sheetViews>
    <sheetView showGridLines="0" zoomScaleNormal="100" workbookViewId="0">
      <selection activeCell="E3" sqref="E3"/>
    </sheetView>
  </sheetViews>
  <sheetFormatPr defaultColWidth="9.140625" defaultRowHeight="12.75" outlineLevelCol="1" x14ac:dyDescent="0.25"/>
  <cols>
    <col min="1" max="1" bestFit="1" width="10.7109375" customWidth="1" style="102"/>
    <col min="2" max="2" width="31" customWidth="1" style="102"/>
    <col min="3" max="3" bestFit="1" width="14.7109375" customWidth="1" style="102"/>
    <col min="4" max="4" width="12" customWidth="1" outlineLevel="1" style="102"/>
    <col min="5" max="5" width="13.140625" customWidth="1" outlineLevel="1" style="102"/>
    <col min="6" max="6" width="13.28515625" customWidth="1" outlineLevel="1" style="102"/>
    <col min="7" max="7" width="7.7109375" customWidth="1" outlineLevel="1" style="102"/>
    <col min="8" max="8" bestFit="1" width="11" customWidth="1" outlineLevel="1" style="102"/>
    <col min="9" max="9" width="9.140625" customWidth="1" style="102"/>
    <col min="10" max="10" width="42.85546875" customWidth="1" style="102"/>
    <col min="11" max="11" bestFit="1" width="8.28515625" customWidth="1" style="102"/>
    <col min="12" max="12" bestFit="1" width="16.7109375" customWidth="1" style="103"/>
    <col min="13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105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105"/>
    </row>
    <row r="3" ht="25.5">
      <c r="A3" s="4">
        <v>4</v>
      </c>
      <c r="B3" s="106" t="s">
        <v>40</v>
      </c>
      <c r="C3" s="99">
        <f>D3+E3+F3+G3+H3</f>
        <v>0</v>
      </c>
      <c r="D3" s="100">
        <f>'Daily-Report'!D15</f>
        <v>0</v>
      </c>
      <c r="E3" s="100">
        <f>'Daily-Report'!E15</f>
        <v>0</v>
      </c>
      <c r="F3" s="100">
        <f>'Daily-Report'!F15</f>
        <v>0</v>
      </c>
      <c r="G3" s="100">
        <f>'Daily-Report'!G15</f>
        <v>0</v>
      </c>
      <c r="H3" s="100">
        <f>'Daily-Report'!H15</f>
        <v>0</v>
      </c>
      <c r="J3" s="40" t="s">
        <v>9</v>
      </c>
      <c r="K3" s="40" t="s">
        <v>10</v>
      </c>
      <c r="L3" s="44" t="s">
        <v>11</v>
      </c>
    </row>
    <row r="4">
      <c r="A4" s="247" t="str">
        <f>'Daily-Report'!J3</f>
        <v>Tarix 19/01/2024</v>
      </c>
      <c r="B4" s="247"/>
      <c r="J4" s="43"/>
      <c r="K4" s="111"/>
      <c r="L4" s="118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J5" s="43"/>
      <c r="K5" s="111"/>
      <c r="L5" s="118"/>
    </row>
    <row r="6" ht="24" customHeight="1">
      <c r="A6" s="4">
        <v>4</v>
      </c>
      <c r="B6" s="106" t="s">
        <v>40</v>
      </c>
      <c r="C6" s="99">
        <f>D6+E6+F6+G6+H6</f>
        <v>0</v>
      </c>
      <c r="D6" s="100">
        <f>'Daily-Report'!M15</f>
        <v>0</v>
      </c>
      <c r="E6" s="100">
        <f>'Daily-Report'!N15</f>
        <v>0</v>
      </c>
      <c r="F6" s="100">
        <f>'Daily-Report'!O15</f>
        <v>0</v>
      </c>
      <c r="G6" s="100">
        <f>'Daily-Report'!P15</f>
        <v>0</v>
      </c>
      <c r="H6" s="100">
        <f>'Daily-Report'!Q15</f>
        <v>0</v>
      </c>
      <c r="J6" s="43"/>
      <c r="K6" s="111"/>
      <c r="L6" s="118"/>
    </row>
    <row r="7">
      <c r="A7" s="10"/>
      <c r="B7" s="105"/>
      <c r="C7" s="101"/>
      <c r="D7" s="101"/>
      <c r="E7" s="101"/>
      <c r="F7" s="101"/>
      <c r="G7" s="101"/>
      <c r="H7" s="101"/>
      <c r="J7" s="97" t="s">
        <v>14</v>
      </c>
      <c r="L7" s="119">
        <f>SUM(L4:L6)</f>
        <v>0</v>
      </c>
    </row>
    <row r="8">
      <c r="A8" s="108" t="s">
        <v>12</v>
      </c>
      <c r="L8" s="110"/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L9" s="110"/>
    </row>
    <row r="10" ht="25.5">
      <c r="A10" s="4">
        <v>4</v>
      </c>
      <c r="B10" s="106" t="s">
        <v>40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L10" s="110"/>
    </row>
    <row r="11">
      <c r="L11" s="110"/>
    </row>
    <row r="12">
      <c r="L12" s="110"/>
    </row>
    <row r="13">
      <c r="L13" s="110"/>
    </row>
    <row r="14">
      <c r="L14" s="110"/>
    </row>
    <row r="15">
      <c r="L15" s="110"/>
    </row>
    <row r="16">
      <c r="L16" s="110"/>
    </row>
    <row r="17">
      <c r="L17" s="110"/>
    </row>
    <row r="18">
      <c r="L18" s="110"/>
    </row>
    <row r="19">
      <c r="L19" s="110"/>
    </row>
  </sheetData>
  <mergeCells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92D050"/>
  </sheetPr>
  <dimension ref="A1:R13"/>
  <sheetViews>
    <sheetView showGridLines="0" zoomScale="85" zoomScaleNormal="85" workbookViewId="0"/>
  </sheetViews>
  <sheetFormatPr defaultColWidth="9.140625" defaultRowHeight="12.75" outlineLevelCol="1" x14ac:dyDescent="0.25"/>
  <cols>
    <col min="1" max="1" bestFit="1" width="10.7109375" customWidth="1" style="102"/>
    <col min="2" max="2" bestFit="1" width="19.140625" customWidth="1" style="102"/>
    <col min="3" max="3" bestFit="1" width="14.7109375" customWidth="1" style="102"/>
    <col min="4" max="4" width="13.140625" customWidth="1" outlineLevel="1" style="102"/>
    <col min="5" max="5" width="12" customWidth="1" outlineLevel="1" style="102"/>
    <col min="6" max="6" width="11" customWidth="1" outlineLevel="1" style="102"/>
    <col min="7" max="7" width="6.7109375" customWidth="1" outlineLevel="1" style="102"/>
    <col min="8" max="8" width="8.28515625" customWidth="1" outlineLevel="1" style="102"/>
    <col min="9" max="9" width="9.140625" customWidth="1" style="102"/>
    <col min="10" max="10" bestFit="1" width="32" customWidth="1" style="102"/>
    <col min="11" max="11" width="9.140625" customWidth="1" style="111"/>
    <col min="12" max="12" bestFit="1" width="10.85546875" customWidth="1" style="103"/>
    <col min="13" max="14" width="9.140625" customWidth="1" style="102"/>
    <col min="15" max="15" bestFit="1" width="8.85546875" customWidth="1" style="102"/>
    <col min="16" max="16" bestFit="1" width="7.28515625" customWidth="1" style="102"/>
    <col min="17" max="17" bestFit="1" width="8.85546875" customWidth="1" style="103"/>
    <col min="18" max="16384" width="9.140625" customWidth="1" style="102"/>
  </cols>
  <sheetData>
    <row r="1">
      <c r="A1" s="104" t="str">
        <f>'Daily-Report'!A3</f>
        <v>Tarix: 22/01/2024</v>
      </c>
      <c r="J1" s="40" t="s">
        <v>0</v>
      </c>
      <c r="K1" s="41"/>
      <c r="M1" s="103"/>
      <c r="N1" s="103"/>
      <c r="O1" s="103"/>
      <c r="P1" s="103"/>
      <c r="R1" s="103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41"/>
      <c r="M2" s="103"/>
      <c r="N2" s="103"/>
      <c r="O2" s="103"/>
      <c r="P2" s="103"/>
      <c r="R2" s="103"/>
    </row>
    <row r="3" ht="38.25">
      <c r="A3" s="4">
        <v>3</v>
      </c>
      <c r="B3" s="106" t="s">
        <v>94</v>
      </c>
      <c r="C3" s="99">
        <f>D3+E3+F3+G3+H3</f>
        <v>0</v>
      </c>
      <c r="D3" s="100">
        <f>'Daily-Report'!D52</f>
        <v>0</v>
      </c>
      <c r="E3" s="100">
        <f>'Daily-Report'!E52</f>
        <v>0</v>
      </c>
      <c r="F3" s="100">
        <f>'Daily-Report'!F52</f>
        <v>0</v>
      </c>
      <c r="G3" s="100">
        <f>'Daily-Report'!G52</f>
        <v>0</v>
      </c>
      <c r="H3" s="100">
        <f>'Daily-Report'!H52</f>
        <v>0</v>
      </c>
      <c r="J3" s="40" t="s">
        <v>9</v>
      </c>
      <c r="K3" s="40" t="s">
        <v>10</v>
      </c>
      <c r="L3" s="44" t="s">
        <v>11</v>
      </c>
      <c r="M3" s="140"/>
      <c r="N3" s="140"/>
      <c r="O3" s="103"/>
      <c r="P3" s="103"/>
      <c r="R3" s="103"/>
    </row>
    <row r="4" ht="12.75" customHeight="1">
      <c r="A4" s="104" t="str">
        <f>'Daily-Report'!J3</f>
        <v>Tarix 19/01/2024</v>
      </c>
      <c r="M4" s="138"/>
      <c r="N4" s="139"/>
      <c r="O4" s="103"/>
      <c r="P4" s="103"/>
      <c r="R4" s="103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M5" s="138"/>
      <c r="N5" s="139"/>
      <c r="O5" s="103"/>
      <c r="P5" s="103"/>
      <c r="R5" s="103"/>
    </row>
    <row r="6" ht="25.5" customHeight="1">
      <c r="A6" s="4">
        <v>3</v>
      </c>
      <c r="B6" s="106" t="s">
        <v>94</v>
      </c>
      <c r="C6" s="99">
        <f>D6+E6+F6+G6+H6</f>
        <v>0</v>
      </c>
      <c r="D6" s="100">
        <f>'Daily-Report'!M52</f>
        <v>0</v>
      </c>
      <c r="E6" s="100">
        <f>'Daily-Report'!N52</f>
        <v>0</v>
      </c>
      <c r="F6" s="100">
        <f>'Daily-Report'!O52</f>
        <v>0</v>
      </c>
      <c r="G6" s="100">
        <f>'Daily-Report'!P52</f>
        <v>0</v>
      </c>
      <c r="H6" s="100">
        <f>'Daily-Report'!Q52</f>
        <v>0</v>
      </c>
      <c r="M6" s="138"/>
      <c r="N6" s="140"/>
      <c r="O6" s="103"/>
      <c r="P6" s="103"/>
      <c r="R6" s="103"/>
    </row>
    <row r="7">
      <c r="A7" s="10"/>
      <c r="B7" s="105"/>
      <c r="C7" s="101"/>
      <c r="D7" s="101"/>
      <c r="E7" s="101"/>
      <c r="F7" s="101"/>
      <c r="G7" s="101"/>
      <c r="H7" s="101"/>
      <c r="M7" s="103"/>
      <c r="N7" s="139"/>
      <c r="O7" s="103"/>
      <c r="P7" s="103"/>
      <c r="R7" s="103"/>
    </row>
    <row r="8">
      <c r="A8" s="108" t="s">
        <v>12</v>
      </c>
      <c r="J8" s="97" t="s">
        <v>14</v>
      </c>
      <c r="L8" s="109">
        <f>SUM(L4:L6)</f>
        <v>0</v>
      </c>
      <c r="M8" s="103"/>
      <c r="N8" s="139"/>
      <c r="O8" s="103"/>
      <c r="P8" s="103"/>
      <c r="R8" s="103"/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M9" s="103"/>
      <c r="N9" s="103"/>
      <c r="O9" s="103"/>
      <c r="P9" s="103"/>
      <c r="R9" s="103"/>
    </row>
    <row r="10">
      <c r="A10" s="4">
        <v>3</v>
      </c>
      <c r="B10" s="106" t="s">
        <v>94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M10" s="103"/>
      <c r="N10" s="103"/>
      <c r="O10" s="103"/>
      <c r="P10" s="103"/>
      <c r="R10" s="103"/>
    </row>
    <row r="11">
      <c r="N11" s="103"/>
      <c r="O11" s="103"/>
      <c r="P11" s="103"/>
      <c r="R11" s="103"/>
    </row>
    <row r="13">
      <c r="C13" s="103"/>
    </row>
  </sheetData>
  <mergeCells>
    <mergeCell ref="A2:B2"/>
    <mergeCell ref="A5:B5"/>
    <mergeCell ref="A9:B9"/>
  </mergeCells>
  <pageMargins left="0.7" right="0.7" top="0.75" bottom="0.75" header="0.3" footer="0.3"/>
  <pageSetup paperSize="9" orientation="portrait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R13"/>
  <sheetViews>
    <sheetView showGridLines="0" zoomScale="85" zoomScaleNormal="85" workbookViewId="0"/>
  </sheetViews>
  <sheetFormatPr defaultColWidth="9.140625" defaultRowHeight="12.75" outlineLevelCol="1" x14ac:dyDescent="0.25"/>
  <cols>
    <col min="1" max="1" bestFit="1" width="10.7109375" customWidth="1" style="102"/>
    <col min="2" max="2" bestFit="1" width="19.140625" customWidth="1" style="102"/>
    <col min="3" max="3" bestFit="1" width="14.7109375" customWidth="1" style="102"/>
    <col min="4" max="4" width="13.140625" customWidth="1" outlineLevel="1" style="102"/>
    <col min="5" max="5" width="12" customWidth="1" outlineLevel="1" style="102"/>
    <col min="6" max="6" width="11" customWidth="1" outlineLevel="1" style="102"/>
    <col min="7" max="7" width="6.7109375" customWidth="1" outlineLevel="1" style="102"/>
    <col min="8" max="8" width="8.28515625" customWidth="1" outlineLevel="1" style="102"/>
    <col min="9" max="9" width="9.140625" customWidth="1" style="102"/>
    <col min="10" max="10" bestFit="1" width="32" customWidth="1" style="102"/>
    <col min="11" max="11" width="9.140625" customWidth="1" style="111"/>
    <col min="12" max="12" bestFit="1" width="10.85546875" customWidth="1" style="103"/>
    <col min="13" max="14" width="9.140625" customWidth="1" style="102"/>
    <col min="15" max="15" bestFit="1" width="8.85546875" customWidth="1" style="102"/>
    <col min="16" max="16" bestFit="1" width="7.28515625" customWidth="1" style="102"/>
    <col min="17" max="17" bestFit="1" width="8.85546875" customWidth="1" style="103"/>
    <col min="18" max="16384" width="9.140625" customWidth="1" style="102"/>
  </cols>
  <sheetData>
    <row r="1">
      <c r="A1" s="104" t="str">
        <f>'Daily-Report'!A3</f>
        <v>Tarix: 22/01/2024</v>
      </c>
      <c r="J1" s="40" t="s">
        <v>0</v>
      </c>
      <c r="K1" s="41"/>
      <c r="M1" s="103"/>
      <c r="N1" s="103"/>
      <c r="O1" s="103"/>
      <c r="P1" s="103"/>
      <c r="R1" s="103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41"/>
      <c r="M2" s="103"/>
      <c r="N2" s="103"/>
      <c r="O2" s="103"/>
      <c r="P2" s="103"/>
      <c r="R2" s="103"/>
    </row>
    <row r="3" ht="38.25">
      <c r="A3" s="4">
        <v>7</v>
      </c>
      <c r="B3" s="106" t="s">
        <v>98</v>
      </c>
      <c r="C3" s="99">
        <f>D3+E3+F3+G3+H3</f>
        <v>0</v>
      </c>
      <c r="D3" s="100">
        <f>'Daily-Report'!D56</f>
        <v>0</v>
      </c>
      <c r="E3" s="100">
        <f>'Daily-Report'!E56</f>
        <v>0</v>
      </c>
      <c r="F3" s="100">
        <f>'Daily-Report'!F56</f>
        <v>0</v>
      </c>
      <c r="G3" s="100">
        <f>'Daily-Report'!G56</f>
        <v>0</v>
      </c>
      <c r="H3" s="100">
        <f>'Daily-Report'!H56</f>
        <v>0</v>
      </c>
      <c r="J3" s="40" t="s">
        <v>9</v>
      </c>
      <c r="K3" s="40" t="s">
        <v>10</v>
      </c>
      <c r="L3" s="44" t="s">
        <v>11</v>
      </c>
      <c r="M3" s="140"/>
      <c r="N3" s="140"/>
      <c r="O3" s="103"/>
      <c r="P3" s="103"/>
      <c r="R3" s="103"/>
    </row>
    <row r="4">
      <c r="A4" s="104" t="str">
        <f>'Daily-Report'!J3</f>
        <v>Tarix 19/01/2024</v>
      </c>
      <c r="J4" s="107"/>
      <c r="M4" s="138"/>
      <c r="N4" s="139"/>
      <c r="O4" s="103"/>
      <c r="P4" s="103"/>
      <c r="R4" s="103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M5" s="138"/>
      <c r="N5" s="139"/>
      <c r="O5" s="103"/>
      <c r="P5" s="103"/>
      <c r="R5" s="103"/>
    </row>
    <row r="6" ht="25.5" customHeight="1">
      <c r="A6" s="4">
        <v>7</v>
      </c>
      <c r="B6" s="106" t="s">
        <v>98</v>
      </c>
      <c r="C6" s="99">
        <f>D6+E6+F6+G6+H6</f>
        <v>0</v>
      </c>
      <c r="D6" s="100">
        <f>'Daily-Report'!M56</f>
        <v>0</v>
      </c>
      <c r="E6" s="100">
        <f>'Daily-Report'!N56</f>
        <v>0</v>
      </c>
      <c r="F6" s="100">
        <f>'Daily-Report'!O56</f>
        <v>0</v>
      </c>
      <c r="G6" s="100">
        <f>'Daily-Report'!P56</f>
        <v>0</v>
      </c>
      <c r="H6" s="100">
        <f>'Daily-Report'!Q56</f>
        <v>0</v>
      </c>
      <c r="M6" s="138"/>
      <c r="N6" s="140"/>
      <c r="O6" s="103"/>
      <c r="P6" s="103"/>
      <c r="R6" s="103"/>
    </row>
    <row r="7">
      <c r="A7" s="10"/>
      <c r="B7" s="105"/>
      <c r="C7" s="101"/>
      <c r="D7" s="101"/>
      <c r="E7" s="101"/>
      <c r="F7" s="101"/>
      <c r="G7" s="101"/>
      <c r="H7" s="101"/>
      <c r="M7" s="103"/>
      <c r="N7" s="139"/>
      <c r="O7" s="103"/>
      <c r="P7" s="103"/>
      <c r="R7" s="103"/>
    </row>
    <row r="8">
      <c r="A8" s="108" t="s">
        <v>12</v>
      </c>
      <c r="M8" s="103"/>
      <c r="N8" s="139"/>
      <c r="O8" s="103"/>
      <c r="P8" s="103"/>
      <c r="R8" s="103"/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M9" s="103"/>
      <c r="N9" s="103"/>
      <c r="O9" s="103"/>
      <c r="P9" s="103"/>
      <c r="R9" s="103"/>
    </row>
    <row r="10" ht="25.5">
      <c r="A10" s="4">
        <v>7</v>
      </c>
      <c r="B10" s="106" t="s">
        <v>98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M10" s="103"/>
      <c r="N10" s="103"/>
      <c r="O10" s="103"/>
      <c r="P10" s="103"/>
      <c r="R10" s="103"/>
    </row>
    <row r="11">
      <c r="J11" s="97" t="s">
        <v>14</v>
      </c>
      <c r="L11" s="109">
        <f>SUM(L4:L9)</f>
        <v>0</v>
      </c>
      <c r="N11" s="103"/>
      <c r="O11" s="103"/>
      <c r="P11" s="103"/>
      <c r="R11" s="103"/>
    </row>
    <row r="13">
      <c r="C13" s="103"/>
    </row>
    <row r="46" ht="12" customHeight="1"/>
  </sheetData>
  <mergeCells>
    <mergeCell ref="A2:B2"/>
    <mergeCell ref="A5:B5"/>
    <mergeCell ref="A9:B9"/>
  </mergeCells>
  <pageMargins left="0.7" right="0.7" top="0.75" bottom="0.75" header="0.3" footer="0.3"/>
  <pageSetup paperSize="9" orientation="portrait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9"/>
  <sheetViews>
    <sheetView showGridLines="0" zoomScaleNormal="100" workbookViewId="0">
      <selection activeCell="E3" sqref="E3"/>
    </sheetView>
  </sheetViews>
  <sheetFormatPr defaultColWidth="9.140625" defaultRowHeight="12.75" outlineLevelCol="1" x14ac:dyDescent="0.25"/>
  <cols>
    <col min="1" max="1" bestFit="1" width="10.7109375" customWidth="1" style="102"/>
    <col min="2" max="2" width="31" customWidth="1" style="102"/>
    <col min="3" max="3" bestFit="1" width="14.7109375" customWidth="1" style="102"/>
    <col min="4" max="4" width="12" customWidth="1" outlineLevel="1" style="102"/>
    <col min="5" max="5" width="13.140625" customWidth="1" outlineLevel="1" style="102"/>
    <col min="6" max="6" width="13.28515625" customWidth="1" outlineLevel="1" style="102"/>
    <col min="7" max="7" width="7.7109375" customWidth="1" outlineLevel="1" style="102"/>
    <col min="8" max="8" bestFit="1" width="11" customWidth="1" outlineLevel="1" style="102"/>
    <col min="9" max="9" width="9.140625" customWidth="1" style="102"/>
    <col min="10" max="10" width="42.85546875" customWidth="1" style="102"/>
    <col min="11" max="11" bestFit="1" width="8.28515625" customWidth="1" style="102"/>
    <col min="12" max="12" bestFit="1" width="16.7109375" customWidth="1" style="103"/>
    <col min="13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105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105"/>
    </row>
    <row r="3" ht="25.5">
      <c r="A3" s="4">
        <v>4</v>
      </c>
      <c r="B3" s="106" t="s">
        <v>44</v>
      </c>
      <c r="C3" s="99">
        <f>D3+E3+F3+G3+H3</f>
        <v>0</v>
      </c>
      <c r="D3" s="100">
        <f>'Daily-Report'!D17</f>
        <v>0</v>
      </c>
      <c r="E3" s="100">
        <f>'Daily-Report'!E17</f>
        <v>0</v>
      </c>
      <c r="F3" s="100">
        <f>'Daily-Report'!F17</f>
        <v>0</v>
      </c>
      <c r="G3" s="100">
        <f>'Daily-Report'!G17</f>
        <v>0</v>
      </c>
      <c r="H3" s="100">
        <f>'Daily-Report'!H17</f>
        <v>0</v>
      </c>
      <c r="J3" s="40" t="s">
        <v>9</v>
      </c>
      <c r="K3" s="40" t="s">
        <v>10</v>
      </c>
      <c r="L3" s="44" t="s">
        <v>11</v>
      </c>
    </row>
    <row r="4">
      <c r="A4" s="247" t="str">
        <f>'Daily-Report'!J3</f>
        <v>Tarix 19/01/2024</v>
      </c>
      <c r="B4" s="247"/>
      <c r="J4" s="168"/>
      <c r="K4" s="169"/>
      <c r="L4" s="170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K5" s="111"/>
      <c r="L5" s="137"/>
    </row>
    <row r="6" ht="24" customHeight="1">
      <c r="A6" s="4">
        <v>4</v>
      </c>
      <c r="B6" s="106" t="s">
        <v>44</v>
      </c>
      <c r="C6" s="99">
        <f>D6+E6+F6+G6+H6</f>
        <v>0</v>
      </c>
      <c r="D6" s="100">
        <f>'Daily-Report'!M17</f>
        <v>0</v>
      </c>
      <c r="E6" s="100">
        <f>'Daily-Report'!N17</f>
        <v>0</v>
      </c>
      <c r="F6" s="100">
        <f>'Daily-Report'!O17</f>
        <v>0</v>
      </c>
      <c r="G6" s="100">
        <f>'Daily-Report'!P17</f>
        <v>0</v>
      </c>
      <c r="H6" s="100">
        <f>'Daily-Report'!Q17</f>
        <v>0</v>
      </c>
      <c r="K6" s="111"/>
      <c r="L6" s="137"/>
    </row>
    <row r="7">
      <c r="A7" s="10"/>
      <c r="B7" s="105"/>
      <c r="C7" s="101"/>
      <c r="D7" s="101"/>
      <c r="E7" s="101"/>
      <c r="F7" s="101"/>
      <c r="G7" s="101"/>
      <c r="H7" s="101"/>
      <c r="J7" s="97" t="s">
        <v>14</v>
      </c>
      <c r="L7" s="119">
        <f>SUM(L4:L6)</f>
        <v>0</v>
      </c>
    </row>
    <row r="8">
      <c r="A8" s="108" t="s">
        <v>12</v>
      </c>
      <c r="L8" s="110"/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L9" s="110"/>
    </row>
    <row r="10" ht="25.5">
      <c r="A10" s="4">
        <v>4</v>
      </c>
      <c r="B10" s="106" t="s">
        <v>44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L10" s="110"/>
    </row>
    <row r="11">
      <c r="L11" s="110"/>
    </row>
    <row r="12">
      <c r="L12" s="110"/>
    </row>
    <row r="13">
      <c r="L13" s="110"/>
    </row>
    <row r="14">
      <c r="L14" s="110"/>
    </row>
    <row r="15">
      <c r="L15" s="110"/>
    </row>
    <row r="16">
      <c r="L16" s="110"/>
    </row>
    <row r="17">
      <c r="L17" s="110"/>
    </row>
    <row r="18">
      <c r="L18" s="110"/>
    </row>
    <row r="19">
      <c r="L19" s="110"/>
    </row>
  </sheetData>
  <mergeCells>
    <mergeCell ref="A1:B1"/>
    <mergeCell ref="A2:B2"/>
    <mergeCell ref="A4:B4"/>
    <mergeCell ref="A5:B5"/>
    <mergeCell ref="A9:B9"/>
  </mergeCells>
  <pageMargins left="0.7" right="0.7" top="0.75" bottom="0.75" header="0.3" footer="0.3"/>
  <pageSetup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92D050"/>
  </sheetPr>
  <dimension ref="A1:R16"/>
  <sheetViews>
    <sheetView showGridLines="0" zoomScaleNormal="100" workbookViewId="0">
      <selection activeCell="J4" sqref="J4:L4"/>
    </sheetView>
  </sheetViews>
  <sheetFormatPr defaultColWidth="9.140625" defaultRowHeight="12.75" outlineLevelCol="1" x14ac:dyDescent="0.25"/>
  <cols>
    <col min="1" max="1" bestFit="1" width="10.7109375" customWidth="1" style="102"/>
    <col min="2" max="2" bestFit="1" width="19.140625" customWidth="1" style="102"/>
    <col min="3" max="3" bestFit="1" width="14.7109375" customWidth="1" style="102"/>
    <col min="4" max="4" width="13.140625" customWidth="1" outlineLevel="1" style="102"/>
    <col min="5" max="5" width="12" customWidth="1" outlineLevel="1" style="102"/>
    <col min="6" max="6" width="11" customWidth="1" outlineLevel="1" style="102"/>
    <col min="7" max="7" width="6.7109375" customWidth="1" outlineLevel="1" style="102"/>
    <col min="8" max="8" width="11.140625" customWidth="1" outlineLevel="1" style="102"/>
    <col min="9" max="9" width="9.140625" customWidth="1" style="102"/>
    <col min="10" max="10" width="38" customWidth="1" style="102"/>
    <col min="11" max="11" width="11.7109375" customWidth="1" style="111"/>
    <col min="12" max="12" bestFit="1" width="12.7109375" customWidth="1" style="103"/>
    <col min="13" max="14" width="9.140625" customWidth="1" style="102"/>
    <col min="15" max="15" bestFit="1" width="8.85546875" customWidth="1" style="102"/>
    <col min="16" max="16" bestFit="1" width="8.140625" customWidth="1" style="102"/>
    <col min="17" max="17" bestFit="1" width="8.85546875" customWidth="1" style="103"/>
    <col min="18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41"/>
      <c r="M1" s="103"/>
      <c r="N1" s="103"/>
      <c r="O1" s="103"/>
      <c r="P1" s="103"/>
      <c r="R1" s="103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41"/>
      <c r="M2" s="103"/>
      <c r="N2" s="103"/>
      <c r="O2" s="103"/>
      <c r="P2" s="103"/>
      <c r="R2" s="103"/>
    </row>
    <row r="3" ht="25.5">
      <c r="A3" s="4">
        <v>6</v>
      </c>
      <c r="B3" s="106" t="s">
        <v>48</v>
      </c>
      <c r="C3" s="99">
        <f>D3+E3+F3+G3+H3</f>
        <v>0</v>
      </c>
      <c r="D3" s="100">
        <f>'Daily-Report'!D19</f>
        <v>0</v>
      </c>
      <c r="E3" s="100">
        <f>'Daily-Report'!E19</f>
        <v>0</v>
      </c>
      <c r="F3" s="100">
        <f>'Daily-Report'!F19</f>
        <v>0</v>
      </c>
      <c r="G3" s="100">
        <f>'Daily-Report'!G19</f>
        <v>0</v>
      </c>
      <c r="H3" s="100">
        <f>'Daily-Report'!H19</f>
        <v>0</v>
      </c>
      <c r="J3" s="40" t="s">
        <v>9</v>
      </c>
      <c r="K3" s="40" t="s">
        <v>10</v>
      </c>
      <c r="L3" s="44" t="s">
        <v>11</v>
      </c>
      <c r="M3" s="140"/>
      <c r="N3" s="140"/>
      <c r="O3" s="103"/>
      <c r="P3" s="103"/>
      <c r="R3" s="103"/>
    </row>
    <row r="4" ht="12.75" customHeight="1">
      <c r="A4" s="247" t="str">
        <f>'Daily-Report'!J3</f>
        <v>Tarix 19/01/2024</v>
      </c>
      <c r="B4" s="247"/>
      <c r="M4" s="138"/>
      <c r="N4" s="139"/>
      <c r="O4" s="103"/>
      <c r="P4" s="103"/>
      <c r="R4" s="103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M5" s="138"/>
      <c r="N5" s="139"/>
      <c r="O5" s="103"/>
      <c r="P5" s="103"/>
      <c r="R5" s="103"/>
    </row>
    <row r="6" ht="25.5" customHeight="1">
      <c r="A6" s="4">
        <v>6</v>
      </c>
      <c r="B6" s="106" t="s">
        <v>48</v>
      </c>
      <c r="C6" s="99">
        <f>D6+E6+F6+G6+H6</f>
        <v>0</v>
      </c>
      <c r="D6" s="100">
        <f>'Daily-Report'!M19</f>
        <v>0</v>
      </c>
      <c r="E6" s="100">
        <f>'Daily-Report'!N19</f>
        <v>0</v>
      </c>
      <c r="F6" s="100">
        <f>'Daily-Report'!O19</f>
        <v>0</v>
      </c>
      <c r="G6" s="100">
        <f>'Daily-Report'!P19</f>
        <v>0</v>
      </c>
      <c r="H6" s="100">
        <f>'Daily-Report'!Q19</f>
        <v>0</v>
      </c>
      <c r="M6" s="138"/>
      <c r="N6" s="140"/>
      <c r="O6" s="103"/>
      <c r="P6" s="103"/>
      <c r="R6" s="103"/>
    </row>
    <row r="7">
      <c r="A7" s="10"/>
      <c r="B7" s="105"/>
      <c r="C7" s="101"/>
      <c r="D7" s="101"/>
      <c r="E7" s="101"/>
      <c r="F7" s="101"/>
      <c r="G7" s="101"/>
      <c r="H7" s="101"/>
      <c r="M7" s="138"/>
      <c r="N7" s="139"/>
      <c r="O7" s="103"/>
      <c r="P7" s="103"/>
      <c r="R7" s="103"/>
    </row>
    <row r="8">
      <c r="A8" s="108" t="s">
        <v>12</v>
      </c>
      <c r="M8" s="138"/>
      <c r="N8" s="139"/>
      <c r="O8" s="103"/>
      <c r="P8" s="103"/>
      <c r="R8" s="103"/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M9" s="138"/>
      <c r="N9" s="103"/>
      <c r="O9" s="103"/>
      <c r="P9" s="103"/>
      <c r="R9" s="103"/>
    </row>
    <row r="10" ht="25.5">
      <c r="A10" s="4">
        <v>6</v>
      </c>
      <c r="B10" s="106" t="s">
        <v>48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M10" s="138"/>
      <c r="N10" s="103"/>
      <c r="O10" s="103"/>
      <c r="P10" s="103"/>
      <c r="R10" s="103"/>
    </row>
    <row r="11">
      <c r="A11" s="10"/>
      <c r="B11" s="105"/>
      <c r="C11" s="197"/>
      <c r="D11" s="101"/>
      <c r="E11" s="101"/>
      <c r="F11" s="101"/>
      <c r="G11" s="101"/>
      <c r="H11" s="101"/>
      <c r="M11" s="138"/>
      <c r="N11" s="103"/>
      <c r="O11" s="103"/>
      <c r="P11" s="103"/>
      <c r="R11" s="103"/>
    </row>
    <row r="12">
      <c r="A12" s="10"/>
      <c r="B12" s="105"/>
      <c r="C12" s="197"/>
      <c r="D12" s="101"/>
      <c r="E12" s="101"/>
      <c r="F12" s="101"/>
      <c r="G12" s="101"/>
      <c r="H12" s="101"/>
      <c r="M12" s="138"/>
      <c r="N12" s="103"/>
      <c r="O12" s="103"/>
      <c r="P12" s="103"/>
      <c r="R12" s="103"/>
    </row>
    <row r="13">
      <c r="J13" s="102" t="s">
        <v>13</v>
      </c>
      <c r="K13" s="111" t="s">
        <v>148</v>
      </c>
      <c r="M13" s="138"/>
      <c r="N13" s="103"/>
      <c r="O13" s="103"/>
      <c r="P13" s="103"/>
      <c r="R13" s="103"/>
    </row>
    <row r="14">
      <c r="M14" s="103"/>
    </row>
    <row r="15">
      <c r="C15" s="103"/>
      <c r="J15" s="97" t="s">
        <v>14</v>
      </c>
      <c r="L15" s="109">
        <f>SUM($L$4:L14)</f>
        <v>0</v>
      </c>
      <c r="M15" s="103"/>
    </row>
    <row r="16">
      <c r="M16" s="103"/>
    </row>
  </sheetData>
  <sortState ref="J8:L10">
    <sortCondition descending="1" ref="L8:L10"/>
  </sortState>
  <mergeCells>
    <mergeCell ref="A2:B2"/>
    <mergeCell ref="A5:B5"/>
    <mergeCell ref="A9:B9"/>
    <mergeCell ref="A1:B1"/>
    <mergeCell ref="A4:B4"/>
  </mergeCells>
  <pageMargins left="0.7" right="0.7" top="0.75" bottom="0.75" header="0.3" footer="0.3"/>
  <pageSetup paperSize="9" orientation="portrait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>
    <tabColor rgb="FF92D050"/>
  </sheetPr>
  <dimension ref="1:14"/>
  <sheetViews>
    <sheetView showGridLines="0" zoomScaleNormal="100" workbookViewId="0">
      <selection activeCell="K4" sqref="K4"/>
    </sheetView>
  </sheetViews>
  <sheetFormatPr defaultColWidth="9.140625" defaultRowHeight="12.75" outlineLevelCol="1" x14ac:dyDescent="0.25"/>
  <cols>
    <col min="1" max="1" bestFit="1" width="10.7109375" customWidth="1" style="102"/>
    <col min="2" max="2" bestFit="1" width="19.140625" customWidth="1" style="102"/>
    <col min="3" max="3" bestFit="1" width="14.7109375" customWidth="1" style="102"/>
    <col min="4" max="4" width="13.140625" customWidth="1" outlineLevel="1" style="102"/>
    <col min="5" max="5" width="12" customWidth="1" outlineLevel="1" style="102"/>
    <col min="6" max="6" width="11" customWidth="1" outlineLevel="1" style="102"/>
    <col min="7" max="7" width="6.7109375" customWidth="1" outlineLevel="1" style="102"/>
    <col min="8" max="8" width="11.140625" customWidth="1" outlineLevel="1" style="102"/>
    <col min="9" max="9" width="9.140625" customWidth="1" style="102"/>
    <col min="10" max="10" bestFit="1" width="32" customWidth="1" style="102"/>
    <col min="11" max="11" bestFit="1" width="19.42578125" customWidth="1" style="102"/>
    <col min="12" max="12" width="11.7109375" customWidth="1" style="111"/>
    <col min="13" max="13" bestFit="1" width="12.7109375" customWidth="1" style="103"/>
    <col min="14" max="15" width="9.140625" customWidth="1" style="102"/>
    <col min="16" max="16" bestFit="1" width="5.7109375" customWidth="1" style="102"/>
    <col min="17" max="17" bestFit="1" width="8.140625" customWidth="1" style="102"/>
    <col min="18" max="18" bestFit="1" width="8.85546875" customWidth="1" style="103"/>
    <col min="19" max="16383" width="9.140625" customWidth="1" style="102"/>
    <col min="16384" max="16384" hidden="1" width="0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40"/>
      <c r="L1" s="41"/>
      <c r="N1" s="103"/>
      <c r="O1" s="103"/>
      <c r="P1" s="103"/>
      <c r="Q1" s="103"/>
      <c r="S1" s="103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10"/>
      <c r="L2" s="41"/>
      <c r="N2" s="103"/>
      <c r="O2" s="103"/>
      <c r="P2" s="103"/>
      <c r="Q2" s="103"/>
      <c r="S2" s="103"/>
    </row>
    <row r="3" ht="25.5">
      <c r="A3" s="4">
        <v>6</v>
      </c>
      <c r="B3" s="158" t="s">
        <v>51</v>
      </c>
      <c r="C3" s="99">
        <f>D3+E3+F3+G3+H3</f>
        <v>0</v>
      </c>
      <c r="D3" s="100">
        <f>'Daily-Report'!D20</f>
        <v>0</v>
      </c>
      <c r="E3" s="100">
        <f>'Daily-Report'!E20</f>
        <v>0</v>
      </c>
      <c r="F3" s="100">
        <f>'Daily-Report'!F20</f>
        <v>0</v>
      </c>
      <c r="G3" s="100">
        <f>'Daily-Report'!G20</f>
        <v>0</v>
      </c>
      <c r="H3" s="100">
        <f>'Daily-Report'!H20</f>
        <v>0</v>
      </c>
      <c r="J3" s="40" t="s">
        <v>9</v>
      </c>
      <c r="K3" s="40" t="s">
        <v>149</v>
      </c>
      <c r="L3" s="40" t="s">
        <v>10</v>
      </c>
      <c r="M3" s="44" t="s">
        <v>11</v>
      </c>
      <c r="O3" s="140"/>
      <c r="P3" s="103"/>
      <c r="Q3" s="103"/>
      <c r="S3" s="103"/>
    </row>
    <row r="4" ht="12.75" customHeight="1">
      <c r="A4" s="247" t="str">
        <f>'Daily-Report'!J3</f>
        <v>Tarix 19/01/2024</v>
      </c>
      <c r="B4" s="247"/>
      <c r="N4" s="138"/>
      <c r="O4" s="139"/>
      <c r="Q4" s="103"/>
      <c r="S4" s="103"/>
      <c r="XFD4" s="184">
        <v>0.01</v>
      </c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N5" s="138"/>
      <c r="O5" s="139"/>
      <c r="Q5" s="103"/>
      <c r="S5" s="103"/>
      <c r="XFD5" s="184">
        <v>0.02</v>
      </c>
    </row>
    <row r="6" ht="25.5" customHeight="1">
      <c r="A6" s="4">
        <v>6</v>
      </c>
      <c r="B6" s="158" t="s">
        <v>51</v>
      </c>
      <c r="C6" s="99">
        <f>D6+E6+F6+G6+H6</f>
        <v>0</v>
      </c>
      <c r="D6" s="100">
        <f>'Daily-Report'!M20</f>
        <v>0</v>
      </c>
      <c r="E6" s="100">
        <f>'Daily-Report'!N20</f>
        <v>0</v>
      </c>
      <c r="F6" s="100">
        <f>'Daily-Report'!O20</f>
        <v>0</v>
      </c>
      <c r="G6" s="100">
        <f>'Daily-Report'!P20</f>
        <v>0</v>
      </c>
      <c r="H6" s="100">
        <f>'Daily-Report'!Q20</f>
        <v>0</v>
      </c>
      <c r="N6" s="138"/>
      <c r="O6" s="140"/>
      <c r="Q6" s="103"/>
      <c r="S6" s="103"/>
      <c r="XFD6" s="184">
        <v>0.03</v>
      </c>
    </row>
    <row r="7">
      <c r="A7" s="10"/>
      <c r="B7" s="105"/>
      <c r="C7" s="101"/>
      <c r="D7" s="101"/>
      <c r="E7" s="101"/>
      <c r="F7" s="101"/>
      <c r="G7" s="101"/>
      <c r="H7" s="101"/>
      <c r="N7" s="138"/>
      <c r="O7" s="139"/>
      <c r="Q7" s="103"/>
      <c r="S7" s="103"/>
      <c r="XFD7" s="184">
        <v>0.05</v>
      </c>
    </row>
    <row r="8">
      <c r="A8" s="108" t="s">
        <v>12</v>
      </c>
      <c r="N8" s="138"/>
      <c r="O8" s="139"/>
      <c r="Q8" s="103"/>
      <c r="S8" s="103"/>
      <c r="XFD8" s="184">
        <v>0.1</v>
      </c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N9" s="138"/>
      <c r="O9" s="103"/>
      <c r="Q9" s="103"/>
      <c r="S9" s="103"/>
      <c r="XFD9" s="184">
        <v>0.25</v>
      </c>
    </row>
    <row r="10" ht="25.5">
      <c r="A10" s="4">
        <v>6</v>
      </c>
      <c r="B10" s="158" t="s">
        <v>51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J10" s="102" t="s">
        <v>13</v>
      </c>
      <c r="L10" s="111" t="s">
        <v>148</v>
      </c>
      <c r="N10" s="138"/>
      <c r="O10" s="103"/>
      <c r="Q10" s="103"/>
      <c r="S10" s="103"/>
      <c r="XFD10" s="184">
        <v>0.5</v>
      </c>
    </row>
    <row r="11">
      <c r="J11" s="97" t="s">
        <v>14</v>
      </c>
      <c r="K11" s="97"/>
      <c r="M11" s="109">
        <f>SUM($M$4:M10)</f>
        <v>0</v>
      </c>
      <c r="N11" s="138"/>
      <c r="O11" s="103"/>
      <c r="Q11" s="103"/>
      <c r="S11" s="103"/>
      <c r="XFD11" s="184">
        <v>1</v>
      </c>
    </row>
    <row r="12">
      <c r="N12" s="103"/>
    </row>
    <row r="13">
      <c r="C13" s="103"/>
      <c r="N13" s="103"/>
    </row>
    <row r="14">
      <c r="N14" s="103"/>
    </row>
  </sheetData>
  <mergeCells>
    <mergeCell ref="A1:B1"/>
    <mergeCell ref="A2:B2"/>
    <mergeCell ref="A4:B4"/>
    <mergeCell ref="A5:B5"/>
    <mergeCell ref="A9:B9"/>
  </mergeCells>
  <dataValidations count="1">
    <dataValidation type="list" allowBlank="1" showInputMessage="1" showErrorMessage="1" sqref="K4:K9" xr:uid="{EFC72D84-8B47-4723-90CA-A1BB95442F87}">
      <formula1>$XFD$4:$XFD$11</formula1>
    </dataValidation>
  </dataValidations>
  <pageMargins left="0.7" right="0.7" top="0.75" bottom="0.75" header="0.3" footer="0.3"/>
  <pageSetup paperSize="9" orientation="portrait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>
    <tabColor rgb="FFFF0000"/>
  </sheetPr>
  <dimension ref="A1:R16"/>
  <sheetViews>
    <sheetView showGridLines="0" zoomScale="85" zoomScaleNormal="85" workbookViewId="0">
      <selection activeCell="J5" sqref="J5"/>
    </sheetView>
  </sheetViews>
  <sheetFormatPr defaultColWidth="9.140625" defaultRowHeight="12.75" outlineLevelCol="1" x14ac:dyDescent="0.25"/>
  <cols>
    <col min="1" max="1" bestFit="1" width="10.7109375" customWidth="1" style="102"/>
    <col min="2" max="2" bestFit="1" width="19.140625" customWidth="1" style="102"/>
    <col min="3" max="3" bestFit="1" width="14.7109375" customWidth="1" style="102"/>
    <col min="4" max="4" width="13.140625" customWidth="1" outlineLevel="1" style="102"/>
    <col min="5" max="5" width="12" customWidth="1" outlineLevel="1" style="102"/>
    <col min="6" max="6" bestFit="1" width="12.140625" customWidth="1" outlineLevel="1" style="102"/>
    <col min="7" max="8" bestFit="1" width="11" customWidth="1" outlineLevel="1" style="102"/>
    <col min="9" max="9" width="9.140625" customWidth="1" style="102"/>
    <col min="10" max="10" bestFit="1" width="32" customWidth="1" style="102"/>
    <col min="11" max="11" width="32" customWidth="1" style="102"/>
    <col min="12" max="12" bestFit="1" width="9.5703125" customWidth="1" style="111"/>
    <col min="13" max="13" bestFit="1" width="12.7109375" customWidth="1" style="103"/>
    <col min="14" max="15" width="9.140625" customWidth="1" style="102"/>
    <col min="16" max="16" bestFit="1" width="8.85546875" customWidth="1" style="102"/>
    <col min="17" max="17" bestFit="1" width="8.85546875" customWidth="1" style="103"/>
    <col min="18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40"/>
      <c r="L1" s="41"/>
      <c r="N1" s="103"/>
      <c r="O1" s="103"/>
      <c r="P1" s="103"/>
      <c r="R1" s="103"/>
    </row>
    <row r="2">
      <c r="A2" s="244" t="s">
        <v>1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0"/>
      <c r="K2" s="10"/>
      <c r="L2" s="41"/>
      <c r="N2" s="103"/>
      <c r="O2" s="103"/>
      <c r="P2" s="103"/>
      <c r="R2" s="103"/>
    </row>
    <row r="3" ht="25.5">
      <c r="A3" s="4">
        <v>2</v>
      </c>
      <c r="B3" s="106" t="s">
        <v>150</v>
      </c>
      <c r="C3" s="99">
        <f>D3+E3+F3+G3+H3</f>
        <v>0</v>
      </c>
      <c r="D3" s="100">
        <f>'Daily-Report'!D57</f>
        <v>0</v>
      </c>
      <c r="E3" s="100">
        <f>'Daily-Report'!E57</f>
        <v>0</v>
      </c>
      <c r="F3" s="100">
        <f>'Daily-Report'!F57</f>
        <v>0</v>
      </c>
      <c r="G3" s="100">
        <f>'Daily-Report'!G57</f>
        <v>0</v>
      </c>
      <c r="H3" s="100">
        <f>'Daily-Report'!H57</f>
        <v>0</v>
      </c>
      <c r="J3" s="40" t="s">
        <v>9</v>
      </c>
      <c r="K3" s="40" t="s">
        <v>151</v>
      </c>
      <c r="L3" s="40" t="s">
        <v>10</v>
      </c>
      <c r="M3" s="44" t="s">
        <v>11</v>
      </c>
      <c r="N3" s="140"/>
      <c r="O3" s="140"/>
      <c r="P3" s="103"/>
      <c r="R3" s="103"/>
    </row>
    <row r="4" ht="12.75" customHeight="1">
      <c r="A4" s="247" t="str">
        <f>'Daily-Report'!J3</f>
        <v>Tarix 19/01/2024</v>
      </c>
      <c r="B4" s="247"/>
      <c r="J4" s="173"/>
      <c r="K4" s="173"/>
      <c r="N4" s="138"/>
      <c r="O4" s="139"/>
      <c r="P4" s="103"/>
      <c r="R4" s="103"/>
    </row>
    <row r="5">
      <c r="A5" s="244" t="s">
        <v>1</v>
      </c>
      <c r="B5" s="245"/>
      <c r="C5" s="98" t="s">
        <v>2</v>
      </c>
      <c r="D5" s="98" t="s">
        <v>3</v>
      </c>
      <c r="E5" s="98" t="s">
        <v>4</v>
      </c>
      <c r="F5" s="98" t="s">
        <v>5</v>
      </c>
      <c r="G5" s="98" t="s">
        <v>6</v>
      </c>
      <c r="H5" s="98" t="s">
        <v>7</v>
      </c>
      <c r="J5" s="173"/>
      <c r="K5" s="173"/>
      <c r="N5" s="138"/>
      <c r="O5" s="139"/>
      <c r="P5" s="103"/>
      <c r="R5" s="103"/>
    </row>
    <row r="6" ht="25.5" customHeight="1">
      <c r="A6" s="4">
        <v>2</v>
      </c>
      <c r="B6" s="106" t="s">
        <v>150</v>
      </c>
      <c r="C6" s="99">
        <f>D6+E6+F6+G6+H6</f>
        <v>0</v>
      </c>
      <c r="D6" s="100">
        <f>'Daily-Report'!M57</f>
        <v>0</v>
      </c>
      <c r="E6" s="100">
        <f>'Daily-Report'!N57</f>
        <v>0</v>
      </c>
      <c r="F6" s="100">
        <f>'Daily-Report'!O57</f>
        <v>0</v>
      </c>
      <c r="G6" s="100">
        <f>'Daily-Report'!P57</f>
        <v>0</v>
      </c>
      <c r="H6" s="100">
        <f>'Daily-Report'!Q57</f>
        <v>0</v>
      </c>
      <c r="J6" s="173"/>
      <c r="N6" s="138"/>
      <c r="O6" s="140"/>
      <c r="P6" s="103"/>
      <c r="R6" s="103"/>
    </row>
    <row r="7">
      <c r="A7" s="10"/>
      <c r="B7" s="105"/>
      <c r="C7" s="101"/>
      <c r="D7" s="101"/>
      <c r="E7" s="101"/>
      <c r="F7" s="101"/>
      <c r="G7" s="101"/>
      <c r="H7" s="101"/>
      <c r="J7" s="173"/>
      <c r="N7" s="103"/>
      <c r="O7" s="139"/>
      <c r="P7" s="103"/>
      <c r="R7" s="103"/>
    </row>
    <row r="8">
      <c r="A8" s="108" t="s">
        <v>12</v>
      </c>
      <c r="J8" s="173"/>
      <c r="N8" s="103"/>
      <c r="O8" s="139"/>
      <c r="P8" s="103"/>
      <c r="R8" s="103"/>
    </row>
    <row r="9">
      <c r="A9" s="244" t="s">
        <v>1</v>
      </c>
      <c r="B9" s="245"/>
      <c r="C9" s="98" t="s">
        <v>2</v>
      </c>
      <c r="D9" s="98" t="s">
        <v>3</v>
      </c>
      <c r="E9" s="98" t="s">
        <v>4</v>
      </c>
      <c r="F9" s="98" t="s">
        <v>5</v>
      </c>
      <c r="G9" s="98" t="s">
        <v>6</v>
      </c>
      <c r="H9" s="98" t="s">
        <v>7</v>
      </c>
      <c r="J9" s="173"/>
      <c r="M9" s="149"/>
      <c r="N9" s="103"/>
      <c r="O9" s="103"/>
      <c r="P9" s="103"/>
      <c r="R9" s="103"/>
    </row>
    <row r="10" ht="25.5">
      <c r="A10" s="4">
        <v>2</v>
      </c>
      <c r="B10" s="106" t="s">
        <v>150</v>
      </c>
      <c r="C10" s="99">
        <f>D10+E10+F10+G10+H10</f>
        <v>0</v>
      </c>
      <c r="D10" s="100">
        <f>D3-D6</f>
        <v>0</v>
      </c>
      <c r="E10" s="100">
        <f>E3-E6</f>
        <v>0</v>
      </c>
      <c r="F10" s="100">
        <f>F3-F6</f>
        <v>0</v>
      </c>
      <c r="G10" s="100">
        <f>G3-G6</f>
        <v>0</v>
      </c>
      <c r="H10" s="100">
        <f>H3-H6</f>
        <v>0</v>
      </c>
      <c r="N10" s="103"/>
      <c r="O10" s="103"/>
      <c r="P10" s="103"/>
      <c r="R10" s="103"/>
    </row>
    <row r="11">
      <c r="O11" s="103"/>
      <c r="P11" s="103"/>
      <c r="R11" s="103"/>
    </row>
    <row r="12">
      <c r="M12" s="111"/>
    </row>
    <row r="13">
      <c r="C13" s="103"/>
    </row>
    <row r="16">
      <c r="J16" s="97" t="s">
        <v>14</v>
      </c>
      <c r="K16" s="97"/>
      <c r="M16" s="109">
        <f>SUM(M4:M15)</f>
        <v>0</v>
      </c>
    </row>
  </sheetData>
  <mergeCells>
    <mergeCell ref="A1:B1"/>
    <mergeCell ref="A2:B2"/>
    <mergeCell ref="A4:B4"/>
    <mergeCell ref="A5:B5"/>
    <mergeCell ref="A9:B9"/>
  </mergeCells>
  <pageMargins left="0.7" right="0.7" top="0.75" bottom="0.75" header="0.3" footer="0.3"/>
  <pageSetup paperSize="9" orientation="portrait"/>
  <headerFooter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E00F1F-DF67-4A41-B77F-FE040068C465}">
          <x14:formula1>
            <xm:f>Daily!$B$50:$B$56</xm:f>
          </x14:formula1>
          <xm:sqref>K4:K15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</sheetPr>
  <dimension ref="A1:AV126"/>
  <sheetViews>
    <sheetView showGridLines="0" topLeftCell="A7" zoomScale="90" zoomScaleNormal="90" workbookViewId="0">
      <selection activeCell="J15" sqref="J15:L15"/>
    </sheetView>
  </sheetViews>
  <sheetFormatPr defaultColWidth="9.7109375" defaultRowHeight="12.75" outlineLevelCol="1" x14ac:dyDescent="0.25"/>
  <cols>
    <col min="1" max="1" bestFit="1" width="10.7109375" customWidth="1" style="102"/>
    <col min="2" max="2" bestFit="1" width="8.7109375" customWidth="1" style="102"/>
    <col min="3" max="3" bestFit="1" width="14.7109375" customWidth="1" style="102"/>
    <col min="4" max="4" bestFit="1" width="13.85546875" customWidth="1" outlineLevel="1" style="102"/>
    <col min="5" max="6" width="13.140625" customWidth="1" outlineLevel="1" style="102"/>
    <col min="7" max="7" width="12.28515625" customWidth="1" outlineLevel="1" style="102"/>
    <col min="8" max="8" width="12" customWidth="1" outlineLevel="1" style="102"/>
    <col min="9" max="9" width="5.7109375" customWidth="1" style="102"/>
    <col min="10" max="10" bestFit="1" width="69.28515625" customWidth="1" style="102"/>
    <col min="11" max="11" bestFit="1" width="11.140625" customWidth="1" style="102"/>
    <col min="12" max="12" width="9" customWidth="1" style="111"/>
    <col min="13" max="13" width="14.85546875" customWidth="1" style="161"/>
    <col min="14" max="14" width="3" customWidth="1" style="102"/>
    <col min="15" max="15" bestFit="1" width="32" customWidth="1" style="102"/>
    <col min="16" max="16" bestFit="1" width="11.140625" customWidth="1" style="102"/>
    <col min="17" max="17" bestFit="1" width="9" customWidth="1" style="102"/>
    <col min="18" max="18" bestFit="1" width="12.7109375" customWidth="1" style="102"/>
    <col min="19" max="19" width="2.85546875" customWidth="1" style="102"/>
    <col min="20" max="20" bestFit="1" width="32" customWidth="1" style="102"/>
    <col min="21" max="21" bestFit="1" width="11.140625" customWidth="1" style="102"/>
    <col min="22" max="22" bestFit="1" width="7.28515625" customWidth="1" style="111"/>
    <col min="23" max="23" bestFit="1" width="12.7109375" customWidth="1" style="102"/>
    <col min="24" max="24" width="3.140625" customWidth="1" style="102"/>
    <col min="25" max="25" bestFit="1" width="32" customWidth="1" style="102"/>
    <col min="26" max="26" bestFit="1" width="11.140625" customWidth="1" style="102"/>
    <col min="27" max="27" bestFit="1" width="7.28515625" customWidth="1" style="102"/>
    <col min="28" max="28" bestFit="1" width="12.7109375" customWidth="1" style="102"/>
    <col min="29" max="16384" width="9.7109375" customWidth="1" style="102"/>
  </cols>
  <sheetData>
    <row r="1" ht="13.5">
      <c r="A1" s="246" t="str">
        <f>'Daily-Report'!A3</f>
        <v>Tarix: 22/01/2024</v>
      </c>
      <c r="B1" s="246"/>
      <c r="J1" s="249" t="s">
        <v>152</v>
      </c>
      <c r="K1" s="250"/>
      <c r="L1" s="250"/>
      <c r="M1" s="250"/>
      <c r="N1" s="251"/>
      <c r="O1" s="250"/>
      <c r="P1" s="250"/>
      <c r="Q1" s="250"/>
      <c r="R1" s="252"/>
      <c r="T1" s="249" t="s">
        <v>153</v>
      </c>
      <c r="U1" s="250"/>
      <c r="V1" s="250"/>
      <c r="W1" s="250"/>
      <c r="X1" s="251"/>
      <c r="Y1" s="250"/>
      <c r="Z1" s="250"/>
      <c r="AA1" s="250"/>
      <c r="AB1" s="252"/>
    </row>
    <row r="2">
      <c r="A2" s="244" t="s">
        <v>154</v>
      </c>
      <c r="B2" s="245"/>
      <c r="C2" s="98" t="s">
        <v>2</v>
      </c>
      <c r="D2" s="98" t="s">
        <v>3</v>
      </c>
      <c r="E2" s="98" t="s">
        <v>4</v>
      </c>
      <c r="F2" s="98" t="s">
        <v>5</v>
      </c>
      <c r="G2" s="98" t="s">
        <v>6</v>
      </c>
      <c r="H2" s="98" t="s">
        <v>7</v>
      </c>
      <c r="J2" s="124" t="s">
        <v>155</v>
      </c>
      <c r="K2" s="125" t="s">
        <v>156</v>
      </c>
      <c r="L2" s="125" t="s">
        <v>157</v>
      </c>
      <c r="M2" s="126" t="s">
        <v>158</v>
      </c>
      <c r="O2" s="127" t="s">
        <v>159</v>
      </c>
      <c r="P2" s="125" t="s">
        <v>156</v>
      </c>
      <c r="Q2" s="125" t="s">
        <v>157</v>
      </c>
      <c r="R2" s="126" t="s">
        <v>158</v>
      </c>
      <c r="T2" s="124" t="s">
        <v>160</v>
      </c>
      <c r="U2" s="125" t="s">
        <v>156</v>
      </c>
      <c r="V2" s="125" t="s">
        <v>157</v>
      </c>
      <c r="W2" s="126" t="s">
        <v>158</v>
      </c>
      <c r="Y2" s="127" t="s">
        <v>161</v>
      </c>
      <c r="Z2" s="125" t="s">
        <v>156</v>
      </c>
      <c r="AA2" s="125" t="s">
        <v>157</v>
      </c>
      <c r="AB2" s="126" t="s">
        <v>158</v>
      </c>
    </row>
    <row r="3" ht="25.5">
      <c r="A3" s="4" t="s">
        <v>65</v>
      </c>
      <c r="B3" s="106" t="s">
        <v>66</v>
      </c>
      <c r="C3" s="99">
        <f>D3+E3+F3+G3+H3</f>
        <v>0</v>
      </c>
      <c r="D3" s="100">
        <f>'Daily-Report'!D31</f>
        <v>0</v>
      </c>
      <c r="E3" s="100">
        <f>'Daily-Report'!E31</f>
        <v>0</v>
      </c>
      <c r="F3" s="100">
        <f>'Daily-Report'!F31</f>
        <v>0</v>
      </c>
      <c r="G3" s="100">
        <f>'Daily-Report'!G31</f>
        <v>0</v>
      </c>
      <c r="H3" s="100">
        <f>'Daily-Report'!H31</f>
        <v>0</v>
      </c>
      <c r="J3" s="162"/>
      <c r="L3" s="186"/>
      <c r="M3" s="111"/>
      <c r="N3" s="111"/>
      <c r="O3" s="162"/>
      <c r="Q3" s="186"/>
      <c r="R3" s="163"/>
      <c r="T3" s="162"/>
      <c r="U3" s="165"/>
      <c r="V3" s="161"/>
      <c r="W3" s="163"/>
      <c r="Z3" s="165"/>
      <c r="AA3" s="161"/>
      <c r="AB3" s="163"/>
    </row>
    <row r="4" ht="25.5">
      <c r="A4" s="4" t="s">
        <v>68</v>
      </c>
      <c r="B4" s="106" t="s">
        <v>69</v>
      </c>
      <c r="C4" s="99">
        <f>D4+E4+F4+G4+H4</f>
        <v>0</v>
      </c>
      <c r="D4" s="100">
        <f>'Daily-Report'!D32</f>
        <v>0</v>
      </c>
      <c r="E4" s="100">
        <f>'Daily-Report'!E32</f>
        <v>0</v>
      </c>
      <c r="F4" s="100">
        <f>'Daily-Report'!F32</f>
        <v>0</v>
      </c>
      <c r="G4" s="100">
        <f>'Daily-Report'!G32</f>
        <v>0</v>
      </c>
      <c r="H4" s="100">
        <f>'Daily-Report'!H32</f>
        <v>0</v>
      </c>
      <c r="J4" s="162"/>
      <c r="L4" s="186"/>
      <c r="M4" s="121"/>
      <c r="N4" s="111"/>
      <c r="Q4" s="111"/>
      <c r="R4" s="161"/>
      <c r="T4" s="162"/>
      <c r="W4" s="103"/>
      <c r="AA4" s="161"/>
      <c r="AB4" s="163"/>
    </row>
    <row r="5" ht="25.5">
      <c r="A5" s="4" t="s">
        <v>71</v>
      </c>
      <c r="B5" s="106" t="s">
        <v>66</v>
      </c>
      <c r="C5" s="99">
        <f>D5+E5+F5+G5+H5</f>
        <v>0</v>
      </c>
      <c r="D5" s="100">
        <f>'Daily-Report'!D34</f>
        <v>0</v>
      </c>
      <c r="E5" s="100">
        <f>'Daily-Report'!E34</f>
        <v>0</v>
      </c>
      <c r="F5" s="100">
        <f>'Daily-Report'!F34</f>
        <v>0</v>
      </c>
      <c r="G5" s="100">
        <f>'Daily-Report'!G34</f>
        <v>0</v>
      </c>
      <c r="H5" s="100">
        <f>'Daily-Report'!H34</f>
        <v>0</v>
      </c>
      <c r="J5" s="162"/>
      <c r="M5" s="118"/>
      <c r="N5" s="111"/>
      <c r="O5" s="162"/>
      <c r="Q5" s="186"/>
      <c r="R5" s="163"/>
      <c r="T5" s="162"/>
      <c r="W5" s="103"/>
      <c r="AA5" s="111"/>
      <c r="AB5" s="163"/>
    </row>
    <row r="6" ht="23.25" customHeight="1">
      <c r="A6" s="4" t="s">
        <v>72</v>
      </c>
      <c r="B6" s="106" t="s">
        <v>69</v>
      </c>
      <c r="C6" s="99">
        <f>D6+E6+F6+G6+H6</f>
        <v>0</v>
      </c>
      <c r="D6" s="100">
        <f>'Daily-Report'!D35</f>
        <v>0</v>
      </c>
      <c r="E6" s="100">
        <f>'Daily-Report'!E35</f>
        <v>0</v>
      </c>
      <c r="F6" s="100">
        <f>'Daily-Report'!F35</f>
        <v>0</v>
      </c>
      <c r="G6" s="100">
        <f>'Daily-Report'!G35</f>
        <v>0</v>
      </c>
      <c r="H6" s="100">
        <f>'Daily-Report'!H35</f>
        <v>0</v>
      </c>
      <c r="J6" s="162"/>
      <c r="M6" s="118"/>
      <c r="N6" s="111"/>
      <c r="O6" s="162"/>
      <c r="Q6" s="111"/>
      <c r="R6" s="163"/>
      <c r="T6" s="162"/>
      <c r="W6" s="103"/>
      <c r="AA6" s="111"/>
      <c r="AB6" s="163"/>
    </row>
    <row r="7" ht="18.75" customHeight="1">
      <c r="A7" s="247" t="str">
        <f>'Daily-Report'!J3</f>
        <v>Tarix 19/01/2024</v>
      </c>
      <c r="B7" s="247"/>
      <c r="J7" s="162"/>
      <c r="M7" s="118"/>
      <c r="N7" s="111"/>
      <c r="O7" s="162" t="s">
        <v>162</v>
      </c>
      <c r="Q7" s="161"/>
      <c r="R7" s="163"/>
      <c r="T7" s="162"/>
      <c r="W7" s="103"/>
      <c r="AB7" s="163"/>
    </row>
    <row r="8">
      <c r="A8" s="244" t="s">
        <v>154</v>
      </c>
      <c r="B8" s="245"/>
      <c r="C8" s="98" t="s">
        <v>2</v>
      </c>
      <c r="D8" s="98" t="s">
        <v>3</v>
      </c>
      <c r="E8" s="98" t="s">
        <v>4</v>
      </c>
      <c r="F8" s="98" t="s">
        <v>5</v>
      </c>
      <c r="G8" s="98" t="s">
        <v>6</v>
      </c>
      <c r="H8" s="98" t="s">
        <v>7</v>
      </c>
      <c r="J8" s="162"/>
      <c r="M8" s="111"/>
      <c r="N8" s="111"/>
      <c r="O8" s="162"/>
      <c r="Q8" s="161"/>
      <c r="R8" s="163"/>
      <c r="T8" s="162"/>
      <c r="AB8" s="163"/>
    </row>
    <row r="9" ht="25.5">
      <c r="A9" s="4" t="s">
        <v>65</v>
      </c>
      <c r="B9" s="106" t="s">
        <v>66</v>
      </c>
      <c r="C9" s="99">
        <f>D9+E9+F9+G9+H9</f>
        <v>0</v>
      </c>
      <c r="D9" s="100">
        <f>'Daily-Report'!M31</f>
        <v>0</v>
      </c>
      <c r="E9" s="100">
        <f>'Daily-Report'!N31</f>
        <v>0</v>
      </c>
      <c r="F9" s="100">
        <f>'Daily-Report'!O31</f>
        <v>0</v>
      </c>
      <c r="G9" s="100">
        <f>'Daily-Report'!P31</f>
        <v>0</v>
      </c>
      <c r="H9" s="100">
        <f>'Daily-Report'!Q31</f>
        <v>0</v>
      </c>
      <c r="J9" s="162"/>
      <c r="M9" s="111"/>
      <c r="O9" s="162"/>
      <c r="Q9" s="111"/>
      <c r="R9" s="163"/>
      <c r="T9" s="162"/>
      <c r="AB9" s="163"/>
    </row>
    <row r="10" ht="25.5">
      <c r="A10" s="4" t="s">
        <v>68</v>
      </c>
      <c r="B10" s="106" t="s">
        <v>69</v>
      </c>
      <c r="C10" s="99">
        <f>D10+E10+F10+G10+H10</f>
        <v>0</v>
      </c>
      <c r="D10" s="100">
        <f>'Daily-Report'!M32</f>
        <v>0</v>
      </c>
      <c r="E10" s="100">
        <f>'Daily-Report'!N32</f>
        <v>0</v>
      </c>
      <c r="F10" s="100">
        <f>'Daily-Report'!O32</f>
        <v>0</v>
      </c>
      <c r="G10" s="100">
        <f>'Daily-Report'!P32</f>
        <v>0</v>
      </c>
      <c r="H10" s="100">
        <f>'Daily-Report'!Q32</f>
        <v>0</v>
      </c>
      <c r="J10" s="162"/>
      <c r="M10" s="111"/>
      <c r="O10" s="162"/>
      <c r="Q10" s="111"/>
      <c r="R10" s="163"/>
      <c r="T10" s="162"/>
      <c r="AB10" s="163"/>
    </row>
    <row r="11" ht="25.5">
      <c r="A11" s="4" t="s">
        <v>71</v>
      </c>
      <c r="B11" s="106" t="s">
        <v>66</v>
      </c>
      <c r="C11" s="99">
        <f>D11+E11+F11+G11+H11</f>
        <v>0</v>
      </c>
      <c r="D11" s="100">
        <f>'Daily-Report'!M34</f>
        <v>0</v>
      </c>
      <c r="E11" s="100">
        <f>'Daily-Report'!N34</f>
        <v>0</v>
      </c>
      <c r="F11" s="100">
        <f>'Daily-Report'!O34</f>
        <v>0</v>
      </c>
      <c r="G11" s="100">
        <f>'Daily-Report'!P34</f>
        <v>0</v>
      </c>
      <c r="H11" s="100">
        <f>'Daily-Report'!Q34</f>
        <v>0</v>
      </c>
      <c r="J11" s="162"/>
      <c r="M11" s="111"/>
      <c r="Q11" s="161"/>
      <c r="R11" s="163"/>
      <c r="T11" s="112" t="s">
        <v>14</v>
      </c>
      <c r="U11" s="97"/>
      <c r="W11" s="109">
        <f>SUM(W3:W10)</f>
        <v>0</v>
      </c>
      <c r="Y11" s="97" t="s">
        <v>14</v>
      </c>
      <c r="Z11" s="97"/>
      <c r="AB11" s="128">
        <f>SUM(AB3:AB10)</f>
        <v>0</v>
      </c>
    </row>
    <row r="12" ht="25.5">
      <c r="A12" s="4" t="s">
        <v>72</v>
      </c>
      <c r="B12" s="106" t="s">
        <v>69</v>
      </c>
      <c r="C12" s="99">
        <f>D12+E12+F12+G12+H12</f>
        <v>0</v>
      </c>
      <c r="D12" s="100">
        <f>'Daily-Report'!M35</f>
        <v>0</v>
      </c>
      <c r="E12" s="100">
        <f>'Daily-Report'!N35</f>
        <v>0</v>
      </c>
      <c r="F12" s="100">
        <f>'Daily-Report'!O35</f>
        <v>0</v>
      </c>
      <c r="G12" s="100">
        <f>'Daily-Report'!P35</f>
        <v>0</v>
      </c>
      <c r="H12" s="100">
        <f>'Daily-Report'!Q35</f>
        <v>0</v>
      </c>
      <c r="J12" s="162"/>
      <c r="M12" s="111"/>
      <c r="R12" s="163"/>
      <c r="T12" s="162"/>
      <c r="AB12" s="163"/>
    </row>
    <row r="13" ht="19.5" customHeight="1">
      <c r="A13" s="108" t="s">
        <v>12</v>
      </c>
      <c r="J13" s="162"/>
      <c r="M13" s="111"/>
      <c r="O13" s="97" t="s">
        <v>14</v>
      </c>
      <c r="P13" s="97"/>
      <c r="Q13" s="111"/>
      <c r="R13" s="128">
        <f>SUM(R3:R12)</f>
        <v>0</v>
      </c>
      <c r="T13" s="162"/>
      <c r="AB13" s="163"/>
    </row>
    <row r="14" ht="21" customHeight="1">
      <c r="A14" s="244" t="s">
        <v>154</v>
      </c>
      <c r="B14" s="245"/>
      <c r="C14" s="98" t="s">
        <v>2</v>
      </c>
      <c r="D14" s="98" t="s">
        <v>3</v>
      </c>
      <c r="E14" s="98" t="s">
        <v>4</v>
      </c>
      <c r="F14" s="98" t="s">
        <v>5</v>
      </c>
      <c r="G14" s="98" t="s">
        <v>6</v>
      </c>
      <c r="H14" s="98" t="s">
        <v>7</v>
      </c>
      <c r="J14" s="162"/>
      <c r="R14" s="163"/>
      <c r="T14" s="162"/>
      <c r="AB14" s="163"/>
    </row>
    <row r="15" ht="25.5">
      <c r="A15" s="4" t="s">
        <v>65</v>
      </c>
      <c r="B15" s="106" t="s">
        <v>66</v>
      </c>
      <c r="C15" s="99">
        <f>D15+E15+F15+G15+H15</f>
        <v>0</v>
      </c>
      <c r="D15" s="100">
        <f ref="D15:H18" t="shared" si="0">D3-D9</f>
        <v>0</v>
      </c>
      <c r="E15" s="100">
        <f t="shared" si="0"/>
        <v>0</v>
      </c>
      <c r="F15" s="100">
        <f t="shared" si="0"/>
        <v>0</v>
      </c>
      <c r="G15" s="100">
        <f t="shared" si="0"/>
        <v>0</v>
      </c>
      <c r="H15" s="100">
        <f t="shared" si="0"/>
        <v>0</v>
      </c>
      <c r="J15" s="200"/>
      <c r="K15" s="111"/>
      <c r="L15" s="149"/>
      <c r="O15" s="97"/>
      <c r="P15" s="97"/>
      <c r="Q15" s="111"/>
      <c r="R15" s="128"/>
      <c r="T15" s="162"/>
      <c r="AB15" s="163"/>
    </row>
    <row r="16" ht="25.5">
      <c r="A16" s="4" t="s">
        <v>68</v>
      </c>
      <c r="B16" s="106" t="s">
        <v>69</v>
      </c>
      <c r="C16" s="99">
        <f>D16+E16+F16+G16+H16</f>
        <v>0</v>
      </c>
      <c r="D16" s="100">
        <f t="shared" si="0"/>
        <v>0</v>
      </c>
      <c r="E16" s="100">
        <f t="shared" si="0"/>
        <v>0</v>
      </c>
      <c r="F16" s="100">
        <f t="shared" si="0"/>
        <v>0</v>
      </c>
      <c r="G16" s="100">
        <f t="shared" si="0"/>
        <v>0</v>
      </c>
      <c r="H16" s="100">
        <f t="shared" si="0"/>
        <v>0</v>
      </c>
      <c r="J16" s="162"/>
      <c r="M16" s="111"/>
      <c r="Q16" s="111"/>
      <c r="R16" s="163"/>
      <c r="T16" s="162"/>
      <c r="AB16" s="163"/>
    </row>
    <row r="17" ht="25.5">
      <c r="A17" s="4" t="s">
        <v>71</v>
      </c>
      <c r="B17" s="106" t="s">
        <v>66</v>
      </c>
      <c r="C17" s="99">
        <f>D17+E17+F17+G17+H17</f>
        <v>0</v>
      </c>
      <c r="D17" s="100">
        <f t="shared" si="0"/>
        <v>0</v>
      </c>
      <c r="E17" s="100">
        <f t="shared" si="0"/>
        <v>0</v>
      </c>
      <c r="F17" s="100">
        <f t="shared" si="0"/>
        <v>0</v>
      </c>
      <c r="G17" s="100">
        <f t="shared" si="0"/>
        <v>0</v>
      </c>
      <c r="H17" s="100">
        <f t="shared" si="0"/>
        <v>0</v>
      </c>
      <c r="J17" s="162"/>
      <c r="Q17" s="111"/>
      <c r="R17" s="163"/>
      <c r="T17" s="162"/>
      <c r="AB17" s="163"/>
    </row>
    <row r="18" ht="25.5">
      <c r="A18" s="4" t="s">
        <v>72</v>
      </c>
      <c r="B18" s="106" t="s">
        <v>69</v>
      </c>
      <c r="C18" s="99">
        <f>D18+E18+F18+G18+H18</f>
        <v>0</v>
      </c>
      <c r="D18" s="100">
        <f t="shared" si="0"/>
        <v>0</v>
      </c>
      <c r="E18" s="100">
        <f t="shared" si="0"/>
        <v>0</v>
      </c>
      <c r="F18" s="100">
        <f>F6-F12</f>
        <v>0</v>
      </c>
      <c r="G18" s="100">
        <f t="shared" si="0"/>
        <v>0</v>
      </c>
      <c r="H18" s="100">
        <f t="shared" si="0"/>
        <v>0</v>
      </c>
      <c r="J18" s="162"/>
      <c r="Q18" s="111"/>
      <c r="R18" s="163"/>
      <c r="T18" s="162"/>
      <c r="AB18" s="163"/>
    </row>
    <row r="19">
      <c r="J19" s="162"/>
      <c r="Q19" s="111"/>
      <c r="R19" s="163"/>
      <c r="T19" s="162"/>
      <c r="AB19" s="163"/>
    </row>
    <row r="20">
      <c r="J20" s="162"/>
      <c r="M20" s="111"/>
      <c r="Q20" s="111"/>
      <c r="R20" s="163"/>
      <c r="T20" s="162"/>
      <c r="AB20" s="163"/>
    </row>
    <row r="21">
      <c r="J21" s="162"/>
      <c r="M21" s="111"/>
      <c r="R21" s="163"/>
      <c r="T21" s="162"/>
      <c r="V21" s="43"/>
      <c r="X21" s="111"/>
      <c r="Y21" s="118"/>
      <c r="AB21" s="163"/>
      <c r="AC21" s="111"/>
    </row>
    <row r="22">
      <c r="J22" s="162"/>
      <c r="M22" s="111"/>
      <c r="R22" s="163"/>
      <c r="T22" s="162"/>
      <c r="V22" s="43"/>
      <c r="X22" s="111"/>
      <c r="Y22" s="118"/>
      <c r="AB22" s="163"/>
      <c r="AC22" s="111"/>
    </row>
    <row r="23">
      <c r="J23" s="162"/>
      <c r="M23" s="111"/>
      <c r="R23" s="163"/>
      <c r="T23" s="162"/>
      <c r="V23" s="43"/>
      <c r="X23" s="111"/>
      <c r="Y23" s="118"/>
      <c r="AB23" s="163"/>
      <c r="AC23" s="111"/>
    </row>
    <row r="24">
      <c r="J24" s="162"/>
      <c r="M24" s="111"/>
      <c r="R24" s="163"/>
      <c r="T24" s="162"/>
      <c r="U24" s="111"/>
      <c r="W24" s="111"/>
      <c r="X24" s="111"/>
      <c r="Y24" s="111"/>
      <c r="Z24" s="111"/>
      <c r="AA24" s="111"/>
      <c r="AB24" s="163"/>
      <c r="AC24" s="111"/>
    </row>
    <row r="25">
      <c r="J25" s="162"/>
      <c r="M25" s="111"/>
      <c r="R25" s="163"/>
      <c r="T25" s="162"/>
      <c r="U25" s="111"/>
      <c r="W25" s="111"/>
      <c r="X25" s="111"/>
      <c r="Y25" s="111"/>
      <c r="Z25" s="111"/>
      <c r="AA25" s="111"/>
      <c r="AB25" s="163"/>
      <c r="AC25" s="111"/>
    </row>
    <row r="26">
      <c r="J26" s="162"/>
      <c r="M26" s="111"/>
      <c r="R26" s="163"/>
      <c r="T26" s="162"/>
      <c r="U26" s="111"/>
      <c r="W26" s="111"/>
      <c r="X26" s="111"/>
      <c r="Y26" s="111"/>
      <c r="Z26" s="111"/>
      <c r="AA26" s="111"/>
      <c r="AB26" s="163"/>
      <c r="AP26" s="111"/>
      <c r="AV26" s="163"/>
    </row>
    <row r="27">
      <c r="J27" s="162"/>
      <c r="K27" s="111"/>
      <c r="L27" s="103"/>
      <c r="M27" s="111"/>
      <c r="R27" s="163"/>
      <c r="T27" s="162"/>
      <c r="U27" s="111"/>
      <c r="W27" s="111"/>
      <c r="X27" s="111"/>
      <c r="Y27" s="111"/>
      <c r="Z27" s="111"/>
      <c r="AA27" s="111"/>
      <c r="AB27" s="163"/>
      <c r="AC27" s="118"/>
      <c r="AR27" s="163"/>
    </row>
    <row r="28">
      <c r="J28" s="162"/>
      <c r="M28" s="111"/>
      <c r="R28" s="163"/>
      <c r="T28" s="162"/>
      <c r="U28" s="111"/>
      <c r="W28" s="111"/>
      <c r="X28" s="111"/>
      <c r="Y28" s="111"/>
      <c r="Z28" s="111"/>
      <c r="AA28" s="111"/>
      <c r="AB28" s="163"/>
    </row>
    <row r="29">
      <c r="J29" s="162"/>
      <c r="M29" s="111"/>
      <c r="R29" s="163"/>
      <c r="T29" s="162"/>
      <c r="U29" s="111"/>
      <c r="W29" s="111"/>
      <c r="X29" s="111"/>
      <c r="Y29" s="111"/>
      <c r="Z29" s="111"/>
      <c r="AA29" s="111"/>
      <c r="AB29" s="163"/>
    </row>
    <row r="30">
      <c r="J30" s="162"/>
      <c r="M30" s="111"/>
      <c r="R30" s="163"/>
      <c r="T30" s="162"/>
      <c r="U30" s="111"/>
      <c r="W30" s="111"/>
      <c r="X30" s="111"/>
      <c r="Y30" s="111"/>
      <c r="Z30" s="111"/>
      <c r="AA30" s="111"/>
      <c r="AB30" s="163"/>
    </row>
    <row r="31">
      <c r="J31" s="162"/>
      <c r="M31" s="111"/>
      <c r="R31" s="163"/>
      <c r="T31" s="162"/>
      <c r="U31" s="111"/>
      <c r="W31" s="111"/>
      <c r="X31" s="111"/>
      <c r="Y31" s="111"/>
      <c r="Z31" s="111"/>
      <c r="AA31" s="111"/>
      <c r="AB31" s="163"/>
    </row>
    <row r="32">
      <c r="J32" s="162"/>
      <c r="M32" s="111"/>
      <c r="Q32" s="111"/>
      <c r="R32" s="163"/>
      <c r="T32" s="162"/>
      <c r="U32" s="111"/>
      <c r="W32" s="111"/>
      <c r="X32" s="111"/>
      <c r="Y32" s="111"/>
      <c r="Z32" s="111"/>
      <c r="AA32" s="111"/>
      <c r="AB32" s="163"/>
    </row>
    <row r="33">
      <c r="J33" s="162"/>
      <c r="M33" s="111"/>
      <c r="Q33" s="111"/>
      <c r="R33" s="163"/>
      <c r="T33" s="162"/>
      <c r="U33" s="111"/>
      <c r="W33" s="111"/>
      <c r="X33" s="111"/>
      <c r="Y33" s="111"/>
      <c r="Z33" s="111"/>
      <c r="AA33" s="111"/>
      <c r="AB33" s="163"/>
    </row>
    <row r="34">
      <c r="J34" s="162" t="s">
        <v>162</v>
      </c>
      <c r="Q34" s="111"/>
      <c r="R34" s="163"/>
      <c r="T34" s="162"/>
      <c r="U34" s="111"/>
      <c r="W34" s="111"/>
      <c r="X34" s="111"/>
      <c r="Y34" s="111"/>
      <c r="Z34" s="111"/>
      <c r="AA34" s="111"/>
      <c r="AB34" s="163"/>
    </row>
    <row r="35">
      <c r="J35" s="162"/>
      <c r="Q35" s="111"/>
      <c r="R35" s="163"/>
      <c r="T35" s="162"/>
      <c r="U35" s="111"/>
      <c r="W35" s="111"/>
      <c r="X35" s="111"/>
      <c r="Y35" s="111"/>
      <c r="Z35" s="111"/>
      <c r="AA35" s="111"/>
      <c r="AB35" s="163"/>
    </row>
    <row r="36">
      <c r="J36" s="162"/>
      <c r="Q36" s="111"/>
      <c r="R36" s="163"/>
      <c r="T36" s="162"/>
      <c r="U36" s="111"/>
      <c r="W36" s="111"/>
      <c r="X36" s="111"/>
      <c r="Y36" s="111"/>
      <c r="Z36" s="111"/>
      <c r="AA36" s="111"/>
      <c r="AB36" s="163"/>
    </row>
    <row r="37">
      <c r="J37" s="162"/>
      <c r="Q37" s="111"/>
      <c r="R37" s="163"/>
      <c r="T37" s="162"/>
      <c r="U37" s="111"/>
      <c r="W37" s="111"/>
      <c r="X37" s="111"/>
      <c r="Y37" s="111"/>
      <c r="Z37" s="111"/>
      <c r="AA37" s="111"/>
      <c r="AB37" s="163"/>
    </row>
    <row r="38">
      <c r="J38" s="162"/>
      <c r="Q38" s="111"/>
      <c r="R38" s="163"/>
      <c r="T38" s="162"/>
      <c r="U38" s="111"/>
      <c r="W38" s="111"/>
      <c r="X38" s="111"/>
      <c r="Y38" s="111"/>
      <c r="Z38" s="111"/>
      <c r="AA38" s="111"/>
      <c r="AB38" s="163"/>
    </row>
    <row r="39">
      <c r="J39" s="162"/>
      <c r="Q39" s="111"/>
      <c r="R39" s="163"/>
      <c r="T39" s="162"/>
      <c r="AB39" s="163"/>
    </row>
    <row r="40">
      <c r="J40" s="162"/>
      <c r="Q40" s="111"/>
      <c r="R40" s="163"/>
      <c r="T40" s="162"/>
      <c r="AB40" s="163"/>
    </row>
    <row r="41">
      <c r="J41" s="162"/>
      <c r="Q41" s="111"/>
      <c r="R41" s="163"/>
      <c r="T41" s="162"/>
      <c r="AB41" s="163"/>
    </row>
    <row r="42">
      <c r="J42" s="162"/>
      <c r="Q42" s="111"/>
      <c r="R42" s="163"/>
      <c r="T42" s="162"/>
      <c r="AB42" s="163"/>
    </row>
    <row r="43">
      <c r="J43" s="162"/>
      <c r="Q43" s="111"/>
      <c r="R43" s="163"/>
      <c r="T43" s="162"/>
      <c r="AB43" s="163"/>
    </row>
    <row r="44">
      <c r="J44" s="162"/>
      <c r="Q44" s="111"/>
      <c r="R44" s="163"/>
      <c r="T44" s="162"/>
      <c r="AB44" s="163"/>
    </row>
    <row r="45">
      <c r="J45" s="162"/>
      <c r="Q45" s="111"/>
      <c r="R45" s="163"/>
      <c r="T45" s="162"/>
      <c r="AB45" s="163"/>
    </row>
    <row r="46">
      <c r="J46" s="162"/>
      <c r="Q46" s="111"/>
      <c r="R46" s="163"/>
      <c r="T46" s="162"/>
      <c r="AB46" s="163"/>
    </row>
    <row r="47">
      <c r="J47" s="162"/>
      <c r="Q47" s="111"/>
      <c r="R47" s="163"/>
      <c r="T47" s="162"/>
      <c r="AB47" s="163"/>
    </row>
    <row r="48">
      <c r="J48" s="162"/>
      <c r="K48" s="165"/>
      <c r="Q48" s="111"/>
      <c r="R48" s="163"/>
      <c r="T48" s="162"/>
      <c r="AB48" s="163"/>
    </row>
    <row r="49">
      <c r="J49" s="162"/>
      <c r="Q49" s="111"/>
      <c r="R49" s="163"/>
      <c r="T49" s="162"/>
      <c r="AB49" s="163"/>
    </row>
    <row r="50">
      <c r="J50" s="162"/>
      <c r="Q50" s="111"/>
      <c r="R50" s="163"/>
      <c r="T50" s="162"/>
      <c r="AB50" s="163"/>
    </row>
    <row r="51">
      <c r="J51" s="162"/>
      <c r="Q51" s="111"/>
      <c r="R51" s="163"/>
      <c r="T51" s="162"/>
      <c r="AB51" s="163"/>
    </row>
    <row r="52">
      <c r="J52" s="162"/>
      <c r="Q52" s="111"/>
      <c r="R52" s="163"/>
      <c r="T52" s="162"/>
      <c r="AB52" s="163"/>
    </row>
    <row r="53">
      <c r="J53" s="162"/>
      <c r="Q53" s="111"/>
      <c r="R53" s="163"/>
      <c r="T53" s="162"/>
      <c r="AB53" s="163"/>
    </row>
    <row r="54">
      <c r="J54" s="162"/>
      <c r="Q54" s="111"/>
      <c r="R54" s="163"/>
      <c r="T54" s="162"/>
      <c r="AB54" s="163"/>
    </row>
    <row r="55">
      <c r="J55" s="162"/>
      <c r="K55" s="165"/>
      <c r="Q55" s="111"/>
      <c r="R55" s="163"/>
      <c r="T55" s="162"/>
      <c r="AB55" s="163"/>
    </row>
    <row r="56">
      <c r="J56" s="112" t="s">
        <v>163</v>
      </c>
      <c r="K56" s="172"/>
      <c r="M56" s="119">
        <f>SUM(M3:M55)</f>
        <v>0</v>
      </c>
      <c r="Q56" s="111"/>
      <c r="R56" s="163"/>
      <c r="T56" s="162"/>
      <c r="AB56" s="163"/>
    </row>
    <row r="57">
      <c r="J57" s="162"/>
      <c r="K57" s="165"/>
      <c r="Q57" s="111"/>
      <c r="R57" s="163"/>
      <c r="T57" s="162"/>
      <c r="AB57" s="163"/>
    </row>
    <row r="58">
      <c r="J58" s="162"/>
      <c r="K58" s="165"/>
      <c r="Q58" s="111"/>
      <c r="R58" s="163"/>
      <c r="T58" s="162"/>
      <c r="AB58" s="163"/>
    </row>
    <row r="59">
      <c r="J59" s="162"/>
      <c r="K59" s="165"/>
      <c r="Q59" s="111"/>
      <c r="R59" s="163"/>
      <c r="T59" s="162"/>
      <c r="AB59" s="163"/>
    </row>
    <row r="60" ht="13.5">
      <c r="J60" s="131"/>
      <c r="K60" s="129"/>
      <c r="L60" s="132"/>
      <c r="M60" s="132"/>
      <c r="N60" s="129"/>
      <c r="O60" s="129"/>
      <c r="P60" s="129"/>
      <c r="Q60" s="132"/>
      <c r="R60" s="130"/>
      <c r="T60" s="131"/>
      <c r="U60" s="129"/>
      <c r="V60" s="132"/>
      <c r="W60" s="129"/>
      <c r="X60" s="129"/>
      <c r="Y60" s="129"/>
      <c r="Z60" s="129"/>
      <c r="AA60" s="129"/>
      <c r="AB60" s="130"/>
    </row>
    <row r="61">
      <c r="Q61" s="111"/>
    </row>
    <row r="62">
      <c r="Q62" s="111"/>
    </row>
    <row r="63">
      <c r="Q63" s="111"/>
    </row>
    <row r="64">
      <c r="Q64" s="111"/>
    </row>
    <row r="65">
      <c r="Q65" s="111"/>
    </row>
    <row r="66">
      <c r="Q66" s="111"/>
    </row>
    <row r="67">
      <c r="Q67" s="111"/>
    </row>
    <row r="68">
      <c r="Q68" s="111"/>
    </row>
    <row r="69">
      <c r="Q69" s="111"/>
    </row>
    <row r="70">
      <c r="Q70" s="111"/>
    </row>
    <row r="71">
      <c r="Q71" s="111"/>
    </row>
    <row r="72">
      <c r="Q72" s="111"/>
    </row>
    <row r="73">
      <c r="Q73" s="111"/>
    </row>
    <row r="74">
      <c r="Q74" s="111"/>
    </row>
    <row r="75">
      <c r="Q75" s="111"/>
    </row>
    <row r="76">
      <c r="Q76" s="111"/>
    </row>
    <row r="77">
      <c r="Q77" s="111"/>
    </row>
    <row r="78">
      <c r="Q78" s="111"/>
    </row>
    <row r="79">
      <c r="Q79" s="111"/>
    </row>
    <row r="80">
      <c r="Q80" s="111"/>
    </row>
    <row r="81">
      <c r="Q81" s="111"/>
    </row>
    <row r="82">
      <c r="Q82" s="111"/>
    </row>
    <row r="83">
      <c r="Q83" s="111"/>
    </row>
    <row r="84">
      <c r="Q84" s="111"/>
    </row>
    <row r="85">
      <c r="Q85" s="111"/>
    </row>
    <row r="86">
      <c r="Q86" s="111"/>
    </row>
    <row r="87">
      <c r="Q87" s="111"/>
    </row>
    <row r="88">
      <c r="Q88" s="111"/>
    </row>
    <row r="89">
      <c r="Q89" s="111"/>
    </row>
    <row r="90">
      <c r="Q90" s="111"/>
    </row>
    <row r="91">
      <c r="Q91" s="111"/>
    </row>
    <row r="92">
      <c r="Q92" s="111"/>
    </row>
    <row r="93">
      <c r="Q93" s="111"/>
    </row>
    <row r="94">
      <c r="Q94" s="111"/>
    </row>
    <row r="95">
      <c r="Q95" s="111"/>
    </row>
    <row r="96">
      <c r="Q96" s="111"/>
    </row>
    <row r="97">
      <c r="Q97" s="111"/>
    </row>
    <row r="98">
      <c r="Q98" s="111"/>
    </row>
    <row r="99">
      <c r="Q99" s="111"/>
    </row>
    <row r="100">
      <c r="Q100" s="111"/>
    </row>
    <row r="101">
      <c r="Q101" s="111"/>
    </row>
    <row r="102">
      <c r="Q102" s="111"/>
    </row>
    <row r="103">
      <c r="Q103" s="111"/>
    </row>
    <row r="104">
      <c r="Q104" s="111"/>
    </row>
    <row r="105">
      <c r="Q105" s="111"/>
    </row>
    <row r="106">
      <c r="Q106" s="111"/>
    </row>
    <row r="107">
      <c r="Q107" s="111"/>
    </row>
    <row r="108">
      <c r="Q108" s="111"/>
    </row>
    <row r="109">
      <c r="Q109" s="111"/>
    </row>
    <row r="110">
      <c r="Q110" s="111"/>
    </row>
    <row r="111">
      <c r="Q111" s="111"/>
    </row>
    <row r="112">
      <c r="Q112" s="111"/>
    </row>
    <row r="113">
      <c r="Q113" s="111"/>
    </row>
    <row r="114">
      <c r="Q114" s="111"/>
    </row>
    <row r="115">
      <c r="Q115" s="111"/>
    </row>
    <row r="116">
      <c r="Q116" s="111"/>
    </row>
    <row r="117">
      <c r="Q117" s="111"/>
    </row>
    <row r="118">
      <c r="Q118" s="111"/>
    </row>
    <row r="119">
      <c r="Q119" s="111"/>
    </row>
    <row r="120">
      <c r="Q120" s="111"/>
    </row>
    <row r="121">
      <c r="Q121" s="111"/>
    </row>
    <row r="122">
      <c r="Q122" s="111"/>
    </row>
    <row r="123">
      <c r="Q123" s="111"/>
    </row>
    <row r="124">
      <c r="Q124" s="111"/>
    </row>
    <row r="125">
      <c r="Q125" s="111"/>
    </row>
    <row r="126">
      <c r="Q126" s="111"/>
    </row>
  </sheetData>
  <sortState ref="AD3:AG31">
    <sortCondition ref="AG3:AG31"/>
  </sortState>
  <mergeCells>
    <mergeCell ref="T1:AB1"/>
    <mergeCell ref="A2:B2"/>
    <mergeCell ref="A8:B8"/>
    <mergeCell ref="A14:B14"/>
    <mergeCell ref="J1:R1"/>
    <mergeCell ref="A1:B1"/>
    <mergeCell ref="A7:B7"/>
  </mergeCells>
  <hyperlinks>
    <hyperlink ref="A1" location="'10+11'!A1" display="\\"/>
  </hyperlinks>
  <pageMargins left="0.7" right="0.7" top="0.75" bottom="0.75" header="0.3" footer="0.3"/>
  <pageSetup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0000"/>
  </sheetPr>
  <dimension ref="A1:L59"/>
  <sheetViews>
    <sheetView showGridLines="0" zoomScale="85" zoomScaleNormal="85" workbookViewId="0">
      <selection activeCell="L6" sqref="L6"/>
    </sheetView>
  </sheetViews>
  <sheetFormatPr defaultColWidth="9.140625" defaultRowHeight="12.75" outlineLevelCol="1" x14ac:dyDescent="0.25"/>
  <cols>
    <col min="1" max="1" bestFit="1" width="12.140625" customWidth="1" style="102"/>
    <col min="2" max="2" width="22.7109375" customWidth="1" style="102"/>
    <col min="3" max="3" bestFit="1" width="12.140625" customWidth="1" style="102"/>
    <col min="4" max="4" bestFit="1" width="7.7109375" customWidth="1" outlineLevel="1" style="102"/>
    <col min="5" max="5" bestFit="1" width="11" customWidth="1" outlineLevel="1" style="102"/>
    <col min="6" max="6" bestFit="1" width="12.140625" customWidth="1" outlineLevel="1" style="102"/>
    <col min="7" max="8" bestFit="1" width="7.7109375" customWidth="1" outlineLevel="1" style="102"/>
    <col min="9" max="9" width="9.140625" customWidth="1" style="102"/>
    <col min="10" max="10" width="32" customWidth="1" style="102"/>
    <col min="11" max="11" width="11.7109375" customWidth="1" style="111"/>
    <col min="12" max="12" width="19.7109375" customWidth="1" style="103"/>
    <col min="13" max="16384" width="9.140625" customWidth="1" style="102"/>
  </cols>
  <sheetData>
    <row r="1">
      <c r="A1" s="246" t="str">
        <f>'Daily-Report'!A3</f>
        <v>Tarix: 22/01/2024</v>
      </c>
      <c r="B1" s="246"/>
      <c r="J1" s="40" t="s">
        <v>0</v>
      </c>
      <c r="K1" s="41"/>
    </row>
    <row r="2" ht="25.5">
      <c r="A2" s="244" t="s">
        <v>63</v>
      </c>
      <c r="B2" s="245"/>
      <c r="C2" s="113" t="s">
        <v>2</v>
      </c>
      <c r="D2" s="113" t="s">
        <v>3</v>
      </c>
      <c r="E2" s="113" t="s">
        <v>4</v>
      </c>
      <c r="F2" s="113" t="s">
        <v>5</v>
      </c>
      <c r="G2" s="113" t="s">
        <v>6</v>
      </c>
      <c r="H2" s="113" t="s">
        <v>7</v>
      </c>
      <c r="J2" s="10"/>
      <c r="K2" s="41"/>
    </row>
    <row r="3" ht="25.5">
      <c r="A3" s="4">
        <v>13</v>
      </c>
      <c r="B3" s="106" t="s">
        <v>74</v>
      </c>
      <c r="C3" s="114">
        <f>D3+E3+F3+G3+H3</f>
        <v>0</v>
      </c>
      <c r="D3" s="115">
        <f>'Daily-Report'!D37</f>
        <v>0</v>
      </c>
      <c r="E3" s="115">
        <f>'Daily-Report'!E37</f>
        <v>0</v>
      </c>
      <c r="F3" s="115">
        <f>'Daily-Report'!F37</f>
        <v>0</v>
      </c>
      <c r="G3" s="115">
        <f>'Daily-Report'!G37</f>
        <v>0</v>
      </c>
      <c r="H3" s="115">
        <f>'Daily-Report'!H37</f>
        <v>0</v>
      </c>
      <c r="J3" s="40" t="s">
        <v>9</v>
      </c>
      <c r="K3" s="40" t="s">
        <v>10</v>
      </c>
      <c r="L3" s="44" t="s">
        <v>11</v>
      </c>
    </row>
    <row r="4">
      <c r="A4" s="247" t="str">
        <f>'Daily-Report'!J3</f>
        <v>Tarix 19/01/2024</v>
      </c>
      <c r="B4" s="247"/>
      <c r="J4" s="43"/>
      <c r="K4" s="1"/>
      <c r="L4" s="118"/>
    </row>
    <row r="5" ht="25.5">
      <c r="A5" s="244" t="s">
        <v>63</v>
      </c>
      <c r="B5" s="245"/>
      <c r="C5" s="113" t="s">
        <v>2</v>
      </c>
      <c r="D5" s="113" t="s">
        <v>3</v>
      </c>
      <c r="E5" s="113" t="s">
        <v>4</v>
      </c>
      <c r="F5" s="113" t="s">
        <v>5</v>
      </c>
      <c r="G5" s="113" t="s">
        <v>6</v>
      </c>
      <c r="H5" s="113" t="s">
        <v>7</v>
      </c>
    </row>
    <row r="6">
      <c r="A6" s="4">
        <v>13</v>
      </c>
      <c r="B6" s="106" t="s">
        <v>74</v>
      </c>
      <c r="C6" s="114">
        <f>D6+E6+F6+G6+H6</f>
        <v>0</v>
      </c>
      <c r="D6" s="115">
        <f>'Daily-Report'!M37</f>
        <v>0</v>
      </c>
      <c r="E6" s="115">
        <f>'Daily-Report'!N37</f>
        <v>0</v>
      </c>
      <c r="F6" s="115">
        <f>'Daily-Report'!O37</f>
        <v>0</v>
      </c>
      <c r="G6" s="115">
        <f>'Daily-Report'!P37</f>
        <v>0</v>
      </c>
      <c r="H6" s="115">
        <f>'Daily-Report'!Q37</f>
        <v>0</v>
      </c>
      <c r="J6" s="97" t="s">
        <v>14</v>
      </c>
      <c r="K6" s="102"/>
      <c r="L6" s="109"/>
    </row>
    <row r="7">
      <c r="A7" s="10"/>
      <c r="B7" s="105"/>
      <c r="C7" s="116"/>
      <c r="D7" s="116"/>
      <c r="E7" s="116"/>
      <c r="F7" s="116"/>
      <c r="G7" s="116"/>
      <c r="H7" s="116"/>
      <c r="L7" s="110"/>
    </row>
    <row r="8">
      <c r="A8" s="108" t="s">
        <v>12</v>
      </c>
      <c r="J8" s="117"/>
      <c r="L8" s="152"/>
    </row>
    <row r="9" ht="25.5">
      <c r="A9" s="244" t="s">
        <v>63</v>
      </c>
      <c r="B9" s="245"/>
      <c r="C9" s="113" t="s">
        <v>2</v>
      </c>
      <c r="D9" s="113" t="s">
        <v>3</v>
      </c>
      <c r="E9" s="113" t="s">
        <v>4</v>
      </c>
      <c r="F9" s="113" t="s">
        <v>5</v>
      </c>
      <c r="G9" s="113" t="s">
        <v>6</v>
      </c>
      <c r="H9" s="113" t="s">
        <v>7</v>
      </c>
      <c r="L9" s="111"/>
    </row>
    <row r="10" ht="15">
      <c r="A10" s="4">
        <v>13</v>
      </c>
      <c r="B10" s="106" t="s">
        <v>74</v>
      </c>
      <c r="C10" s="114">
        <f>D10+E10+F10+G10+H10</f>
        <v>0</v>
      </c>
      <c r="D10" s="115">
        <f>D3-D6</f>
        <v>0</v>
      </c>
      <c r="E10" s="115">
        <f>E3-E6</f>
        <v>0</v>
      </c>
      <c r="F10" s="115">
        <f>F3-F6</f>
        <v>0</v>
      </c>
      <c r="G10" s="115">
        <f>G3-G6</f>
        <v>0</v>
      </c>
      <c r="H10" s="115">
        <f>H3-H6</f>
        <v>0</v>
      </c>
      <c r="J10" s="200"/>
      <c r="L10" s="198"/>
    </row>
    <row r="11">
      <c r="L11" s="110"/>
    </row>
    <row r="12">
      <c r="J12" s="117"/>
      <c r="L12" s="152"/>
    </row>
    <row r="13">
      <c r="L13" s="110"/>
    </row>
    <row r="14">
      <c r="L14" s="110"/>
    </row>
    <row r="15">
      <c r="L15" s="110"/>
    </row>
    <row r="16">
      <c r="J16" s="117"/>
      <c r="L16" s="152"/>
    </row>
    <row r="17">
      <c r="L17" s="110"/>
    </row>
    <row r="18">
      <c r="L18" s="110"/>
    </row>
    <row r="19">
      <c r="J19" s="117"/>
      <c r="L19" s="110"/>
    </row>
    <row r="20">
      <c r="J20" s="97"/>
      <c r="L20" s="109"/>
    </row>
    <row r="21">
      <c r="L21" s="110"/>
    </row>
    <row r="22">
      <c r="L22" s="110"/>
    </row>
    <row r="23">
      <c r="L23" s="110"/>
    </row>
    <row r="24">
      <c r="L24" s="110"/>
    </row>
    <row r="25">
      <c r="L25" s="110"/>
    </row>
    <row r="26">
      <c r="L26" s="110"/>
    </row>
    <row r="27">
      <c r="L27" s="110"/>
    </row>
    <row r="28">
      <c r="L28" s="110"/>
    </row>
    <row r="29">
      <c r="L29" s="110"/>
    </row>
    <row r="30">
      <c r="L30" s="110"/>
    </row>
    <row r="31">
      <c r="L31" s="110"/>
    </row>
    <row r="32">
      <c r="L32" s="110"/>
    </row>
    <row r="33">
      <c r="L33" s="110"/>
    </row>
    <row r="34">
      <c r="L34" s="110"/>
    </row>
    <row r="35">
      <c r="L35" s="110"/>
    </row>
    <row r="36">
      <c r="L36" s="110"/>
    </row>
    <row r="37">
      <c r="L37" s="110"/>
    </row>
    <row r="38">
      <c r="L38" s="110"/>
    </row>
    <row r="39">
      <c r="L39" s="110"/>
    </row>
    <row r="40">
      <c r="L40" s="110"/>
    </row>
    <row r="41">
      <c r="L41" s="110"/>
    </row>
    <row r="42">
      <c r="L42" s="110"/>
    </row>
    <row r="43">
      <c r="L43" s="110"/>
    </row>
    <row r="44">
      <c r="L44" s="110"/>
    </row>
    <row r="45">
      <c r="L45" s="110"/>
    </row>
    <row r="46">
      <c r="L46" s="110"/>
    </row>
    <row r="47">
      <c r="L47" s="110"/>
    </row>
    <row r="48">
      <c r="L48" s="110"/>
    </row>
    <row r="49">
      <c r="L49" s="110"/>
    </row>
    <row r="50">
      <c r="L50" s="110"/>
    </row>
    <row r="51">
      <c r="L51" s="110"/>
    </row>
    <row r="52">
      <c r="L52" s="110"/>
    </row>
    <row r="53">
      <c r="L53" s="110"/>
    </row>
    <row r="54">
      <c r="L54" s="110"/>
    </row>
    <row r="55">
      <c r="L55" s="110"/>
    </row>
    <row r="56">
      <c r="L56" s="110"/>
    </row>
    <row r="57">
      <c r="L57" s="110"/>
    </row>
    <row r="58">
      <c r="L58" s="110"/>
    </row>
    <row r="59" ht="13.5">
      <c r="L59" s="110"/>
    </row>
  </sheetData>
  <mergeCells>
    <mergeCell ref="A2:B2"/>
    <mergeCell ref="A5:B5"/>
    <mergeCell ref="A9:B9"/>
    <mergeCell ref="A1:B1"/>
    <mergeCell ref="A4:B4"/>
  </mergeCells>
  <pageMargins left="0.7" right="0.7" top="0.75" bottom="0.75" header="0.3" footer="0.3"/>
  <pageSetup orientation="portrait"/>
  <headerFooter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0000"/>
  </sheetPr>
  <dimension ref="A1:L59"/>
  <sheetViews>
    <sheetView showGridLines="0" zoomScale="85" zoomScaleNormal="85" workbookViewId="0">
      <selection activeCell="J10" sqref="J10:L10"/>
    </sheetView>
  </sheetViews>
  <sheetFormatPr defaultColWidth="9.140625" defaultRowHeight="15" outlineLevelCol="1" x14ac:dyDescent="0.25"/>
  <cols>
    <col min="1" max="1" bestFit="1" width="12.140625" customWidth="1" style="134"/>
    <col min="2" max="2" width="22.7109375" customWidth="1" style="134"/>
    <col min="3" max="3" bestFit="1" width="16" customWidth="1" style="134"/>
    <col min="4" max="4" width="12" customWidth="1" outlineLevel="1" style="134"/>
    <col min="5" max="5" width="11" customWidth="1" outlineLevel="1" style="134"/>
    <col min="6" max="6" bestFit="1" width="12.28515625" customWidth="1" outlineLevel="1" style="134"/>
    <col min="7" max="7" width="8.7109375" customWidth="1" outlineLevel="1" style="134"/>
    <col min="8" max="8" width="9.7109375" customWidth="1" outlineLevel="1" style="134"/>
    <col min="9" max="9" width="9.140625" customWidth="1" style="134"/>
    <col min="10" max="10" width="32" customWidth="1" style="134"/>
    <col min="11" max="11" width="11.7109375" customWidth="1" style="145"/>
    <col min="12" max="12" width="19.7109375" customWidth="1" style="141"/>
    <col min="13" max="16384" width="9.140625" customWidth="1" style="134"/>
  </cols>
  <sheetData>
    <row r="1">
      <c r="A1" s="253" t="str">
        <f>'Daily-Report'!A3</f>
        <v>Tarix: 22/01/2024</v>
      </c>
      <c r="B1" s="253"/>
      <c r="J1" s="40" t="s">
        <v>0</v>
      </c>
      <c r="K1" s="41"/>
    </row>
    <row r="2">
      <c r="A2" s="227" t="s">
        <v>63</v>
      </c>
      <c r="B2" s="228"/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J2" s="10"/>
      <c r="K2" s="41"/>
    </row>
    <row r="3" ht="25.5">
      <c r="A3" s="4" t="s">
        <v>77</v>
      </c>
      <c r="B3" s="6" t="s">
        <v>78</v>
      </c>
      <c r="C3" s="27">
        <f>D3+E3+F3+G3+H3</f>
        <v>0</v>
      </c>
      <c r="D3" s="33">
        <f>'Daily-Report'!D39</f>
        <v>0</v>
      </c>
      <c r="E3" s="33">
        <f>'Daily-Report'!E39</f>
        <v>0</v>
      </c>
      <c r="F3" s="33">
        <f>'Daily-Report'!F39</f>
        <v>0</v>
      </c>
      <c r="G3" s="33">
        <f>'Daily-Report'!G39</f>
        <v>0</v>
      </c>
      <c r="H3" s="33">
        <f>'Daily-Report'!H39</f>
        <v>0</v>
      </c>
      <c r="J3" s="40" t="s">
        <v>9</v>
      </c>
      <c r="K3" s="40" t="s">
        <v>10</v>
      </c>
      <c r="L3" s="44" t="s">
        <v>11</v>
      </c>
    </row>
    <row r="4">
      <c r="A4" s="247" t="str">
        <f>'Daily-Report'!J3</f>
        <v>Tarix 19/01/2024</v>
      </c>
      <c r="B4" s="247"/>
      <c r="J4" s="102"/>
      <c r="K4" s="111"/>
      <c r="L4" s="161"/>
    </row>
    <row r="5">
      <c r="A5" s="227" t="s">
        <v>63</v>
      </c>
      <c r="B5" s="228"/>
      <c r="C5" s="26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</row>
    <row r="6" ht="25.5">
      <c r="A6" s="4" t="s">
        <v>77</v>
      </c>
      <c r="B6" s="6" t="s">
        <v>78</v>
      </c>
      <c r="C6" s="27">
        <f>D6+E6+F6+G6+H6</f>
        <v>0</v>
      </c>
      <c r="D6" s="33">
        <f>'Daily-Report'!M39</f>
        <v>0</v>
      </c>
      <c r="E6" s="33">
        <f>'Daily-Report'!N39</f>
        <v>0</v>
      </c>
      <c r="F6" s="33">
        <f>'Daily-Report'!O39</f>
        <v>0</v>
      </c>
      <c r="G6" s="33">
        <f>'Daily-Report'!P39</f>
        <v>0</v>
      </c>
      <c r="H6" s="33">
        <f>'Daily-Report'!Q39</f>
        <v>0</v>
      </c>
      <c r="J6" s="102"/>
      <c r="K6" s="111"/>
      <c r="L6" s="111"/>
    </row>
    <row r="7">
      <c r="A7" s="10"/>
      <c r="B7" s="38"/>
      <c r="C7" s="42"/>
      <c r="D7" s="42"/>
      <c r="E7" s="42"/>
      <c r="F7" s="42"/>
      <c r="G7" s="42"/>
      <c r="H7" s="42"/>
      <c r="J7" s="102"/>
      <c r="K7" s="111"/>
      <c r="L7" s="111"/>
    </row>
    <row r="8">
      <c r="A8" s="142" t="s">
        <v>12</v>
      </c>
      <c r="J8" s="144"/>
      <c r="L8" s="146"/>
    </row>
    <row r="9">
      <c r="A9" s="227" t="s">
        <v>63</v>
      </c>
      <c r="B9" s="228"/>
      <c r="C9" s="26" t="s">
        <v>2</v>
      </c>
      <c r="D9" s="26" t="s">
        <v>3</v>
      </c>
      <c r="E9" s="26" t="s">
        <v>4</v>
      </c>
      <c r="F9" s="26" t="s">
        <v>5</v>
      </c>
      <c r="G9" s="26" t="s">
        <v>6</v>
      </c>
      <c r="H9" s="26" t="s">
        <v>7</v>
      </c>
      <c r="J9" s="97" t="s">
        <v>14</v>
      </c>
      <c r="K9" s="134"/>
      <c r="L9" s="143">
        <f>SUM(L4:L8)</f>
        <v>0</v>
      </c>
    </row>
    <row r="10" ht="25.5">
      <c r="A10" s="4" t="s">
        <v>77</v>
      </c>
      <c r="B10" s="6" t="s">
        <v>78</v>
      </c>
      <c r="C10" s="27">
        <f>D10+E10+F10+G10+H10</f>
        <v>0</v>
      </c>
      <c r="D10" s="33">
        <f>D3-D6</f>
        <v>0</v>
      </c>
      <c r="E10" s="33">
        <f>E3-E6</f>
        <v>0</v>
      </c>
      <c r="F10" s="33">
        <f>F3-F6</f>
        <v>0</v>
      </c>
      <c r="G10" s="33">
        <f>G3-G6</f>
        <v>0</v>
      </c>
      <c r="H10" s="33">
        <f>H3-H6</f>
        <v>0</v>
      </c>
      <c r="J10" s="200"/>
      <c r="K10" s="111"/>
      <c r="L10" s="198"/>
    </row>
    <row r="11">
      <c r="L11" s="133"/>
    </row>
    <row r="12">
      <c r="J12" s="144"/>
      <c r="L12" s="146"/>
    </row>
    <row r="13">
      <c r="A13" s="253" t="str">
        <f>A1</f>
        <v>Tarix: 22/01/2024</v>
      </c>
      <c r="B13" s="253"/>
      <c r="L13" s="133"/>
    </row>
    <row r="14">
      <c r="A14" s="227" t="s">
        <v>63</v>
      </c>
      <c r="B14" s="228"/>
      <c r="C14" s="26" t="s">
        <v>2</v>
      </c>
      <c r="D14" s="26" t="s">
        <v>3</v>
      </c>
      <c r="E14" s="26" t="s">
        <v>4</v>
      </c>
      <c r="F14" s="26" t="s">
        <v>5</v>
      </c>
      <c r="G14" s="26" t="s">
        <v>6</v>
      </c>
      <c r="H14" s="26" t="s">
        <v>7</v>
      </c>
      <c r="L14" s="133"/>
    </row>
    <row r="15" ht="25.5">
      <c r="A15" s="4" t="s">
        <v>79</v>
      </c>
      <c r="B15" s="6" t="s">
        <v>80</v>
      </c>
      <c r="C15" s="27">
        <f>D15+E15+F15+G15+H15</f>
        <v>0</v>
      </c>
      <c r="D15" s="33">
        <f>'Daily-Report'!D40</f>
        <v>0</v>
      </c>
      <c r="E15" s="33">
        <f>'Daily-Report'!E40</f>
        <v>0</v>
      </c>
      <c r="F15" s="33">
        <f>'Daily-Report'!F40</f>
        <v>0</v>
      </c>
      <c r="G15" s="33">
        <f>'Daily-Report'!G40</f>
        <v>0</v>
      </c>
      <c r="H15" s="33">
        <f>'Daily-Report'!H40</f>
        <v>0</v>
      </c>
      <c r="L15" s="133"/>
    </row>
    <row r="16">
      <c r="A16" s="247" t="str">
        <f>'Daily-Report'!J3</f>
        <v>Tarix 19/01/2024</v>
      </c>
      <c r="B16" s="247"/>
      <c r="J16" s="144"/>
      <c r="L16" s="146"/>
    </row>
    <row r="17">
      <c r="A17" s="227" t="s">
        <v>63</v>
      </c>
      <c r="B17" s="228"/>
      <c r="C17" s="26" t="s">
        <v>2</v>
      </c>
      <c r="D17" s="26" t="s">
        <v>3</v>
      </c>
      <c r="E17" s="26" t="s">
        <v>4</v>
      </c>
      <c r="F17" s="26" t="s">
        <v>5</v>
      </c>
      <c r="G17" s="26" t="s">
        <v>6</v>
      </c>
      <c r="H17" s="26" t="s">
        <v>7</v>
      </c>
      <c r="L17" s="133"/>
    </row>
    <row r="18" ht="25.5">
      <c r="A18" s="4" t="s">
        <v>79</v>
      </c>
      <c r="B18" s="6" t="s">
        <v>80</v>
      </c>
      <c r="C18" s="27">
        <f>D18+E18+F18+G18+H18</f>
        <v>0</v>
      </c>
      <c r="D18" s="33">
        <f>'Daily-Report'!M40</f>
        <v>0</v>
      </c>
      <c r="E18" s="33">
        <f>'Daily-Report'!N40</f>
        <v>0</v>
      </c>
      <c r="F18" s="33">
        <f>'Daily-Report'!O40</f>
        <v>0</v>
      </c>
      <c r="G18" s="33">
        <f>'Daily-Report'!P40</f>
        <v>0</v>
      </c>
      <c r="H18" s="33">
        <f>'Daily-Report'!Q40</f>
        <v>0</v>
      </c>
      <c r="L18" s="133"/>
    </row>
    <row r="19">
      <c r="A19" s="10"/>
      <c r="B19" s="38"/>
      <c r="C19" s="42"/>
      <c r="D19" s="42"/>
      <c r="E19" s="42"/>
      <c r="F19" s="42"/>
      <c r="G19" s="42"/>
      <c r="H19" s="42"/>
      <c r="J19" s="144"/>
      <c r="L19" s="133"/>
    </row>
    <row r="20">
      <c r="A20" s="142" t="s">
        <v>12</v>
      </c>
      <c r="J20" s="97"/>
      <c r="L20" s="143"/>
    </row>
    <row r="21">
      <c r="A21" s="227" t="s">
        <v>63</v>
      </c>
      <c r="B21" s="228"/>
      <c r="C21" s="26" t="s">
        <v>2</v>
      </c>
      <c r="D21" s="26" t="s">
        <v>3</v>
      </c>
      <c r="E21" s="26" t="s">
        <v>4</v>
      </c>
      <c r="F21" s="26" t="s">
        <v>5</v>
      </c>
      <c r="G21" s="26" t="s">
        <v>6</v>
      </c>
      <c r="H21" s="26" t="s">
        <v>7</v>
      </c>
      <c r="L21" s="133"/>
    </row>
    <row r="22" ht="25.5">
      <c r="A22" s="4" t="s">
        <v>79</v>
      </c>
      <c r="B22" s="6" t="s">
        <v>80</v>
      </c>
      <c r="C22" s="27">
        <f>D22+E22+F22+G22+H22</f>
        <v>0</v>
      </c>
      <c r="D22" s="33">
        <f>D15-D18</f>
        <v>0</v>
      </c>
      <c r="E22" s="33">
        <f>E15-E18</f>
        <v>0</v>
      </c>
      <c r="F22" s="33">
        <f>F15-F18</f>
        <v>0</v>
      </c>
      <c r="G22" s="33">
        <f>G15-G18</f>
        <v>0</v>
      </c>
      <c r="H22" s="33">
        <f>H15-H18</f>
        <v>0</v>
      </c>
      <c r="L22" s="133"/>
    </row>
    <row r="23">
      <c r="L23" s="133"/>
    </row>
    <row r="24">
      <c r="L24" s="133"/>
    </row>
    <row r="25">
      <c r="L25" s="133"/>
    </row>
    <row r="26">
      <c r="L26" s="133"/>
    </row>
    <row r="27">
      <c r="L27" s="133"/>
    </row>
    <row r="28">
      <c r="L28" s="133"/>
    </row>
    <row r="29">
      <c r="L29" s="133"/>
    </row>
    <row r="30">
      <c r="L30" s="133"/>
    </row>
    <row r="31">
      <c r="L31" s="133"/>
    </row>
    <row r="32">
      <c r="L32" s="133"/>
    </row>
    <row r="33">
      <c r="L33" s="133"/>
    </row>
    <row r="34">
      <c r="L34" s="133"/>
    </row>
    <row r="35">
      <c r="L35" s="133"/>
    </row>
    <row r="36">
      <c r="L36" s="133"/>
    </row>
    <row r="37">
      <c r="L37" s="133"/>
    </row>
    <row r="38">
      <c r="L38" s="133"/>
    </row>
    <row r="39">
      <c r="L39" s="133"/>
    </row>
    <row r="40">
      <c r="L40" s="133"/>
    </row>
    <row r="41">
      <c r="L41" s="133"/>
    </row>
    <row r="42">
      <c r="L42" s="133"/>
    </row>
    <row r="43">
      <c r="L43" s="133"/>
    </row>
    <row r="44">
      <c r="L44" s="133"/>
    </row>
    <row r="45">
      <c r="L45" s="133"/>
    </row>
    <row r="46">
      <c r="L46" s="133"/>
    </row>
    <row r="47">
      <c r="L47" s="133"/>
    </row>
    <row r="48">
      <c r="L48" s="133"/>
    </row>
    <row r="49">
      <c r="L49" s="133"/>
    </row>
    <row r="50">
      <c r="L50" s="133"/>
    </row>
    <row r="51">
      <c r="L51" s="133"/>
    </row>
    <row r="52">
      <c r="L52" s="133"/>
    </row>
    <row r="53">
      <c r="L53" s="133"/>
    </row>
    <row r="54">
      <c r="L54" s="133"/>
    </row>
    <row r="55">
      <c r="L55" s="133"/>
    </row>
    <row r="56">
      <c r="L56" s="133"/>
    </row>
    <row r="57">
      <c r="L57" s="133"/>
    </row>
    <row r="58">
      <c r="L58" s="133"/>
    </row>
    <row r="59">
      <c r="L59" s="133"/>
    </row>
  </sheetData>
  <mergeCells>
    <mergeCell ref="A1:B1"/>
    <mergeCell ref="A4:B4"/>
    <mergeCell ref="A13:B13"/>
    <mergeCell ref="A16:B16"/>
    <mergeCell ref="A21:B21"/>
    <mergeCell ref="A2:B2"/>
    <mergeCell ref="A5:B5"/>
    <mergeCell ref="A9:B9"/>
    <mergeCell ref="A14:B14"/>
    <mergeCell ref="A17:B17"/>
  </mergeCells>
  <pageMargins left="0.7" right="0.7" top="0.75" bottom="0.75" header="0.3" footer="0.3"/>
  <pageSetup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Daily</vt:lpstr>
      <vt:lpstr>Sheet2</vt:lpstr>
      <vt:lpstr>Daily-Report</vt:lpstr>
      <vt:lpstr>1</vt:lpstr>
      <vt:lpstr>2a</vt:lpstr>
      <vt:lpstr>2b</vt:lpstr>
      <vt:lpstr>2c</vt:lpstr>
      <vt:lpstr>5 Mal.inst dep ve kreditler</vt:lpstr>
      <vt:lpstr>3</vt:lpstr>
      <vt:lpstr>4</vt:lpstr>
      <vt:lpstr>3.Akkreditivlər</vt:lpstr>
      <vt:lpstr>7.Digər balansarxası öhdəliklər</vt:lpstr>
      <vt:lpstr>5</vt:lpstr>
      <vt:lpstr>6</vt:lpstr>
      <vt:lpstr>6a</vt:lpstr>
      <vt:lpstr>2</vt:lpstr>
      <vt:lpstr>10+11</vt:lpstr>
      <vt:lpstr>13</vt:lpstr>
      <vt:lpstr>14</vt:lpstr>
      <vt:lpstr>'Daily-Report'!Print_Area</vt:lpstr>
    </vt:vector>
  </TitlesOfParts>
  <Manager/>
  <Company>nba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CMirzayev</dc:creator>
  <cp:keywords/>
  <dc:description/>
  <cp:lastModifiedBy>Samir Huseynov</cp:lastModifiedBy>
  <cp:lastPrinted>2018-09-10T06:36:56Z</cp:lastPrinted>
  <dcterms:created xsi:type="dcterms:W3CDTF">2009-04-09T04:28:04Z</dcterms:created>
  <dcterms:modified xsi:type="dcterms:W3CDTF">2024-01-29T05:18:10Z</dcterms:modified>
  <cp:category/>
</cp:coreProperties>
</file>