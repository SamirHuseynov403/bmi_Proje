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<sst xmlns="http://schemas.openxmlformats.org/spreadsheetml/2006/main" count="211" uniqueCount="211">
  <si>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</si>
  <si>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</si>
  <si>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</si>
  <si>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</si>
  <si>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</si>
  <si>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</si>
  <si>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</si>
  <si>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</si>
  <si>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</si>
  <si>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</si>
  <si>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</si>
  <si>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</si>
  <si>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</si>
  <si>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</si>
  <si>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</si>
  <si>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</si>
  <si>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</si>
  <si>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</si>
  <si>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</si>
  <si>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</si>
  <si>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</si>
  <si>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</si>
  <si>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</si>
  <si>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</si>
  <si>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</si>
  <si>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</si>
  <si>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</si>
  <si>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</si>
  <si>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</si>
  <si>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</si>
  <si>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</si>
  <si>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</si>
  <si>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</si>
  <si>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</si>
  <si>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</si>
  <si>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</si>
  <si>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</si>
  <si>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</si>
  <si>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</si>
  <si>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</si>
  <si>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</si>
  <si>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</si>
  <si>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</si>
  <si>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</si>
  <si>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</si>
  <si>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</si>
  <si>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</si>
  <si>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</si>
  <si>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</si>
  <si>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</si>
  <si>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</si>
  <si>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</si>
  <si>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</si>
  <si>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</si>
  <si>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</si>
  <si>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</si>
  <si>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</si>
  <si>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</si>
  <si>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</si>
  <si>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</si>
  <si>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</si>
  <si>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</si>
  <si>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</si>
  <si>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</si>
  <si>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</si>
  <si>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</si>
  <si>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</si>
  <si>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</si>
  <si>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</si>
  <si>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</si>
  <si>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</si>
  <si>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</si>
  <si>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</si>
  <si>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</si>
  <si>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</si>
  <si>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</si>
  <si>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</si>
  <si>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</si>
  <si>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</si>
  <si>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</si>
  <si>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</si>
  <si>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</si>
  <si>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</si>
  <si>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</si>
  <si>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</si>
  <si>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</si>
  <si>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</si>
  <si>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</si>
  <si>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</si>
  <si>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</si>
  <si>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</si>
  <si>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</si>
  <si>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</si>
  <si>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</si>
  <si>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</si>
  <si>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</si>
  <si>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</si>
  <si>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</si>
  <si>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</si>
  <si>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</si>
  <si>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</si>
  <si>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</si>
  <si>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</si>
  <si>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</si>
  <si>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</si>
  <si>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</si>
  <si>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</si>
  <si>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</si>
  <si>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</si>
  <si>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</si>
  <si>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</si>
  <si>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</si>
  <si>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</si>
  <si>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</si>
  <si>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</si>
  <si>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</si>
  <si>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</si>
  <si>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</si>
  <si>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</si>
  <si>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</si>
  <si>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</si>
  <si>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</si>
  <si>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</si>
  <si>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</si>
  <si>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</si>
  <si>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</si>
  <si>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</si>
  <si>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</si>
  <si>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</si>
  <si>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</si>
  <si>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</si>
  <si>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</si>
  <si>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</si>
  <si>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</si>
  <si>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</si>
  <si>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</si>
  <si>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</si>
  <si>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</si>
  <si>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</si>
  <si>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</si>
  <si>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</si>
  <si>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</si>
  <si>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</si>
  <si>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</si>
  <si>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</si>
  <si>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</si>
  <si>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</si>
  <si>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</si>
  <si>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</si>
  <si>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</si>
  <si>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</si>
  <si>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</si>
  <si>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</si>
  <si>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</si>
  <si>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</si>
  <si>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</si>
  <si>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</si>
  <si>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</si>
  <si>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</si>
  <si>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</si>
  <si>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</si>
  <si>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</si>
  <si>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</si>
  <si>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</si>
  <si>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</si>
  <si>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</si>
  <si>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</si>
  <si>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</si>
  <si>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</si>
  <si>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</si>
  <si>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</si>
  <si>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</si>
  <si>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</si>
  <si>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</si>
  <si>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</si>
  <si>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</si>
  <si>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</si>
  <si>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</si>
  <si>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</si>
  <si>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</si>
  <si>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</si>
  <si>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</si>
  <si>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</si>
  <si>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</si>
  <si>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</si>
  <si>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</si>
  <si>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28-02-2025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</si>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</sst>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29727.48485</v>
      </c>
      <c r="J8" s="20">
        <f t="shared" si="0"/>
        <v>33781.05943</v>
      </c>
      <c r="K8" s="20">
        <f>K21+K38</f>
        <v>63508.544280000009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573.48694</v>
      </c>
      <c r="D15" s="30">
        <v>2619.54136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111.14764</v>
      </c>
      <c r="D16" s="30">
        <v>31161.51807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29043.46183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29728.096410000002</v>
      </c>
      <c r="D21" s="20">
        <f>D15+D16+D17+D18+D19+D20</f>
        <v>33781.05943</v>
      </c>
      <c r="E21" s="20">
        <f>C21+D21</f>
        <v>63509.155840000007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29727.48485</v>
      </c>
      <c r="J21" s="20">
        <f t="shared" si="2"/>
        <v>33781.05943</v>
      </c>
      <c r="K21" s="20">
        <f t="shared" si="2"/>
        <v>63508.544280000009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12082.003542999999</v>
      </c>
      <c r="Q10" s="44">
        <f>Q25+Q52+Q66+Q92</f>
        <v>23059.2531646</v>
      </c>
      <c r="R10" s="44">
        <f>R25+R52+R66+R92</f>
        <v>35141.2567076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44.5413115</v>
      </c>
      <c r="Q19" s="48">
        <f>SUM(Q20:Q21)</f>
        <v>180.180848</v>
      </c>
      <c r="R19" s="48">
        <f>SUM(R20:R21)</f>
        <v>224.7221595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127.26089</v>
      </c>
      <c r="D21" s="52">
        <v>563.06515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44.5413115</v>
      </c>
      <c r="Q21" s="48">
        <f>D21*M21</f>
        <v>180.180848</v>
      </c>
      <c r="R21" s="48">
        <f>P21+Q21</f>
        <v>224.7221595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44.5413115</v>
      </c>
      <c r="Q25" s="44">
        <f>Q19+Q22</f>
        <v>180.180848</v>
      </c>
      <c r="R25" s="44">
        <f>R19+R22</f>
        <v>224.7221595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22843.02436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16486.14436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16486.14436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15892.2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6356.880000000001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12037.4622315</v>
      </c>
      <c r="Q41" s="48">
        <f>SUM(Q42:Q45)</f>
        <v>36.0479566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64.3019</v>
      </c>
      <c r="D42" s="52">
        <v>72.1127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12.860380000000001</v>
      </c>
      <c r="Q42" s="48">
        <f>D42*M42</f>
        <v>12.980286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12037.4622315</v>
      </c>
      <c r="Q52" s="44">
        <f>Q34+Q35+Q38+Q41+Q46+Q51</f>
        <v>22879.0723166</v>
      </c>
      <c r="R52" s="44">
        <f t="shared" si="16"/>
        <v>34916.5345481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45211.264885</v>
      </c>
      <c r="Q10" s="44">
        <f>Q24+Q52+Q39</f>
        <v>2.392695</v>
      </c>
      <c r="R10" s="44">
        <f>R24+R52+R39</f>
        <v>45213.65758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272.54977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136.274885</v>
      </c>
      <c r="Q19" s="48">
        <f>D19*M19</f>
        <v>2.392695</v>
      </c>
      <c r="R19" s="48">
        <f>P19+Q19</f>
        <v>138.66758000000002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136.274885</v>
      </c>
      <c r="Q24" s="44">
        <f>SUM(Q19:Q23)</f>
        <v>2.392695</v>
      </c>
      <c r="R24" s="44">
        <f>SUM(R19:R23)</f>
        <v>138.66758000000002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45074.99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45074.99</v>
      </c>
      <c r="Q37" s="48">
        <f>D37*M37</f>
        <v>0</v>
      </c>
      <c r="R37" s="48">
        <f>P37+Q37</f>
        <v>45074.99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45074.99</v>
      </c>
      <c r="Q39" s="44">
        <f>Q33+Q35+Q36+Q38+Q37</f>
        <v>0</v>
      </c>
      <c r="R39" s="44">
        <f>R33+R35+R36+R38+R37</f>
        <v>45074.99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7.2289440082847145</v>
      </c>
      <c r="D6" s="72">
        <f>IFERROR(D7/D10,0)</f>
        <v>9.8419056886383185</v>
      </c>
      <c r="E6" s="72">
        <f>IFERROR(E7/E10,0)</f>
        <v>1.465119653846179</v>
      </c>
    </row>
    <row r="7" ht="15" customHeight="1" s="65" customFormat="1">
      <c r="A7" s="71" t="s">
        <v>203</v>
      </c>
      <c r="B7" s="29" t="s">
        <v>204</v>
      </c>
      <c r="C7" s="73">
        <f>'L2'!K8</f>
        <v>63508.544280000009</v>
      </c>
      <c r="D7" s="73">
        <f>'L2'!I8</f>
        <v>29727.48485</v>
      </c>
      <c r="E7" s="73">
        <f>'L2'!J8</f>
        <v>33781.05943</v>
      </c>
    </row>
    <row r="8" ht="15" customHeight="1" s="65" customFormat="1">
      <c r="A8" s="71" t="s">
        <v>205</v>
      </c>
      <c r="B8" s="29" t="s">
        <v>206</v>
      </c>
      <c r="C8" s="73">
        <f>'L3 (A)'!R10</f>
        <v>35141.2567076</v>
      </c>
      <c r="D8" s="73">
        <f>'L3 (A)'!P10</f>
        <v>12082.003542999999</v>
      </c>
      <c r="E8" s="73">
        <f>'L3 (A)'!Q10</f>
        <v>23059.2531646</v>
      </c>
    </row>
    <row r="9" ht="15" customHeight="1" s="65" customFormat="1">
      <c r="A9" s="71" t="s">
        <v>207</v>
      </c>
      <c r="B9" s="29" t="s">
        <v>208</v>
      </c>
      <c r="C9" s="73">
        <f>'L3 (B)'!R10</f>
        <v>45213.65758</v>
      </c>
      <c r="D9" s="73">
        <f>'L3 (B)'!P10</f>
        <v>45211.264885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8785.3141769</v>
      </c>
      <c r="D10" s="73">
        <f>D8-MIN(D9,0.75*D8)</f>
        <v>3020.5008857499997</v>
      </c>
      <c r="E10" s="73">
        <f>E8-MIN(E9,0.75*E8)</f>
        <v>23056.8604696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