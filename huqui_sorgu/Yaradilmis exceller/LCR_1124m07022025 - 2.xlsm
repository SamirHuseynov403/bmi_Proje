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<sst xmlns="http://schemas.openxmlformats.org/spreadsheetml/2006/main" count="211" uniqueCount="211">
  <si>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</si>
  <si>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</si>
  <si>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</si>
  <si>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</si>
  <si>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</si>
  <si>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</si>
  <si>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</si>
  <si>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</si>
  <si>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</si>
  <si>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</si>
  <si>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</si>
  <si>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</si>
  <si>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</si>
  <si>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</si>
  <si>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</si>
  <si>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</si>
  <si>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</si>
  <si>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</si>
  <si>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</si>
  <si>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</si>
  <si>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</si>
  <si>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</si>
  <si>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</si>
  <si>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</si>
  <si>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</si>
  <si>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</si>
  <si>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</si>
  <si>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</si>
  <si>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</si>
  <si>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</si>
  <si>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</si>
  <si>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</si>
  <si>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</si>
  <si>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</si>
  <si>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</si>
  <si>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</si>
  <si>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</si>
  <si>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</si>
  <si>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</si>
  <si>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</si>
  <si>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</si>
  <si>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</si>
  <si>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</si>
  <si>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</si>
  <si>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</si>
  <si>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</si>
  <si>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</si>
  <si>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</si>
  <si>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</si>
  <si>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</si>
  <si>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</si>
  <si>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</si>
  <si>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</si>
  <si>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</si>
  <si>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</si>
  <si>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</si>
  <si>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</si>
  <si>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</si>
  <si>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</si>
  <si>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</si>
  <si>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</si>
  <si>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</si>
  <si>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</si>
  <si>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</si>
  <si>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</si>
  <si>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</si>
  <si>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</si>
  <si>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</si>
  <si>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</si>
  <si>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</si>
  <si>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</si>
  <si>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</si>
  <si>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</si>
  <si>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</si>
  <si>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</si>
  <si>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</si>
  <si>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</si>
  <si>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</si>
  <si>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</si>
  <si>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</si>
  <si>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</si>
  <si>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</si>
  <si>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</si>
  <si>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</si>
  <si>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</si>
  <si>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</si>
  <si>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</si>
  <si>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</si>
  <si>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</si>
  <si>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</si>
  <si>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</si>
  <si>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</si>
  <si>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</si>
  <si>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</si>
  <si>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</si>
  <si>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</si>
  <si>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</si>
  <si>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</si>
  <si>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</si>
  <si>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</si>
  <si>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</si>
  <si>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</si>
  <si>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</si>
  <si>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</si>
  <si>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</si>
  <si>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</si>
  <si>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</si>
  <si>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</si>
  <si>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</si>
  <si>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</si>
  <si>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</si>
  <si>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</si>
  <si>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</si>
  <si>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</si>
  <si>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</si>
  <si>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</si>
  <si>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</si>
  <si>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</si>
  <si>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</si>
  <si>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</si>
  <si>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</si>
  <si>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</si>
  <si>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</si>
  <si>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</si>
  <si>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</si>
  <si>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</si>
  <si>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</si>
  <si>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</si>
  <si>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</si>
  <si>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</si>
  <si>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</si>
  <si>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</si>
  <si>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</si>
  <si>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</si>
  <si>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</si>
  <si>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</si>
  <si>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</si>
  <si>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</si>
  <si>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</si>
  <si>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</si>
  <si>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</si>
  <si>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</si>
  <si>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</si>
  <si>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</si>
  <si>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</si>
  <si>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</si>
  <si>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</si>
  <si>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</si>
  <si>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</si>
  <si>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</si>
  <si>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</si>
  <si>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</si>
  <si>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</si>
  <si>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</si>
  <si>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</si>
  <si>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</si>
  <si>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</si>
  <si>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</si>
  <si>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</si>
  <si>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</si>
  <si>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</si>
  <si>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</si>
  <si>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</si>
  <si>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</si>
  <si>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</si>
  <si>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</si>
  <si>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</si>
  <si>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</si>
  <si>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</si>
  <si>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</si>
  <si>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</si>
  <si>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</si>
  <si>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</si>
  <si>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</si>
  <si>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</si>
  <si>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</si>
  <si>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</si>
  <si>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</si>
  <si>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</si>
  <si>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</si>
  <si>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</si>
  <si>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</si>
  <si>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</si>
  <si>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</si>
  <si>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</si>
  <si>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</si>
  <si>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07-02-2025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</si>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</sst>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33375.404120000007</v>
      </c>
      <c r="J8" s="20">
        <f t="shared" si="0"/>
        <v>33902.43267</v>
      </c>
      <c r="K8" s="20">
        <f>K21+K38</f>
        <v>67277.83679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477.75412</v>
      </c>
      <c r="D15" s="30">
        <v>2756.48698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700.56473</v>
      </c>
      <c r="D16" s="30">
        <v>31145.94569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32197.69683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33376.015680000004</v>
      </c>
      <c r="D21" s="20">
        <f>D15+D16+D17+D18+D19+D20</f>
        <v>33902.43267</v>
      </c>
      <c r="E21" s="20">
        <f>C21+D21</f>
        <v>67278.44835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33375.404120000007</v>
      </c>
      <c r="J21" s="20">
        <f t="shared" si="2"/>
        <v>33902.43267</v>
      </c>
      <c r="K21" s="20">
        <f t="shared" si="2"/>
        <v>67277.83679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12161.168648000003</v>
      </c>
      <c r="Q10" s="44">
        <f>Q25+Q52+Q66+Q92</f>
        <v>23084.905564</v>
      </c>
      <c r="R10" s="44">
        <f>R25+R52+R66+R92</f>
        <v>35246.074212000007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44.6042345</v>
      </c>
      <c r="Q19" s="48">
        <f>SUM(Q20:Q21)</f>
        <v>180.16982720000001</v>
      </c>
      <c r="R19" s="48">
        <f>SUM(R20:R21)</f>
        <v>224.7740617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127.44067</v>
      </c>
      <c r="D21" s="52">
        <v>563.03071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44.6042345</v>
      </c>
      <c r="Q21" s="48">
        <f>D21*M21</f>
        <v>180.16982720000001</v>
      </c>
      <c r="R21" s="48">
        <f>P21+Q21</f>
        <v>224.7740617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44.6042345</v>
      </c>
      <c r="Q25" s="44">
        <f>Q19+Q22</f>
        <v>180.16982720000001</v>
      </c>
      <c r="R25" s="44">
        <f>R19+R22</f>
        <v>224.7740617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22830.66044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16477.74044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16477.74044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15882.3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6352.92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12116.564413500002</v>
      </c>
      <c r="Q41" s="48">
        <f>SUM(Q42:Q45)</f>
        <v>74.0752968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33.79281</v>
      </c>
      <c r="D42" s="52">
        <v>84.04224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6.7585620000000013</v>
      </c>
      <c r="Q42" s="48">
        <f>D42*M42</f>
        <v>15.127603200000001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256.29432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58.947693600000008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34599.44529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12109.805851500001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12116.564413500002</v>
      </c>
      <c r="Q52" s="44">
        <f>Q34+Q35+Q38+Q41+Q46+Q51</f>
        <v>22904.7357368</v>
      </c>
      <c r="R52" s="44">
        <f t="shared" si="16"/>
        <v>35021.300150300005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41372.50897</v>
      </c>
      <c r="Q10" s="44">
        <f>Q24+Q52+Q39</f>
        <v>2.392695</v>
      </c>
      <c r="R10" s="44">
        <f>R24+R52+R39</f>
        <v>41374.901665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195.01794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97.50897</v>
      </c>
      <c r="Q19" s="48">
        <f>D19*M19</f>
        <v>2.392695</v>
      </c>
      <c r="R19" s="48">
        <f>P19+Q19</f>
        <v>99.901665000000008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97.50897</v>
      </c>
      <c r="Q24" s="44">
        <f>SUM(Q19:Q23)</f>
        <v>2.392695</v>
      </c>
      <c r="R24" s="44">
        <f>SUM(R19:R23)</f>
        <v>99.901665000000008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41275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41275</v>
      </c>
      <c r="Q37" s="48">
        <f>D37*M37</f>
        <v>0</v>
      </c>
      <c r="R37" s="48">
        <f>P37+Q37</f>
        <v>41275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41275</v>
      </c>
      <c r="Q39" s="44">
        <f>Q33+Q35+Q36+Q38+Q37</f>
        <v>0</v>
      </c>
      <c r="R39" s="44">
        <f>R33+R35+R36+R38+R37</f>
        <v>41275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7.6352147913363178</v>
      </c>
      <c r="D6" s="72">
        <f>IFERROR(D7/D10,0)</f>
        <v>10.977696333645973</v>
      </c>
      <c r="E6" s="72">
        <f>IFERROR(E7/E10,0)</f>
        <v>1.4687496488101708</v>
      </c>
    </row>
    <row r="7" ht="15" customHeight="1" s="65" customFormat="1">
      <c r="A7" s="71" t="s">
        <v>203</v>
      </c>
      <c r="B7" s="29" t="s">
        <v>204</v>
      </c>
      <c r="C7" s="73">
        <f>'L2'!K8</f>
        <v>67277.83679</v>
      </c>
      <c r="D7" s="73">
        <f>'L2'!I8</f>
        <v>33375.404120000007</v>
      </c>
      <c r="E7" s="73">
        <f>'L2'!J8</f>
        <v>33902.43267</v>
      </c>
    </row>
    <row r="8" ht="15" customHeight="1" s="65" customFormat="1">
      <c r="A8" s="71" t="s">
        <v>205</v>
      </c>
      <c r="B8" s="29" t="s">
        <v>206</v>
      </c>
      <c r="C8" s="73">
        <f>'L3 (A)'!R10</f>
        <v>35246.074212000007</v>
      </c>
      <c r="D8" s="73">
        <f>'L3 (A)'!P10</f>
        <v>12161.168648000003</v>
      </c>
      <c r="E8" s="73">
        <f>'L3 (A)'!Q10</f>
        <v>23084.905564</v>
      </c>
    </row>
    <row r="9" ht="15" customHeight="1" s="65" customFormat="1">
      <c r="A9" s="71" t="s">
        <v>207</v>
      </c>
      <c r="B9" s="29" t="s">
        <v>208</v>
      </c>
      <c r="C9" s="73">
        <f>'L3 (B)'!R10</f>
        <v>41374.901665</v>
      </c>
      <c r="D9" s="73">
        <f>'L3 (B)'!P10</f>
        <v>41372.50897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8811.5185530000017</v>
      </c>
      <c r="D10" s="73">
        <f>D8-MIN(D9,0.75*D8)</f>
        <v>3040.2921620000016</v>
      </c>
      <c r="E10" s="73">
        <f>E8-MIN(E9,0.75*E8)</f>
        <v>23082.512869000002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