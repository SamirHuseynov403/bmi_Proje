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<sst xmlns="http://schemas.openxmlformats.org/spreadsheetml/2006/main" count="211" uniqueCount="211">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</sst>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26617.9307</v>
      </c>
      <c r="D16" s="30">
        <v>32756.48794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27409.43964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127.14276</v>
      </c>
      <c r="D21" s="52">
        <v>558.30521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/>
      <c r="D37" s="85"/>
      <c r="E37" s="48">
        <f t="shared" si="4"/>
        <v>0</v>
      </c>
      <c r="F37" s="52">
        <v>0</v>
      </c>
      <c r="G37" s="52">
        <v>16723.8</v>
      </c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162.26388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0</v>
      </c>
      <c r="Q19" s="48">
        <f>D19*M19</f>
        <v>0</v>
      </c>
      <c r="R19" s="48">
        <f>P19+Q19</f>
        <v>0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45500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0</v>
      </c>
      <c r="Q37" s="48">
        <f>D37*M37</f>
        <v>0</v>
      </c>
      <c r="R37" s="48">
        <f>P37+Q37</f>
        <v>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ht="15" customHeight="1" s="65" customFormat="1">
      <c r="A7" s="71" t="s">
        <v>203</v>
      </c>
      <c r="B7" s="29" t="s">
        <v>204</v>
      </c>
      <c r="C7" s="73">
        <f>'L2'!K8</f>
        <v>0</v>
      </c>
      <c r="D7" s="73">
        <f>'L2'!I8</f>
        <v>0</v>
      </c>
      <c r="E7" s="73">
        <f>'L2'!J8</f>
        <v>0</v>
      </c>
    </row>
    <row r="8" ht="15" customHeight="1" s="65" customFormat="1">
      <c r="A8" s="71" t="s">
        <v>205</v>
      </c>
      <c r="B8" s="29" t="s">
        <v>206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ht="15" customHeight="1" s="65" customFormat="1">
      <c r="A9" s="71" t="s">
        <v>207</v>
      </c>
      <c r="B9" s="29" t="s">
        <v>208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