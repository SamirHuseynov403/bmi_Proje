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-120" yWindow="-120" windowWidth="29040" windowHeight="15840" tabRatio="562"/>
  </bookViews>
  <sheets>
    <sheet name="Note 13" sheetId="1" r:id="rId1"/>
    <sheet name="Note13-8" sheetId="3" r:id="rId2"/>
    <sheet name="Note 28" sheetId="4" r:id="rId3"/>
    <sheet name="Note 56" sheetId="5" r:id="rId4"/>
  </sheets>
  <definedNames>
    <definedName name="AJ">'Note 13'!$AI$7</definedName>
  </definedNames>
  <calcPr calcId="162913" fullCalcOnLoad="1"/>
</workbook>
</file>

<file path=xl/sharedStrings.xml><?xml version="1.0" encoding="utf-8"?>
<sst xmlns="http://schemas.openxmlformats.org/spreadsheetml/2006/main" count="167" uniqueCount="167">
  <si>
    <t>اطلاعات مربوط به ابتدا و انتهای دوره</t>
  </si>
  <si>
    <t>Opening &amp; Closing Balance of the Period</t>
  </si>
  <si>
    <t>نوع پرداخت</t>
  </si>
  <si>
    <t>مبلغ مانده به ارز</t>
  </si>
  <si>
    <t>پیش دریافت از مشتریان</t>
  </si>
  <si>
    <t>معادل ریالی</t>
  </si>
  <si>
    <t>تاریخ گشایش</t>
  </si>
  <si>
    <t>تاریخ سررسید</t>
  </si>
  <si>
    <t>1 st collateral (if any)</t>
  </si>
  <si>
    <t>2 nd collateral (if any)</t>
  </si>
  <si>
    <t>3 rd collateral (if any)</t>
  </si>
  <si>
    <t>4 th collateral (if any)</t>
  </si>
  <si>
    <t>5 th collateral (if any)</t>
  </si>
  <si>
    <t>6 th collateral (if any)</t>
  </si>
  <si>
    <t xml:space="preserve">7 th collateral (if any) </t>
  </si>
  <si>
    <t>8 th collateral (if any)</t>
  </si>
  <si>
    <t>کد شعبه</t>
  </si>
  <si>
    <t>کد سرپرستی</t>
  </si>
  <si>
    <t>شماره اعتبار</t>
  </si>
  <si>
    <t xml:space="preserve">سرفصل(GL code) </t>
  </si>
  <si>
    <t>کد ارز</t>
  </si>
  <si>
    <t>کد وثیقه ی 1</t>
  </si>
  <si>
    <t>مبلغ وثیقه ی 1</t>
  </si>
  <si>
    <t>کد وثیقه ی 2</t>
  </si>
  <si>
    <t>مبلغ وثیقه ی 2</t>
  </si>
  <si>
    <t>کد وثیقه ی 3</t>
  </si>
  <si>
    <t>مبلغ وثیقه ی 3</t>
  </si>
  <si>
    <t>کد وثیقه ی 4</t>
  </si>
  <si>
    <t>مبلغ وثیقه ی 4</t>
  </si>
  <si>
    <t>کد وثیقه ی 5</t>
  </si>
  <si>
    <t>مبلغ وثیقه ی 5</t>
  </si>
  <si>
    <t>کد وثیقه ی 6</t>
  </si>
  <si>
    <t>مبلغ وثیقه ی 6</t>
  </si>
  <si>
    <t>کد وثیقه ی 7</t>
  </si>
  <si>
    <t>مبلغ وثیقه ی 7</t>
  </si>
  <si>
    <t>کد وثیقه ی 8</t>
  </si>
  <si>
    <t>مبلغ وثیقه ی 8</t>
  </si>
  <si>
    <t>LC number</t>
  </si>
  <si>
    <t>currency</t>
  </si>
  <si>
    <t>Type of payment(sight,deferred,…)</t>
  </si>
  <si>
    <t>Amount</t>
  </si>
  <si>
    <t>customers prepayments</t>
  </si>
  <si>
    <t>Opening date</t>
  </si>
  <si>
    <t>Maturity date</t>
  </si>
  <si>
    <t>Type</t>
  </si>
  <si>
    <t xml:space="preserve">Amount </t>
  </si>
  <si>
    <t>اطلاعات مربوط به گشایش/ افزایش و ابطال / واریزطی دوره</t>
  </si>
  <si>
    <t xml:space="preserve"> Turnover of the Period(LCs)</t>
  </si>
  <si>
    <t xml:space="preserve">سرفصل </t>
  </si>
  <si>
    <t>توضیح : مجموع مانده ی ابتدای دوره، گشایش ها و ابطال ها باید با مانده ی انتهای دوره برابر شود.</t>
  </si>
  <si>
    <t>مانده انتهای دوره = ماتده ی ابتدا + گشایش طی دوره - ابطال</t>
  </si>
  <si>
    <t>توضیح 2 : اگر چنانچه ریز اعتبار به تفکیک هر فقره اعتبار امکان پذیر نباشد، گروه بندی به تفکیک کد ارز انجام شود و تعداد اعتبار نیز مشخص شود.</t>
  </si>
  <si>
    <t>شرکت های فرعی و وابسته</t>
  </si>
  <si>
    <t>نرخ سود ( درصد)</t>
  </si>
  <si>
    <t>جاری</t>
  </si>
  <si>
    <t>غیر جاری</t>
  </si>
  <si>
    <t>ذخیره مطالبات مشکوک الوصول</t>
  </si>
  <si>
    <t>جمع</t>
  </si>
  <si>
    <t>جمع کل</t>
  </si>
  <si>
    <t>کدسرفصل</t>
  </si>
  <si>
    <t>سرفصل 8 رقمی</t>
  </si>
  <si>
    <t xml:space="preserve">* نوع سپرده </t>
  </si>
  <si>
    <t>مبلغ مانده ی ارزی</t>
  </si>
  <si>
    <t>تاریخ افتتاح</t>
  </si>
  <si>
    <t>نرخ سپرده</t>
  </si>
  <si>
    <t>سپرده های جذب شده طی سال</t>
  </si>
  <si>
    <t>باز پرداخت سپرده ها</t>
  </si>
  <si>
    <t>نوع مشتری(مشتری حقیقی-مشتری حقوقی-سپرده های سرمایه گذاری دریافتی از بانکها و موسسات اعتباری)</t>
  </si>
  <si>
    <t>تاریخ بسته شدن حساب</t>
  </si>
  <si>
    <t>وضعیت حساب(فعال-بسته-راکد)</t>
  </si>
  <si>
    <t>(GL code)</t>
  </si>
  <si>
    <t>(Not applicable )</t>
  </si>
  <si>
    <t>Type of Account</t>
  </si>
  <si>
    <t>Balance</t>
  </si>
  <si>
    <t xml:space="preserve">  Maturity date</t>
  </si>
  <si>
    <t>Interest Rate</t>
  </si>
  <si>
    <t>Deposits attracted during The month</t>
  </si>
  <si>
    <t>Deposits paid back during The month</t>
  </si>
  <si>
    <t>(Type of customer(Natural customers/Coporate customers/Banks or credit institutions</t>
  </si>
  <si>
    <t>Date Account Closed</t>
  </si>
  <si>
    <t>(Current situation (active/closed/ dormant</t>
  </si>
  <si>
    <t>GL code</t>
  </si>
  <si>
    <t>(Type of deposit)* نوع سپرده</t>
  </si>
  <si>
    <t xml:space="preserve">کوتا مدت / بلند مدت   (more than 1 year  /  less than 1 year)</t>
  </si>
  <si>
    <t xml:space="preserve">حساب سپرده ارزی  مدت داربانكهای  ايرانی                           </t>
  </si>
  <si>
    <t>0 / 0</t>
  </si>
  <si>
    <t>Iranian banks Time Deposits</t>
  </si>
  <si>
    <t xml:space="preserve">حساب سپرده ارزی  مدت داربانكهای  خارجی                            </t>
  </si>
  <si>
    <t>Foreign banks Time Deposits</t>
  </si>
  <si>
    <t xml:space="preserve">سپرده های  مدت دارمشتريان   (خاص شعب خارج)                                  </t>
  </si>
  <si>
    <t>Customer Time Deposits</t>
  </si>
  <si>
    <t>*</t>
  </si>
  <si>
    <t>لازم به ذکر است آن دسته از حساب های دیداری و پس نداز که به صورت روز شمار به آنها سود تعلق می گیرد می بایست بعنوان حساب سپرده مدتدار شناسایی و در گروه سپرده های کوتاه مدت یکماهه طبقه بندی گردد.</t>
  </si>
  <si>
    <t>کد سرفصل(GL code)</t>
  </si>
  <si>
    <t>نرخ سود( Interest rate)</t>
  </si>
  <si>
    <t xml:space="preserve">تاریخ اعطا(Date facility granted) </t>
  </si>
  <si>
    <r xmlns="http://schemas.openxmlformats.org/spreadsheetml/2006/main">
      <rPr>
        <i/>
        <u/>
        <sz val="11"/>
        <color theme="1"/>
        <rFont val="B Nazanin"/>
        <charset val="204"/>
      </rPr>
      <t xml:space="preserve"> </t>
    </r>
    <r xmlns="http://schemas.openxmlformats.org/spreadsheetml/2006/main">
      <rPr>
        <b/>
        <sz val="11"/>
        <color theme="1"/>
        <rFont val="B Nazanin"/>
        <charset val="178"/>
      </rPr>
      <t>تاریخ سررسید(maturity date )</t>
    </r>
  </si>
  <si>
    <r xmlns="http://schemas.openxmlformats.org/spreadsheetml/2006/main">
      <t>اصل تسهیلات اعطایی            (Principal)</t>
    </r>
    <r xmlns="http://schemas.openxmlformats.org/spreadsheetml/2006/main">
      <rPr>
        <b/>
        <sz val="14"/>
        <color theme="1"/>
        <rFont val="B Nazanin"/>
        <charset val="178"/>
      </rPr>
      <t xml:space="preserve"> Facilities granted  </t>
    </r>
  </si>
  <si>
    <t xml:space="preserve">فرع تسهیلات اعطایی ( سود  تسهیلات اعطایی و  وجه التزام تاخیر تادیه دین می باشد. مبلغ  افزایش طی دوره شامل سود تعهدی و نقدی شناسایی شده  و مبلغ  وصولی شامل حصه وصول شده سود تعهدی و سود نقدی طی دوره می باشد)(Interest)</t>
  </si>
  <si>
    <t xml:space="preserve"> ذخیره مطالبات مشکوک الوصول عام         General provision(GLs 1274)</t>
  </si>
  <si>
    <t xml:space="preserve">ذخیره مطالبات مشکوک الوصول خاص        Reserve for doubtful debts (GLs 1274) </t>
  </si>
  <si>
    <t>نوع مشتری(حقیقی - حقوقی - همکاران)</t>
  </si>
  <si>
    <t xml:space="preserve">مبلغ ناخالص تسهیلات اعطایی بر اساس طبقه بندی(اصل + سود دریافتنی+ وجه التزام دریافتنی)                                                                                                     توجه : کلیه مبالغ می بایست با مانده های  سر فصلهای مربوطه مطابقت داشته باشند.                                                        ( Gross Facilities = (Pricipal + Interest Receivable + Retention Money Receivable</t>
  </si>
  <si>
    <t xml:space="preserve"> شرح وثایق تسهیلات     (Type of collateral for facilities)</t>
  </si>
  <si>
    <t xml:space="preserve">سود دریافتنی  (Interest Receivable)</t>
  </si>
  <si>
    <t>وجه التزام دریافتنی (Retention Money Receivable)</t>
  </si>
  <si>
    <t>سود سال های آتی(Future years interest)</t>
  </si>
  <si>
    <t>سود و کارمزد معوق (Interest Pending )</t>
  </si>
  <si>
    <t xml:space="preserve">سپرده نقدی </t>
  </si>
  <si>
    <t xml:space="preserve">ضمانتنامه بانکی </t>
  </si>
  <si>
    <t>اعتبارات اسنادی معامله شده</t>
  </si>
  <si>
    <t>سهام پذیرفته شده در بورس</t>
  </si>
  <si>
    <t>زمین و ساختمان</t>
  </si>
  <si>
    <t>ماشین آلات</t>
  </si>
  <si>
    <t>چک و سفته</t>
  </si>
  <si>
    <t>سایر</t>
  </si>
  <si>
    <t>تسهیلات بدون وثیقه</t>
  </si>
  <si>
    <t>جمع مبلغ وثیقه (Total)</t>
  </si>
  <si>
    <t>giriş əsas borc</t>
  </si>
  <si>
    <t>dövür üzrə verilmiş</t>
  </si>
  <si>
    <t>dövür üzrə qaytarılmış əsas borc</t>
  </si>
  <si>
    <t>giriş %</t>
  </si>
  <si>
    <r xmlns="http://schemas.openxmlformats.org/spreadsheetml/2006/main">
      <t xml:space="preserve">dövür üzrə hesablanmış % </t>
    </r>
    <r xmlns="http://schemas.openxmlformats.org/spreadsheetml/2006/main">
      <rPr>
        <sz val="5"/>
        <color theme="1"/>
        <rFont val="B Nazanin"/>
      </rPr>
      <t>(işçiləri Miri verəcək)</t>
    </r>
  </si>
  <si>
    <t>dövür üzrə qaytarılmış %</t>
  </si>
  <si>
    <r xmlns="http://schemas.openxmlformats.org/spreadsheetml/2006/main">
      <t xml:space="preserve">nəğd vəsait (girovun </t>
    </r>
    <r xmlns="http://schemas.openxmlformats.org/spreadsheetml/2006/main">
      <rPr>
        <b/>
        <sz val="11"/>
        <color theme="1"/>
        <rFont val="Calibri"/>
        <family val="2"/>
        <charset val="204"/>
      </rPr>
      <t>∑</t>
    </r>
    <r xmlns="http://schemas.openxmlformats.org/spreadsheetml/2006/main">
      <rPr>
        <b/>
        <sz val="11"/>
        <color theme="1"/>
        <rFont val="B Nazanin"/>
        <charset val="178"/>
      </rPr>
      <t xml:space="preserve"> AZN)</t>
    </r>
  </si>
  <si>
    <t>giriş adi e/f</t>
  </si>
  <si>
    <t>89/2 adi e/f</t>
  </si>
  <si>
    <t>2 / 89 adi e/f</t>
  </si>
  <si>
    <t>giriş məqsədli e/f</t>
  </si>
  <si>
    <t>89 / 2 məqsədli e/f</t>
  </si>
  <si>
    <t>2 / 89 məqsədli e/f</t>
  </si>
  <si>
    <t>cash deposits</t>
  </si>
  <si>
    <t>LGs</t>
  </si>
  <si>
    <t>Negotiated LCs</t>
  </si>
  <si>
    <t>Shares &amp; securities</t>
  </si>
  <si>
    <t>Land &amp; Building</t>
  </si>
  <si>
    <t>Machinery</t>
  </si>
  <si>
    <t>Checks &amp; drafts</t>
  </si>
  <si>
    <t>Others</t>
  </si>
  <si>
    <t>facilities not backed by collateral</t>
  </si>
  <si>
    <t>مانده در ابتدای دوره</t>
  </si>
  <si>
    <t xml:space="preserve">اعطایی طی  دوره</t>
  </si>
  <si>
    <t>مبلغ وصولی طی دوره</t>
  </si>
  <si>
    <t>تاثیر تسعیر طی دوره</t>
  </si>
  <si>
    <t>مانده در پایان دوره</t>
  </si>
  <si>
    <t>مبلغ افزایش طی سال</t>
  </si>
  <si>
    <t>مبلغ وصولی طی سال</t>
  </si>
  <si>
    <t>افزایش طی سال</t>
  </si>
  <si>
    <t>سوخت شده طی سال</t>
  </si>
  <si>
    <t>605-645-647-648-651-657-1462</t>
  </si>
  <si>
    <t xml:space="preserve">Opening  bal.</t>
  </si>
  <si>
    <t>Exceeded during the period</t>
  </si>
  <si>
    <t xml:space="preserve">Amounts collected during the period </t>
  </si>
  <si>
    <t>Closing bal.</t>
  </si>
  <si>
    <t xml:space="preserve">Opening  Bal</t>
  </si>
  <si>
    <t>Excess during the period</t>
  </si>
  <si>
    <t xml:space="preserve">Closing bal. </t>
  </si>
  <si>
    <t>written off during the period</t>
  </si>
  <si>
    <t>Type of customer( Natural tomers/ Coporate customers/ Bank colleagues )</t>
  </si>
  <si>
    <t xml:space="preserve"> Natural customers</t>
  </si>
  <si>
    <t xml:space="preserve"> Natural tomers</t>
  </si>
  <si>
    <t>Bank colleagues</t>
  </si>
  <si>
    <t>Coporate customers</t>
  </si>
  <si>
    <t>Total</t>
  </si>
  <si>
    <t>جمع کل(Total)</t>
  </si>
  <si>
    <t xml:space="preserve">مبلغ ناخالص قبل از کسر ذخیره مطالبات مشکوک الوصول  براساس نوع مشتری(اصل+سود دریافتنی +وجه التزام دریافتنی-سود سال های آتی - سو و کارمزد معوق) </t>
  </si>
  <si>
    <t>مبلغ خالص براساس نوع مشتری(مبلغ ناخالص پس از کسر ذخیره مطالبات مشکوک الوصول عام و خاص)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</si>
</sst>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&quot;$&quot;#,##0.00"/>
  </numFmts>
  <fonts count="36"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B Nazanin"/>
      <charset val="178"/>
    </font>
    <font>
      <b/>
      <sz val="11"/>
      <color theme="1"/>
      <name val="B Nazanin"/>
      <charset val="178"/>
    </font>
    <font>
      <sz val="11"/>
      <color theme="1"/>
      <name val="B Nazanin"/>
      <charset val="178"/>
    </font>
    <font>
      <sz val="14"/>
      <color theme="1"/>
      <name val="B Nazanin"/>
      <charset val="178"/>
    </font>
    <font>
      <b/>
      <sz val="12"/>
      <color theme="1"/>
      <name val="B Nazanin"/>
      <charset val="178"/>
    </font>
    <font>
      <sz val="11"/>
      <color rgb="FF000000"/>
      <name val="B Nazanin"/>
      <charset val="178"/>
    </font>
    <font>
      <u/>
      <sz val="11"/>
      <color theme="1"/>
      <name val="B Nazanin"/>
      <charset val="178"/>
    </font>
    <font>
      <sz val="24"/>
      <color theme="1"/>
      <name val="Calibri"/>
      <family val="2"/>
      <scheme val="minor"/>
    </font>
    <font>
      <b/>
      <sz val="20"/>
      <color theme="1"/>
      <name val="B Nazanin"/>
      <charset val="178"/>
    </font>
    <font>
      <sz val="16"/>
      <color theme="1"/>
      <name val="B Nazanin"/>
      <charset val="178"/>
    </font>
    <font>
      <b/>
      <sz val="11"/>
      <color theme="1"/>
      <name val="Calibri"/>
      <family val="2"/>
      <scheme val="minor"/>
    </font>
    <font>
      <b/>
      <sz val="11"/>
      <color theme="1"/>
      <name val="B Nazanin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4"/>
      <color rgb="FF006100"/>
      <name val="Calibri"/>
      <family val="2"/>
      <charset val="204"/>
      <scheme val="minor"/>
    </font>
    <font>
      <sz val="14"/>
      <color rgb="FF9C0006"/>
      <name val="Calibri"/>
      <family val="2"/>
      <charset val="204"/>
      <scheme val="minor"/>
    </font>
    <font>
      <sz val="14"/>
      <color rgb="FF9C6500"/>
      <name val="Calibri"/>
      <family val="2"/>
      <charset val="204"/>
      <scheme val="minor"/>
    </font>
    <font>
      <sz val="14"/>
      <color rgb="FF3F3F76"/>
      <name val="Calibri"/>
      <family val="2"/>
      <charset val="204"/>
      <scheme val="minor"/>
    </font>
    <font>
      <b/>
      <sz val="14"/>
      <color rgb="FF3F3F3F"/>
      <name val="Calibri"/>
      <family val="2"/>
      <charset val="204"/>
      <scheme val="minor"/>
    </font>
    <font>
      <b/>
      <sz val="14"/>
      <color rgb="FFFA7D00"/>
      <name val="Calibri"/>
      <family val="2"/>
      <charset val="204"/>
      <scheme val="minor"/>
    </font>
    <font>
      <sz val="14"/>
      <color rgb="FFFA7D00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i/>
      <sz val="14"/>
      <color rgb="FF7F7F7F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  <font>
      <sz val="11"/>
      <color rgb="FFFF0000"/>
      <name val="B Nazanin"/>
      <charset val="178"/>
    </font>
    <font>
      <sz val="10"/>
      <color indexed="8"/>
      <name val="Arial"/>
      <family val="2"/>
      <charset val="204"/>
    </font>
    <font>
      <sz val="11"/>
      <name val="B Nazanin"/>
      <charset val="178"/>
    </font>
    <font>
      <b/>
      <sz val="11"/>
      <color theme="1"/>
      <name val="Calibri"/>
      <family val="2"/>
      <charset val="204"/>
    </font>
  </fonts>
  <fills count="41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09997863704336680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applyNumberFormat="0" fontId="2" applyFont="1" fillId="16" applyFill="1" borderId="0" applyBorder="0" applyProtection="0" applyAlignment="0"/>
    <xf numFmtId="0" applyNumberFormat="0" fontId="1" applyFont="1" fillId="16" applyFill="1" borderId="0" applyBorder="0" applyProtection="0" applyAlignment="0"/>
    <xf numFmtId="0" applyNumberFormat="0" fontId="2" applyFont="1" fillId="20" applyFill="1" borderId="0" applyBorder="0" applyProtection="0" applyAlignment="0"/>
    <xf numFmtId="0" applyNumberFormat="0" fontId="1" applyFont="1" fillId="20" applyFill="1" borderId="0" applyBorder="0" applyProtection="0" applyAlignment="0"/>
    <xf numFmtId="0" applyNumberFormat="0" fontId="2" applyFont="1" fillId="24" applyFill="1" borderId="0" applyBorder="0" applyProtection="0" applyAlignment="0"/>
    <xf numFmtId="0" applyNumberFormat="0" fontId="1" applyFont="1" fillId="24" applyFill="1" borderId="0" applyBorder="0" applyProtection="0" applyAlignment="0"/>
    <xf numFmtId="0" applyNumberFormat="0" fontId="2" applyFont="1" fillId="28" applyFill="1" borderId="0" applyBorder="0" applyProtection="0" applyAlignment="0"/>
    <xf numFmtId="0" applyNumberFormat="0" fontId="1" applyFont="1" fillId="28" applyFill="1" borderId="0" applyBorder="0" applyProtection="0" applyAlignment="0"/>
    <xf numFmtId="0" applyNumberFormat="0" fontId="2" applyFont="1" fillId="32" applyFill="1" borderId="0" applyBorder="0" applyProtection="0" applyAlignment="0"/>
    <xf numFmtId="0" applyNumberFormat="0" fontId="1" applyFont="1" fillId="32" applyFill="1" borderId="0" applyBorder="0" applyProtection="0" applyAlignment="0"/>
    <xf numFmtId="0" applyNumberFormat="0" fontId="2" applyFont="1" fillId="36" applyFill="1" borderId="0" applyBorder="0" applyProtection="0" applyAlignment="0"/>
    <xf numFmtId="0" applyNumberFormat="0" fontId="1" applyFont="1" fillId="36" applyFill="1" borderId="0" applyBorder="0" applyProtection="0" applyAlignment="0"/>
    <xf numFmtId="0" applyNumberFormat="0" fontId="2" applyFont="1" fillId="17" applyFill="1" borderId="0" applyBorder="0" applyProtection="0" applyAlignment="0"/>
    <xf numFmtId="0" applyNumberFormat="0" fontId="1" applyFont="1" fillId="17" applyFill="1" borderId="0" applyBorder="0" applyProtection="0" applyAlignment="0"/>
    <xf numFmtId="0" applyNumberFormat="0" fontId="2" applyFont="1" fillId="21" applyFill="1" borderId="0" applyBorder="0" applyProtection="0" applyAlignment="0"/>
    <xf numFmtId="0" applyNumberFormat="0" fontId="1" applyFont="1" fillId="21" applyFill="1" borderId="0" applyBorder="0" applyProtection="0" applyAlignment="0"/>
    <xf numFmtId="0" applyNumberFormat="0" fontId="2" applyFont="1" fillId="25" applyFill="1" borderId="0" applyBorder="0" applyProtection="0" applyAlignment="0"/>
    <xf numFmtId="0" applyNumberFormat="0" fontId="1" applyFont="1" fillId="25" applyFill="1" borderId="0" applyBorder="0" applyProtection="0" applyAlignment="0"/>
    <xf numFmtId="0" applyNumberFormat="0" fontId="2" applyFont="1" fillId="29" applyFill="1" borderId="0" applyBorder="0" applyProtection="0" applyAlignment="0"/>
    <xf numFmtId="0" applyNumberFormat="0" fontId="1" applyFont="1" fillId="29" applyFill="1" borderId="0" applyBorder="0" applyProtection="0" applyAlignment="0"/>
    <xf numFmtId="0" applyNumberFormat="0" fontId="2" applyFont="1" fillId="33" applyFill="1" borderId="0" applyBorder="0" applyProtection="0" applyAlignment="0"/>
    <xf numFmtId="0" applyNumberFormat="0" fontId="1" applyFont="1" fillId="33" applyFill="1" borderId="0" applyBorder="0" applyProtection="0" applyAlignment="0"/>
    <xf numFmtId="0" applyNumberFormat="0" fontId="2" applyFont="1" fillId="37" applyFill="1" borderId="0" applyBorder="0" applyProtection="0" applyAlignment="0"/>
    <xf numFmtId="0" applyNumberFormat="0" fontId="1" applyFont="1" fillId="37" applyFill="1" borderId="0" applyBorder="0" applyProtection="0" applyAlignment="0"/>
    <xf numFmtId="0" applyNumberFormat="0" fontId="31" applyFont="1" fillId="18" applyFill="1" borderId="0" applyBorder="0" applyProtection="0" applyAlignment="0"/>
    <xf numFmtId="0" applyNumberFormat="0" fontId="31" applyFont="1" fillId="22" applyFill="1" borderId="0" applyBorder="0" applyProtection="0" applyAlignment="0"/>
    <xf numFmtId="0" applyNumberFormat="0" fontId="31" applyFont="1" fillId="26" applyFill="1" borderId="0" applyBorder="0" applyProtection="0" applyAlignment="0"/>
    <xf numFmtId="0" applyNumberFormat="0" fontId="31" applyFont="1" fillId="30" applyFill="1" borderId="0" applyBorder="0" applyProtection="0" applyAlignment="0"/>
    <xf numFmtId="0" applyNumberFormat="0" fontId="31" applyFont="1" fillId="34" applyFill="1" borderId="0" applyBorder="0" applyProtection="0" applyAlignment="0"/>
    <xf numFmtId="0" applyNumberFormat="0" fontId="31" applyFont="1" fillId="38" applyFill="1" borderId="0" applyBorder="0" applyProtection="0" applyAlignment="0"/>
    <xf numFmtId="0" applyNumberFormat="0" fontId="31" applyFont="1" fillId="15" applyFill="1" borderId="0" applyBorder="0" applyProtection="0" applyAlignment="0"/>
    <xf numFmtId="0" applyNumberFormat="0" fontId="31" applyFont="1" fillId="19" applyFill="1" borderId="0" applyBorder="0" applyProtection="0" applyAlignment="0"/>
    <xf numFmtId="0" applyNumberFormat="0" fontId="31" applyFont="1" fillId="23" applyFill="1" borderId="0" applyBorder="0" applyProtection="0" applyAlignment="0"/>
    <xf numFmtId="0" applyNumberFormat="0" fontId="31" applyFont="1" fillId="27" applyFill="1" borderId="0" applyBorder="0" applyProtection="0" applyAlignment="0"/>
    <xf numFmtId="0" applyNumberFormat="0" fontId="31" applyFont="1" fillId="31" applyFill="1" borderId="0" applyBorder="0" applyProtection="0" applyAlignment="0"/>
    <xf numFmtId="0" applyNumberFormat="0" fontId="31" applyFont="1" fillId="35" applyFill="1" borderId="0" applyBorder="0" applyProtection="0" applyAlignment="0"/>
    <xf numFmtId="0" applyNumberFormat="0" fontId="21" applyFont="1" fillId="9" applyFill="1" borderId="0" applyBorder="0" applyProtection="0" applyAlignment="0"/>
    <xf numFmtId="0" applyNumberFormat="0" fontId="25" applyFont="1" fillId="12" applyFill="1" borderId="21" applyBorder="1" applyProtection="0" applyAlignment="0"/>
    <xf numFmtId="0" applyNumberFormat="0" fontId="27" applyFont="1" fillId="13" applyFill="1" borderId="24" applyBorder="1" applyProtection="0" applyAlignment="0"/>
    <xf numFmtId="164" applyNumberFormat="1" fontId="15" applyFont="0" fillId="0" applyFill="0" borderId="0" applyBorder="0" applyProtection="0" applyAlignment="0"/>
    <xf numFmtId="164" applyNumberFormat="1" fontId="2" applyFont="0" fillId="0" applyFill="0" borderId="0" applyBorder="0" applyProtection="0" applyAlignment="0"/>
    <xf numFmtId="0" applyNumberFormat="0" fontId="29" applyFont="1" fillId="0" applyFill="0" borderId="0" applyBorder="0" applyProtection="0" applyAlignment="0"/>
    <xf numFmtId="0" applyNumberFormat="0" fontId="20" applyFont="1" fillId="8" applyFill="1" borderId="0" applyBorder="0" applyProtection="0" applyAlignment="0"/>
    <xf numFmtId="0" applyNumberFormat="0" fontId="17" applyFont="1" fillId="0" applyFill="0" borderId="18" applyBorder="1" applyProtection="0" applyAlignment="0"/>
    <xf numFmtId="0" applyNumberFormat="0" fontId="18" applyFont="1" fillId="0" applyFill="0" borderId="19" applyBorder="1" applyProtection="0" applyAlignment="0"/>
    <xf numFmtId="0" applyNumberFormat="0" fontId="19" applyFont="1" fillId="0" applyFill="0" borderId="20" applyBorder="1" applyProtection="0" applyAlignment="0"/>
    <xf numFmtId="0" applyNumberFormat="0" fontId="19" applyFont="1" fillId="0" applyFill="0" borderId="0" applyBorder="0" applyProtection="0" applyAlignment="0"/>
    <xf numFmtId="0" applyNumberFormat="0" fontId="23" applyFont="1" fillId="11" applyFill="1" borderId="21" applyBorder="1" applyProtection="0" applyAlignment="0"/>
    <xf numFmtId="0" applyNumberFormat="0" fontId="26" applyFont="1" fillId="0" applyFill="0" borderId="23" applyBorder="1" applyProtection="0" applyAlignment="0"/>
    <xf numFmtId="0" applyNumberFormat="0" fontId="22" applyFont="1" fillId="10" applyFill="1" borderId="0" applyBorder="0" applyProtection="0" applyAlignment="0"/>
    <xf numFmtId="0" applyNumberFormat="0" fontId="33" applyFont="1" fillId="0" borderId="0" applyBorder="0" applyProtection="0" applyAlignment="0"/>
    <xf numFmtId="0" applyNumberFormat="0" fontId="2" applyFont="0" fillId="14" applyFill="1" borderId="25" applyBorder="1" applyProtection="0" applyAlignment="0"/>
    <xf numFmtId="0" applyNumberFormat="0" fontId="1" applyFont="0" fillId="14" applyFill="1" borderId="25" applyBorder="1" applyProtection="0" applyAlignment="0"/>
    <xf numFmtId="0" applyNumberFormat="0" fontId="24" applyFont="1" fillId="12" applyFill="1" borderId="22" applyBorder="1" applyProtection="0" applyAlignment="0"/>
    <xf numFmtId="0" applyNumberFormat="0" fontId="16" applyFont="1" fillId="0" applyFill="0" borderId="0" applyBorder="0" applyProtection="0" applyAlignment="0"/>
    <xf numFmtId="0" applyNumberFormat="0" fontId="30" applyFont="1" fillId="0" applyFill="0" borderId="26" applyBorder="1" applyProtection="0" applyAlignment="0"/>
    <xf numFmtId="0" applyNumberFormat="0" fontId="28" applyFont="1" fillId="0" applyFill="0" borderId="0" applyBorder="0" applyProtection="0" applyAlignment="0"/>
  </cellStyleXfs>
  <cellXfs count="155">
    <xf numFmtId="0" fontId="0" fillId="0" borderId="0" xfId="0"/>
    <xf numFmtId="0" fontId="5" applyFont="1" fillId="0" borderId="0" xfId="0"/>
    <xf numFmtId="0" fontId="4" applyFont="1" fillId="0" borderId="1" applyBorder="1" xfId="0" applyAlignment="1">
      <alignment horizontal="center" vertical="center" wrapText="1"/>
    </xf>
    <xf numFmtId="0" fontId="6" applyFont="1" fillId="0" borderId="1" applyBorder="1" xfId="0" applyAlignment="1">
      <alignment horizontal="center" vertical="center" wrapText="1"/>
    </xf>
    <xf numFmtId="0" fontId="5" applyFont="1" fillId="0" borderId="1" applyBorder="1" xfId="0" applyAlignment="1">
      <alignment horizontal="center" wrapText="1"/>
    </xf>
    <xf numFmtId="0" fontId="5" applyFont="1" fillId="0" borderId="1" applyBorder="1" xfId="0">
      <alignment wrapText="1"/>
    </xf>
    <xf numFmtId="0" fontId="5" applyFont="1" fillId="0" borderId="1" applyBorder="1" xfId="0"/>
    <xf numFmtId="0" fontId="4" applyFont="1" fillId="0" borderId="1" applyBorder="1" xfId="0">
      <alignment wrapText="1"/>
    </xf>
    <xf numFmtId="0" fontId="4" applyFont="1" fillId="0" borderId="5" applyBorder="1" xfId="0" applyAlignment="1">
      <alignment horizontal="center" vertical="center" wrapText="1"/>
    </xf>
    <xf numFmtId="0" fontId="5" applyFont="1" fillId="0" borderId="5" applyBorder="1" xfId="0"/>
    <xf numFmtId="0" fontId="4" applyFont="1" fillId="0" borderId="2" applyBorder="1" xfId="0" applyAlignment="1">
      <alignment horizontal="center" vertical="center" wrapText="1"/>
    </xf>
    <xf numFmtId="0" fontId="4" applyFont="1" fillId="0" borderId="1" applyBorder="1" xfId="0" applyAlignment="1">
      <alignment vertical="center" wrapText="1"/>
    </xf>
    <xf numFmtId="0" fontId="7" applyFont="1" fillId="0" borderId="1" applyBorder="1" xfId="0" applyAlignment="1">
      <alignment horizontal="center" vertical="center" wrapText="1"/>
    </xf>
    <xf numFmtId="0" fontId="7" applyFont="1" fillId="0" borderId="1" applyBorder="1" xfId="0" applyAlignment="1">
      <alignment horizontal="center" wrapText="1"/>
    </xf>
    <xf numFmtId="0" fontId="4" applyFont="1" fillId="0" borderId="0" xfId="0" applyAlignment="1">
      <alignment horizontal="center" vertical="center" wrapText="1"/>
    </xf>
    <xf numFmtId="0" fontId="4" applyFont="1" fillId="0" borderId="7" applyBorder="1" xfId="0" applyAlignment="1">
      <alignment horizontal="center" vertical="center" wrapText="1"/>
    </xf>
    <xf numFmtId="20" applyNumberFormat="1" fontId="5" applyFont="1" fillId="0" borderId="1" applyBorder="1" xfId="0" applyAlignment="1">
      <alignment horizontal="center" vertical="center" readingOrder="2"/>
    </xf>
    <xf numFmtId="0" fontId="5" applyFont="1" fillId="0" borderId="0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8" applyFont="1" fillId="2" applyFill="1" borderId="1" applyBorder="1" xfId="0" applyAlignment="1">
      <alignment horizontal="center" vertical="center" readingOrder="2"/>
    </xf>
    <xf numFmtId="0" fontId="8" applyFont="1" fillId="0" borderId="1" applyBorder="1" xfId="0" applyAlignment="1">
      <alignment horizontal="center" vertical="center" readingOrder="2"/>
    </xf>
    <xf numFmtId="0" fontId="8" applyFont="1" fillId="0" borderId="1" applyBorder="1" xfId="0" applyAlignment="1">
      <alignment horizontal="center" vertical="center" wrapText="1" readingOrder="2"/>
    </xf>
    <xf numFmtId="0" fontId="8" applyFont="1" fillId="3" applyFill="1" borderId="16" applyBorder="1" xfId="0" applyAlignment="1">
      <alignment horizontal="right" vertical="center" readingOrder="2"/>
    </xf>
    <xf numFmtId="0" fontId="8" applyFont="1" fillId="4" applyFill="1" borderId="16" applyBorder="1" xfId="0" applyAlignment="1">
      <alignment horizontal="right" vertical="center" readingOrder="2"/>
    </xf>
    <xf numFmtId="0" fontId="9" applyFont="1" fillId="0" borderId="1" applyBorder="1" xfId="0"/>
    <xf numFmtId="0" fontId="4" applyFont="1" fillId="5" applyFill="1" borderId="1" applyBorder="1" xfId="0"/>
    <xf numFmtId="0" fontId="10" applyFont="1" fillId="0" borderId="0" xfId="0"/>
    <xf numFmtId="0" fontId="4" applyFont="1" fillId="0" borderId="0" xfId="0">
      <alignment wrapText="1"/>
    </xf>
    <xf numFmtId="0" fontId="5" applyFont="1" fillId="0" borderId="0" xfId="0">
      <alignment wrapText="1"/>
    </xf>
    <xf numFmtId="0" fontId="4" applyFont="1" fillId="0" borderId="8" applyBorder="1" xfId="0" applyAlignment="1">
      <alignment horizontal="center" vertical="center" wrapText="1"/>
    </xf>
    <xf numFmtId="0" fontId="4" applyFont="1" fillId="0" borderId="9" applyBorder="1" xfId="0" applyAlignment="1">
      <alignment horizontal="center" vertical="center" wrapText="1"/>
    </xf>
    <xf numFmtId="0" fontId="4" applyFont="1" fillId="0" borderId="10" applyBorder="1" xfId="0" applyAlignment="1">
      <alignment horizontal="center" vertical="center" wrapText="1"/>
    </xf>
    <xf numFmtId="0" fontId="4" applyFont="1" fillId="0" borderId="14" applyBorder="1" xfId="0" applyAlignment="1">
      <alignment horizontal="center" vertical="center" wrapText="1"/>
    </xf>
    <xf numFmtId="0" fontId="4" applyFont="1" fillId="0" borderId="15" applyBorder="1" xfId="0" applyAlignment="1">
      <alignment horizontal="center" vertical="center" wrapText="1"/>
    </xf>
    <xf numFmtId="0" fontId="4" applyFont="1" fillId="0" borderId="13" applyBorder="1" xfId="0" applyAlignment="1">
      <alignment horizontal="center" vertical="center" wrapText="1"/>
    </xf>
    <xf numFmtId="0" fontId="3" applyFont="1" fillId="0" borderId="11" applyBorder="1" xfId="0" applyAlignment="1">
      <alignment horizontal="center" vertical="center" wrapText="1"/>
    </xf>
    <xf numFmtId="0" fontId="3" applyFont="1" fillId="0" borderId="0" xfId="0" applyAlignment="1">
      <alignment horizontal="center" vertical="center" wrapText="1"/>
    </xf>
    <xf numFmtId="0" fontId="3" applyFont="1" fillId="0" borderId="12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4" applyFont="1" fillId="5" applyFill="1" borderId="5" applyBorder="1" xfId="0" applyAlignment="1">
      <alignment horizontal="center"/>
    </xf>
    <xf numFmtId="0" fontId="4" applyFont="1" fillId="5" applyFill="1" borderId="7" applyBorder="1" xfId="0" applyAlignment="1">
      <alignment horizontal="center"/>
    </xf>
    <xf numFmtId="0" fontId="4" applyFont="1" fillId="5" applyFill="1" borderId="6" applyBorder="1" xfId="0" applyAlignment="1">
      <alignment horizontal="center"/>
    </xf>
    <xf numFmtId="0" fontId="13" applyFont="1" fillId="0" borderId="1" applyBorder="1" xfId="0" applyAlignment="1">
      <alignment horizontal="center" vertical="center" wrapText="1"/>
    </xf>
    <xf numFmtId="0" fontId="8" applyFont="1" fillId="4" applyFill="1" borderId="16" applyBorder="1" xfId="0" applyAlignment="1">
      <alignment horizontal="center" vertical="center" readingOrder="2"/>
    </xf>
    <xf numFmtId="0" fontId="4" applyFont="1" fillId="5" applyFill="1" borderId="0" xfId="0" applyAlignment="1">
      <alignment horizontal="right" vertical="center"/>
    </xf>
    <xf numFmtId="0" fontId="8" applyFont="1" fillId="3" applyFill="1" borderId="16" applyBorder="1" xfId="0" applyAlignment="1">
      <alignment horizontal="center" vertical="center" readingOrder="2"/>
    </xf>
    <xf numFmtId="0" fontId="8" applyFont="1" fillId="0" borderId="16" applyBorder="1" xfId="0" applyAlignment="1">
      <alignment horizontal="center" vertical="center" readingOrder="2"/>
    </xf>
    <xf numFmtId="0" fontId="8" applyFont="1" fillId="4" applyFill="1" borderId="1" applyBorder="1" xfId="0" applyAlignment="1">
      <alignment horizontal="center" vertical="center" readingOrder="2"/>
    </xf>
    <xf numFmtId="0" fontId="8" applyFont="1" fillId="3" applyFill="1" borderId="1" applyBorder="1" xfId="0" applyAlignment="1">
      <alignment horizontal="center" vertical="center" readingOrder="2"/>
    </xf>
    <xf numFmtId="0" fontId="4" applyFont="1" fillId="5" applyFill="1" borderId="9" applyBorder="1" xfId="0"/>
    <xf numFmtId="0" fontId="5" applyFont="1" fillId="0" borderId="0" xfId="0" applyAlignment="1">
      <alignment horizontal="center"/>
    </xf>
    <xf numFmtId="0" fontId="5" applyFont="1" fillId="0" borderId="1" applyBorder="1" xfId="0" applyAlignment="1">
      <alignment horizontal="center"/>
    </xf>
    <xf numFmtId="0" fontId="5" applyFont="1" fillId="6" applyFill="1" borderId="1" applyBorder="1" xfId="0"/>
    <xf numFmtId="0" fontId="5" applyFont="1" fillId="7" applyFill="1" borderId="1" applyBorder="1" xfId="0"/>
    <xf numFmtId="0" fontId="4" applyFont="1" fillId="0" borderId="1" applyBorder="1" xfId="0" applyAlignment="1">
      <alignment horizontal="center" vertical="center"/>
    </xf>
    <xf numFmtId="164" applyNumberFormat="1" fontId="4" applyFont="1" fillId="0" borderId="1" applyBorder="1" xfId="40" applyAlignment="1">
      <alignment horizontal="center" vertical="center" wrapText="1"/>
    </xf>
    <xf numFmtId="164" applyNumberFormat="1" fontId="0" applyFont="1" fillId="0" borderId="17" applyBorder="1" xfId="40" applyAlignment="1">
      <alignment horizontal="center" vertical="center"/>
    </xf>
    <xf numFmtId="164" applyNumberFormat="1" fontId="5" applyFont="1" fillId="0" borderId="1" applyBorder="1" xfId="40"/>
    <xf numFmtId="164" applyNumberFormat="1" fontId="4" applyFont="1" fillId="0" borderId="1" applyBorder="1" xfId="40" applyAlignment="1">
      <alignment vertical="center" wrapText="1"/>
    </xf>
    <xf numFmtId="164" applyNumberFormat="1" fontId="4" applyFont="1" fillId="0" applyFill="1" borderId="1" applyBorder="1" xfId="40" applyAlignment="1">
      <alignment vertical="center" wrapText="1"/>
    </xf>
    <xf numFmtId="164" applyNumberFormat="1" fontId="5" applyFont="1" fillId="0" borderId="5" applyBorder="1" xfId="40"/>
    <xf numFmtId="164" applyNumberFormat="1" fontId="5" applyFont="1" fillId="0" borderId="1" applyBorder="1" xfId="40">
      <alignment wrapText="1"/>
    </xf>
    <xf numFmtId="164" applyNumberFormat="1" fontId="5" applyFont="1" fillId="0" borderId="5" applyBorder="1" xfId="40" applyAlignment="1">
      <alignment horizontal="center" vertical="center"/>
    </xf>
    <xf numFmtId="164" applyNumberFormat="1" fontId="5" applyFont="1" fillId="0" borderId="1" applyBorder="1" xfId="40" applyAlignment="1">
      <alignment horizontal="center" vertical="center" wrapText="1"/>
    </xf>
    <xf numFmtId="164" applyNumberFormat="1" fontId="5" applyFont="1" fillId="0" applyFill="1" borderId="5" applyBorder="1" xfId="40"/>
    <xf numFmtId="164" applyNumberFormat="1" fontId="4" applyFont="1" fillId="0" applyFill="1" borderId="1" applyBorder="1" xfId="40" applyAlignment="1">
      <alignment horizontal="center" vertical="center" wrapText="1"/>
    </xf>
    <xf numFmtId="164" applyNumberFormat="1" fontId="5" applyFont="1" fillId="0" borderId="0" xfId="40"/>
    <xf numFmtId="164" applyNumberFormat="1" fontId="5" applyFont="1" fillId="0" applyFill="1" borderId="1" applyBorder="1" xfId="40">
      <alignment wrapText="1"/>
    </xf>
    <xf numFmtId="164" applyNumberFormat="1" fontId="5" applyFont="1" fillId="0" borderId="0" xfId="40" applyAlignment="1">
      <alignment horizontal="center" vertical="center"/>
    </xf>
    <xf numFmtId="164" applyNumberFormat="1" fontId="32" applyFont="1" fillId="0" borderId="1" applyBorder="1" xfId="40"/>
    <xf numFmtId="164" applyNumberFormat="1" fontId="5" applyFont="1" fillId="0" applyFill="1" borderId="1" applyBorder="1" xfId="40"/>
    <xf numFmtId="164" applyNumberFormat="1" fontId="5" applyFont="1" fillId="0" applyFill="1" borderId="0" xfId="40"/>
    <xf numFmtId="164" applyNumberFormat="1" fontId="5" applyFont="1" fillId="0" borderId="1" applyBorder="1" xfId="40" applyAlignment="1">
      <alignment horizontal="center" vertical="center"/>
    </xf>
    <xf numFmtId="164" applyNumberFormat="1" fontId="32" applyFont="1" fillId="0" borderId="1" applyBorder="1" xfId="40" applyAlignment="1">
      <alignment horizontal="center" vertical="center"/>
    </xf>
    <xf numFmtId="164" applyNumberFormat="1" fontId="34" applyFont="1" fillId="0" borderId="5" applyBorder="1" xfId="40"/>
    <xf numFmtId="164" applyNumberFormat="1" fontId="34" applyFont="1" fillId="0" borderId="5" applyBorder="1" xfId="40" applyAlignment="1">
      <alignment horizontal="center" vertical="center"/>
    </xf>
    <xf numFmtId="164" applyNumberFormat="1" fontId="34" applyFont="1" fillId="0" applyFill="1" borderId="5" applyBorder="1" xfId="40"/>
    <xf numFmtId="164" applyNumberFormat="1" fontId="34" applyFont="1" fillId="39" applyFill="1" borderId="5" applyBorder="1" xfId="40"/>
    <xf numFmtId="0" fontId="35" applyFont="1" fillId="0" borderId="8" applyBorder="1" xfId="0" applyAlignment="1">
      <alignment horizontal="center" vertical="center" wrapText="1"/>
    </xf>
    <xf numFmtId="164" applyNumberFormat="1" fontId="34" applyFont="1" fillId="0" borderId="1" applyBorder="1" xfId="40" applyAlignment="1">
      <alignment horizontal="center" vertical="center"/>
    </xf>
    <xf numFmtId="164" applyNumberFormat="1" fontId="5" applyFont="1" fillId="0" borderId="5" applyBorder="1" xfId="0"/>
    <xf numFmtId="164" applyNumberFormat="1" fontId="5" applyFont="1" fillId="0" borderId="1" applyBorder="1" xfId="0" applyAlignment="1">
      <alignment horizontal="center"/>
    </xf>
    <xf numFmtId="164" applyNumberFormat="1" fontId="5" applyFont="1" fillId="0" borderId="5" applyBorder="1" xfId="40" applyAlignment="1">
      <alignment horizontal="center"/>
    </xf>
    <xf numFmtId="164" applyNumberFormat="1" fontId="32" applyFont="1" fillId="39" applyFill="1" borderId="5" applyBorder="1" xfId="40"/>
    <xf numFmtId="0" applyNumberFormat="1" fontId="34" applyFont="1" fillId="0" borderId="5" applyBorder="1" xfId="40"/>
    <xf numFmtId="164" applyNumberFormat="1" fontId="32" applyFont="1" fillId="0" borderId="5" applyBorder="1" xfId="40"/>
    <xf numFmtId="164" applyNumberFormat="1" fontId="34" applyFont="1" fillId="0" borderId="5" applyBorder="1" xfId="40" applyAlignment="1">
      <alignment horizontal="center"/>
    </xf>
    <xf numFmtId="164" applyNumberFormat="1" fontId="34" applyFont="1" fillId="0" applyFill="1" borderId="5" applyBorder="1" xfId="40" applyAlignment="1">
      <alignment horizontal="center"/>
    </xf>
    <xf numFmtId="164" applyNumberFormat="1" fontId="5" applyFont="1" fillId="0" borderId="5" applyBorder="1" xfId="0" applyAlignment="1">
      <alignment horizontal="center"/>
    </xf>
    <xf numFmtId="164" applyNumberFormat="1" fontId="34" applyFont="1" fillId="40" applyFill="1" borderId="5" applyBorder="1" xfId="40"/>
    <xf numFmtId="0" fontId="34" applyFont="1" fillId="40" applyFill="1" borderId="5" applyBorder="1" xfId="0"/>
    <xf numFmtId="164" applyNumberFormat="1" fontId="34" applyFont="1" fillId="40" applyFill="1" borderId="1" applyBorder="1" xfId="40"/>
    <xf numFmtId="164" applyNumberFormat="1" fontId="5" applyFont="1" fillId="40" applyFill="1" borderId="1" applyBorder="1" xfId="40"/>
    <xf numFmtId="0" fontId="5" applyFont="1" fillId="40" applyFill="1" borderId="1" applyBorder="1" xfId="0" applyAlignment="1">
      <alignment horizontal="center"/>
    </xf>
    <xf numFmtId="0" fontId="4" applyFont="1" fillId="0" borderId="1" applyBorder="1" xfId="0" applyAlignment="1">
      <alignment horizontal="center" vertical="center" wrapText="1"/>
    </xf>
    <xf numFmtId="0" fontId="4" applyFont="1" fillId="0" borderId="5" applyBorder="1" xfId="0" applyAlignment="1">
      <alignment horizontal="center" vertical="center" wrapText="1"/>
    </xf>
    <xf numFmtId="0" fontId="4" applyFont="1" fillId="0" borderId="7" applyBorder="1" xfId="0" applyAlignment="1">
      <alignment horizontal="center" vertical="center" wrapText="1"/>
    </xf>
    <xf numFmtId="0" fontId="4" applyFont="1" fillId="0" borderId="6" applyBorder="1" xfId="0" applyAlignment="1">
      <alignment horizontal="center" vertical="center" wrapText="1"/>
    </xf>
    <xf numFmtId="0" fontId="3" applyFont="1" fillId="0" borderId="2" applyBorder="1" xfId="0" applyAlignment="1">
      <alignment horizontal="center" vertical="center" wrapText="1"/>
    </xf>
    <xf numFmtId="0" fontId="3" applyFont="1" fillId="0" borderId="3" applyBorder="1" xfId="0" applyAlignment="1">
      <alignment horizontal="center" vertical="center" wrapText="1"/>
    </xf>
    <xf numFmtId="0" fontId="3" applyFont="1" fillId="0" borderId="4" applyBorder="1" xfId="0" applyAlignment="1">
      <alignment horizontal="center" vertical="center" wrapText="1"/>
    </xf>
    <xf numFmtId="0" fontId="4" applyFont="1" fillId="0" borderId="8" applyBorder="1" xfId="0" applyAlignment="1">
      <alignment horizontal="center" vertical="center" wrapText="1"/>
    </xf>
    <xf numFmtId="0" fontId="4" applyFont="1" fillId="0" borderId="9" applyBorder="1" xfId="0" applyAlignment="1">
      <alignment horizontal="center" vertical="center" wrapText="1"/>
    </xf>
    <xf numFmtId="0" fontId="4" applyFont="1" fillId="0" borderId="10" applyBorder="1" xfId="0" applyAlignment="1">
      <alignment horizontal="center" vertical="center" wrapText="1"/>
    </xf>
    <xf numFmtId="0" fontId="4" applyFont="1" fillId="0" borderId="14" applyBorder="1" xfId="0" applyAlignment="1">
      <alignment horizontal="center" vertical="center" wrapText="1"/>
    </xf>
    <xf numFmtId="0" fontId="4" applyFont="1" fillId="0" borderId="15" applyBorder="1" xfId="0" applyAlignment="1">
      <alignment horizontal="center" vertical="center" wrapText="1"/>
    </xf>
    <xf numFmtId="0" fontId="4" applyFont="1" fillId="0" borderId="13" applyBorder="1" xfId="0" applyAlignment="1">
      <alignment horizontal="center" vertical="center" wrapText="1"/>
    </xf>
    <xf numFmtId="0" fontId="3" applyFont="1" fillId="0" borderId="8" applyBorder="1" xfId="0" applyAlignment="1">
      <alignment horizontal="center" vertical="center" wrapText="1"/>
    </xf>
    <xf numFmtId="0" fontId="3" applyFont="1" fillId="0" borderId="9" applyBorder="1" xfId="0" applyAlignment="1">
      <alignment horizontal="center" vertical="center" wrapText="1"/>
    </xf>
    <xf numFmtId="0" fontId="3" applyFont="1" fillId="0" borderId="10" applyBorder="1" xfId="0" applyAlignment="1">
      <alignment horizontal="center" vertical="center" wrapText="1"/>
    </xf>
    <xf numFmtId="0" fontId="3" applyFont="1" fillId="0" borderId="14" applyBorder="1" xfId="0" applyAlignment="1">
      <alignment horizontal="center" vertical="center" wrapText="1"/>
    </xf>
    <xf numFmtId="0" fontId="3" applyFont="1" fillId="0" borderId="15" applyBorder="1" xfId="0" applyAlignment="1">
      <alignment horizontal="center" vertical="center" wrapText="1"/>
    </xf>
    <xf numFmtId="0" fontId="3" applyFont="1" fillId="0" borderId="13" applyBorder="1" xfId="0" applyAlignment="1">
      <alignment horizontal="center" vertical="center" wrapText="1"/>
    </xf>
    <xf numFmtId="0" fontId="4" applyFont="1" fillId="0" borderId="11" applyBorder="1" xfId="0" applyAlignment="1">
      <alignment horizontal="center" vertical="center" wrapText="1"/>
    </xf>
    <xf numFmtId="0" fontId="4" applyFont="1" fillId="0" borderId="0" xfId="0" applyAlignment="1">
      <alignment horizontal="center" vertical="center" wrapText="1"/>
    </xf>
    <xf numFmtId="0" fontId="4" applyFont="1" fillId="0" borderId="12" applyBorder="1" xfId="0" applyAlignment="1">
      <alignment horizontal="center" vertical="center" wrapText="1"/>
    </xf>
    <xf numFmtId="0" fontId="4" applyFont="1" fillId="0" borderId="2" applyBorder="1" xfId="0" applyAlignment="1">
      <alignment horizontal="center" vertical="center" wrapText="1"/>
    </xf>
    <xf numFmtId="0" fontId="4" applyFont="1" fillId="0" borderId="3" applyBorder="1" xfId="0" applyAlignment="1">
      <alignment horizontal="center" vertical="center" wrapText="1"/>
    </xf>
    <xf numFmtId="0" fontId="4" applyFont="1" fillId="0" borderId="4" applyBorder="1" xfId="0" applyAlignment="1">
      <alignment horizontal="center" vertical="center" wrapText="1"/>
    </xf>
    <xf numFmtId="0" fontId="14" applyFont="1" fillId="0" borderId="1" applyBorder="1" xfId="0" applyAlignment="1">
      <alignment horizontal="center" vertical="center" wrapText="1"/>
    </xf>
    <xf numFmtId="0" fontId="11" applyFont="1" fillId="0" borderId="2" applyBorder="1" xfId="0" applyAlignment="1">
      <alignment horizontal="center" vertical="center" wrapText="1"/>
    </xf>
    <xf numFmtId="0" fontId="11" applyFont="1" fillId="0" borderId="3" applyBorder="1" xfId="0" applyAlignment="1">
      <alignment horizontal="center" vertical="center" wrapText="1"/>
    </xf>
    <xf numFmtId="0" fontId="11" applyFont="1" fillId="0" borderId="4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 wrapText="1"/>
    </xf>
    <xf numFmtId="0" fontId="3" applyFont="1" fillId="0" borderId="1" applyBorder="1" xfId="0" applyAlignment="1">
      <alignment horizontal="right" vertical="top" wrapText="1"/>
    </xf>
    <xf numFmtId="0" fontId="5" applyFont="1" fillId="0" borderId="2" applyBorder="1" xfId="0" applyAlignment="1">
      <alignment horizontal="center"/>
    </xf>
    <xf numFmtId="0" fontId="5" applyFont="1" fillId="0" borderId="4" applyBorder="1" xfId="0" applyAlignment="1">
      <alignment horizontal="center"/>
    </xf>
    <xf numFmtId="0" fontId="4" applyFont="1" fillId="0" borderId="5" applyBorder="1" xfId="0" applyAlignment="1">
      <alignment horizontal="center" vertical="center"/>
    </xf>
    <xf numFmtId="0" fontId="4" applyFont="1" fillId="0" borderId="6" applyBorder="1" xfId="0" applyAlignment="1">
      <alignment horizontal="center" vertical="center"/>
    </xf>
    <xf numFmtId="165" applyNumberFormat="1" fontId="5" applyFont="1" fillId="0" borderId="1" applyBorder="1" xfId="0" applyAlignment="1">
      <alignment horizontal="right" vertical="top" wrapText="1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12" applyFont="1" fillId="0" borderId="2" applyBorder="1" xfId="0" applyAlignment="1">
      <alignment horizontal="left" vertical="top"/>
    </xf>
    <xf numFmtId="0" fontId="12" applyFont="1" fillId="0" borderId="4" applyBorder="1" xfId="0" applyAlignment="1">
      <alignment horizontal="left" vertical="top"/>
    </xf>
    <xf numFmtId="0" fontId="5" applyFont="1" fillId="0" borderId="2" applyBorder="1" xfId="0" applyAlignment="1">
      <alignment horizontal="center" vertical="top"/>
    </xf>
    <xf numFmtId="0" fontId="5" applyFont="1" fillId="0" borderId="4" applyBorder="1" xfId="0" applyAlignment="1">
      <alignment horizontal="center" vertical="top"/>
    </xf>
    <xf numFmtId="0" fontId="4" applyFont="1" fillId="5" applyFill="1" borderId="5" applyBorder="1" xfId="0" applyAlignment="1">
      <alignment horizontal="center"/>
    </xf>
    <xf numFmtId="0" fontId="4" applyFont="1" fillId="5" applyFill="1" borderId="7" applyBorder="1" xfId="0" applyAlignment="1">
      <alignment horizontal="center"/>
    </xf>
    <xf numFmtId="0" fontId="4" applyFont="1" fillId="5" applyFill="1" borderId="6" applyBorder="1" xfId="0" applyAlignment="1">
      <alignment horizontal="center"/>
    </xf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 readingOrder="1"/>
    </xf>
    <xf numFmtId="0" fontId="4" applyFont="1" fillId="5" applyFill="1" borderId="1" applyBorder="1" xfId="0" applyAlignment="1">
      <alignment horizontal="center"/>
    </xf>
    <xf numFmtId="0" fontId="4" applyFont="1" fillId="5" applyFill="1" borderId="9" applyBorder="1" xfId="0" applyAlignment="1">
      <alignment horizontal="center"/>
    </xf>
    <xf numFmtId="0" fontId="4" applyFont="1" fillId="5" applyFill="1" borderId="10" applyBorder="1" xfId="0" applyAlignment="1">
      <alignment horizontal="center"/>
    </xf>
    <xf numFmtId="0" fontId="4" applyFont="1" fillId="5" applyFill="1" borderId="5" applyBorder="1" xfId="0" applyAlignment="1">
      <alignment horizontal="right" vertical="center"/>
    </xf>
    <xf numFmtId="0" fontId="4" applyFont="1" fillId="5" applyFill="1" borderId="7" applyBorder="1" xfId="0" applyAlignment="1">
      <alignment horizontal="right" vertical="center"/>
    </xf>
    <xf numFmtId="0" fontId="4" applyFont="1" fillId="5" applyFill="1" borderId="6" applyBorder="1" xfId="0" applyAlignment="1">
      <alignment horizontal="right" vertical="center"/>
    </xf>
    <xf numFmtId="0" fontId="8" applyFont="1" fillId="3" applyFill="1" borderId="9" applyBorder="1" xfId="0" applyAlignment="1">
      <alignment horizontal="center" vertical="center" readingOrder="2"/>
    </xf>
    <xf numFmtId="0" fontId="8" applyFont="1" fillId="3" applyFill="1" borderId="15" applyBorder="1" xfId="0" applyAlignment="1">
      <alignment horizontal="center" vertical="center" readingOrder="2"/>
    </xf>
    <xf numFmtId="0" fontId="8" applyFont="1" fillId="0" borderId="9" applyBorder="1" xfId="0" applyAlignment="1">
      <alignment horizontal="center" vertical="center" readingOrder="2"/>
    </xf>
    <xf numFmtId="0" fontId="8" applyFont="1" fillId="0" borderId="15" applyBorder="1" xfId="0" applyAlignment="1">
      <alignment horizontal="center" vertical="center" readingOrder="2"/>
    </xf>
    <xf numFmtId="0" fontId="8" applyFont="1" fillId="4" applyFill="1" borderId="9" applyBorder="1" xfId="0" applyAlignment="1">
      <alignment horizontal="center" vertical="center" readingOrder="2"/>
    </xf>
    <xf numFmtId="0" fontId="8" applyFont="1" fillId="4" applyFill="1" borderId="15" applyBorder="1" xfId="0" applyAlignment="1">
      <alignment horizontal="center" vertical="center" readingOrder="2"/>
    </xf>
    <xf numFmtId="0" fontId="4" applyFont="1" fillId="5" applyFill="1" borderId="9" applyBorder="1" xfId="0" applyAlignment="1">
      <alignment horizontal="center" vertical="center"/>
    </xf>
  </cellXfs>
  <cellStyles count="58">
    <cellStyle name="20% - Accent1" xfId="1" builtinId="30" customBuiltin="1"/>
    <cellStyle name="20% - Accent1 2" xfId="2"/>
    <cellStyle name="20% - Accent2" xfId="3" builtinId="34" customBuiltin="1"/>
    <cellStyle name="20% - Accent2 2" xfId="4"/>
    <cellStyle name="20% - Accent3" xfId="5" builtinId="38" customBuiltin="1"/>
    <cellStyle name="20% - Accent3 2" xfId="6"/>
    <cellStyle name="20% - Accent4" xfId="7" builtinId="42" customBuiltin="1"/>
    <cellStyle name="20% - Accent4 2" xfId="8"/>
    <cellStyle name="20% - Accent5" xfId="9" builtinId="46" customBuiltin="1"/>
    <cellStyle name="20% - Accent5 2" xfId="10"/>
    <cellStyle name="20% - Accent6" xfId="11" builtinId="50" customBuiltin="1"/>
    <cellStyle name="20% - Accent6 2" xfId="12"/>
    <cellStyle name="40% - Accent1" xfId="13" builtinId="31" customBuiltin="1"/>
    <cellStyle name="40% - Accent1 2" xfId="14"/>
    <cellStyle name="40% - Accent2" xfId="15" builtinId="35" customBuiltin="1"/>
    <cellStyle name="40% - Accent2 2" xfId="16"/>
    <cellStyle name="40% - Accent3" xfId="17" builtinId="39" customBuiltin="1"/>
    <cellStyle name="40% - Accent3 2" xfId="18"/>
    <cellStyle name="40% - Accent4" xfId="19" builtinId="43" customBuiltin="1"/>
    <cellStyle name="40% - Accent4 2" xfId="20"/>
    <cellStyle name="40% - Accent5" xfId="21" builtinId="47" customBuiltin="1"/>
    <cellStyle name="40% - Accent5 2" xfId="22"/>
    <cellStyle name="40% - Accent6" xfId="23" builtinId="51" customBuiltin="1"/>
    <cellStyle name="40% - Accent6 2" xfId="24"/>
    <cellStyle name="60% - Accent1" xfId="25" builtinId="32" customBuiltin="1"/>
    <cellStyle name="60% - Accent2" xfId="26" builtinId="36" customBuiltin="1"/>
    <cellStyle name="60% - Accent3" xfId="27" builtinId="40" customBuiltin="1"/>
    <cellStyle name="60% - Accent4" xfId="28" builtinId="44" customBuiltin="1"/>
    <cellStyle name="60% - Accent5" xfId="29" builtinId="48" customBuiltin="1"/>
    <cellStyle name="60% - Accent6" xfId="30" builtinId="52" customBuiltin="1"/>
    <cellStyle name="Accent1" xfId="31" builtinId="29" customBuiltin="1"/>
    <cellStyle name="Accent2" xfId="32" builtinId="33" customBuiltin="1"/>
    <cellStyle name="Accent3" xfId="33" builtinId="37" customBuiltin="1"/>
    <cellStyle name="Accent4" xfId="34" builtinId="41" customBuiltin="1"/>
    <cellStyle name="Accent5" xfId="35" builtinId="45" customBuiltin="1"/>
    <cellStyle name="Accent6" xfId="36" builtinId="49" customBuiltin="1"/>
    <cellStyle name="Bad" xfId="37" builtinId="27" customBuiltin="1"/>
    <cellStyle name="Calculation" xfId="38" builtinId="22" customBuiltin="1"/>
    <cellStyle name="Check Cell" xfId="39" builtinId="23" customBuiltin="1"/>
    <cellStyle name="Comma" xfId="40" builtinId="3"/>
    <cellStyle name="Comma 2" xfId="41"/>
    <cellStyle name="Explanatory Text" xfId="42" builtinId="53" customBuiltin="1"/>
    <cellStyle name="Good" xfId="43" builtinId="26" customBuiltin="1"/>
    <cellStyle name="Heading 1" xfId="44" builtinId="16" customBuiltin="1"/>
    <cellStyle name="Heading 2" xfId="45" builtinId="17" customBuiltin="1"/>
    <cellStyle name="Heading 3" xfId="46" builtinId="18" customBuiltin="1"/>
    <cellStyle name="Heading 4" xfId="47" builtinId="19" customBuiltin="1"/>
    <cellStyle name="Input" xfId="48" builtinId="20" customBuiltin="1"/>
    <cellStyle name="Linked Cell" xfId="49" builtinId="24" customBuiltin="1"/>
    <cellStyle name="Neutral" xfId="50" builtinId="28" customBuiltin="1"/>
    <cellStyle name="Normal" xfId="0" builtinId="0"/>
    <cellStyle name="Normal 2" xfId="51"/>
    <cellStyle name="Note 2" xfId="52"/>
    <cellStyle name="Note 3" xfId="53"/>
    <cellStyle name="Output" xfId="54" builtinId="21" customBuiltin="1"/>
    <cellStyle name="Title" xfId="55" builtinId="15" customBuiltin="1"/>
    <cellStyle name="Total" xfId="56" builtinId="25" customBuiltin="1"/>
    <cellStyle name="Warning Text" xfId="5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BB28"/>
  <sheetViews>
    <sheetView rightToLeft="1" tabSelected="1" topLeftCell="AR4" zoomScaleNormal="100" workbookViewId="0">
      <selection activeCell="AY7" sqref="AY7:AY9"/>
    </sheetView>
  </sheetViews>
  <sheetFormatPr defaultRowHeight="15"/>
  <cols>
    <col min="1" max="1" width="9.42578125" customWidth="1"/>
    <col min="2" max="2" bestFit="1" width="58" customWidth="1"/>
    <col min="3" max="3" bestFit="1" width="20.140625" customWidth="1"/>
    <col min="4" max="4" bestFit="1" width="31.5703125" customWidth="1"/>
    <col min="5" max="5" width="21.5703125" customWidth="1"/>
    <col min="6" max="6" bestFit="1" width="17.85546875" customWidth="1"/>
    <col min="7" max="7" bestFit="1" width="33.28515625" customWidth="1"/>
    <col min="8" max="8" bestFit="1" width="40" customWidth="1"/>
    <col min="9" max="9" bestFit="1" width="7.28515625" customWidth="1"/>
    <col min="10" max="10" bestFit="1" width="17.85546875" customWidth="1"/>
    <col min="11" max="11" bestFit="1" width="14.7109375" customWidth="1"/>
    <col min="12" max="12" bestFit="1" width="33.28515625" customWidth="1"/>
    <col min="13" max="13" bestFit="1" width="40" customWidth="1"/>
    <col min="14" max="14" bestFit="1" width="14.7109375" customWidth="1"/>
    <col min="15" max="15" bestFit="1" width="15" customWidth="1"/>
    <col min="16" max="16" bestFit="1" width="14.7109375" customWidth="1"/>
    <col min="17" max="17" bestFit="1" width="33.28515625" customWidth="1"/>
    <col min="18" max="18" bestFit="1" width="40" customWidth="1"/>
    <col min="19" max="19" bestFit="1" width="7.28515625" customWidth="1"/>
    <col min="20" max="20" bestFit="1" width="15" customWidth="1"/>
    <col min="21" max="21" bestFit="1" width="13.42578125" customWidth="1"/>
    <col min="22" max="22" bestFit="1" width="33.140625" customWidth="1"/>
    <col min="23" max="23" bestFit="1" width="39.85546875" customWidth="1"/>
    <col min="24" max="24" bestFit="1" width="7.28515625" customWidth="1"/>
    <col min="25" max="25" bestFit="1" width="14.85546875" customWidth="1"/>
    <col min="26" max="26" bestFit="1" width="13.42578125" customWidth="1"/>
    <col min="27" max="27" bestFit="1" width="33.140625" customWidth="1"/>
    <col min="28" max="28" bestFit="1" width="39.85546875" customWidth="1"/>
    <col min="29" max="29" bestFit="1" width="7.28515625" customWidth="1"/>
    <col min="30" max="30" bestFit="1" width="14.85546875" customWidth="1"/>
    <col min="31" max="31" bestFit="1" width="13.5703125" customWidth="1"/>
    <col min="32" max="32" bestFit="1" width="33.28515625" customWidth="1"/>
    <col min="33" max="33" bestFit="1" width="33.5703125" customWidth="1"/>
    <col min="34" max="34" bestFit="1" width="15" customWidth="1"/>
    <col min="35" max="35" bestFit="1" width="16.42578125" customWidth="1"/>
    <col min="36" max="36" bestFit="1" width="33.28515625" customWidth="1"/>
    <col min="37" max="37" bestFit="1" width="28" customWidth="1"/>
    <col min="38" max="38" bestFit="1" width="17.85546875" customWidth="1"/>
    <col min="39" max="39" bestFit="1" width="150.5703125" customWidth="1"/>
    <col min="40" max="43" width="32.42578125" customWidth="1"/>
    <col min="44" max="44" bestFit="1" width="14.7109375" customWidth="1"/>
    <col min="45" max="45" bestFit="1" width="12.7109375" customWidth="1"/>
    <col min="46" max="46" bestFit="1" width="21.140625" customWidth="1"/>
    <col min="47" max="47" bestFit="1" width="22.5703125" customWidth="1"/>
    <col min="48" max="48" bestFit="1" width="25.28515625" customWidth="1"/>
    <col min="49" max="49" bestFit="1" width="10.7109375" customWidth="1"/>
    <col min="50" max="50" bestFit="1" width="18.42578125" customWidth="1"/>
    <col min="51" max="51" bestFit="1" width="17.85546875" customWidth="1"/>
    <col min="52" max="52" bestFit="1" width="37" customWidth="1"/>
    <col min="53" max="53" bestFit="1" width="17.85546875" customWidth="1"/>
    <col min="54" max="54" bestFit="1" width="20.42578125" customWidth="1"/>
  </cols>
  <sheetData>
    <row r="2" ht="105" customHeight="1" s="1" customFormat="1">
      <c r="B2" s="120" t="s">
        <v>93</v>
      </c>
      <c r="C2" s="94" t="s">
        <v>94</v>
      </c>
      <c r="D2" s="116" t="s">
        <v>95</v>
      </c>
      <c r="E2" s="119" t="s">
        <v>96</v>
      </c>
      <c r="F2" s="107" t="s">
        <v>97</v>
      </c>
      <c r="G2" s="108"/>
      <c r="H2" s="108"/>
      <c r="I2" s="108"/>
      <c r="J2" s="109"/>
      <c r="K2" s="95" t="s">
        <v>98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7"/>
      <c r="AE2" s="101" t="s">
        <v>99</v>
      </c>
      <c r="AF2" s="102"/>
      <c r="AG2" s="102"/>
      <c r="AH2" s="103"/>
      <c r="AI2" s="101" t="s">
        <v>100</v>
      </c>
      <c r="AJ2" s="102"/>
      <c r="AK2" s="102"/>
      <c r="AL2" s="103"/>
      <c r="AM2" s="98" t="s">
        <v>101</v>
      </c>
      <c r="AN2" s="124" t="s">
        <v>102</v>
      </c>
      <c r="AO2" s="124"/>
      <c r="AP2" s="124"/>
      <c r="AQ2" s="124"/>
      <c r="AR2" s="94" t="s">
        <v>103</v>
      </c>
      <c r="AS2" s="94"/>
      <c r="AT2" s="94"/>
      <c r="AU2" s="94"/>
      <c r="AV2" s="94"/>
      <c r="AW2" s="94"/>
      <c r="AX2" s="94"/>
      <c r="AY2" s="94"/>
      <c r="AZ2" s="94"/>
      <c r="BA2" s="94"/>
    </row>
    <row r="3" ht="105" customHeight="1" s="1" customFormat="1">
      <c r="B3" s="121"/>
      <c r="C3" s="94"/>
      <c r="D3" s="117"/>
      <c r="E3" s="94"/>
      <c r="F3" s="110"/>
      <c r="G3" s="111"/>
      <c r="H3" s="111"/>
      <c r="I3" s="111"/>
      <c r="J3" s="112"/>
      <c r="K3" s="95" t="s">
        <v>104</v>
      </c>
      <c r="L3" s="96"/>
      <c r="M3" s="96"/>
      <c r="N3" s="96"/>
      <c r="O3" s="97"/>
      <c r="P3" s="95" t="s">
        <v>105</v>
      </c>
      <c r="Q3" s="96"/>
      <c r="R3" s="96"/>
      <c r="S3" s="96"/>
      <c r="T3" s="97"/>
      <c r="U3" s="95" t="s">
        <v>106</v>
      </c>
      <c r="V3" s="96"/>
      <c r="W3" s="96"/>
      <c r="X3" s="96"/>
      <c r="Y3" s="97"/>
      <c r="Z3" s="95" t="s">
        <v>107</v>
      </c>
      <c r="AA3" s="96"/>
      <c r="AB3" s="96"/>
      <c r="AC3" s="96"/>
      <c r="AD3" s="97"/>
      <c r="AE3" s="104"/>
      <c r="AF3" s="105"/>
      <c r="AG3" s="105"/>
      <c r="AH3" s="106"/>
      <c r="AI3" s="104"/>
      <c r="AJ3" s="105"/>
      <c r="AK3" s="105"/>
      <c r="AL3" s="106"/>
      <c r="AM3" s="99"/>
      <c r="AN3" s="99"/>
      <c r="AO3" s="99"/>
      <c r="AP3" s="99"/>
      <c r="AQ3" s="99"/>
      <c r="AR3" s="2" t="s">
        <v>108</v>
      </c>
      <c r="AS3" s="2" t="s">
        <v>109</v>
      </c>
      <c r="AT3" s="2" t="s">
        <v>110</v>
      </c>
      <c r="AU3" s="2" t="s">
        <v>111</v>
      </c>
      <c r="AV3" s="2" t="s">
        <v>112</v>
      </c>
      <c r="AW3" s="2" t="s">
        <v>113</v>
      </c>
      <c r="AX3" s="2" t="s">
        <v>114</v>
      </c>
      <c r="AY3" s="2" t="s">
        <v>115</v>
      </c>
      <c r="AZ3" s="2" t="s">
        <v>116</v>
      </c>
      <c r="BA3" s="123" t="s">
        <v>117</v>
      </c>
    </row>
    <row r="4" ht="105" customHeight="1" s="17" customFormat="1">
      <c r="B4" s="121"/>
      <c r="C4" s="94"/>
      <c r="D4" s="117"/>
      <c r="E4" s="94"/>
      <c r="F4" s="35" t="s">
        <v>118</v>
      </c>
      <c r="G4" s="36" t="s">
        <v>119</v>
      </c>
      <c r="H4" s="36" t="s">
        <v>120</v>
      </c>
      <c r="I4" s="36"/>
      <c r="J4" s="37"/>
      <c r="K4" s="35" t="s">
        <v>121</v>
      </c>
      <c r="L4" s="36" t="s">
        <v>122</v>
      </c>
      <c r="M4" s="36" t="s">
        <v>123</v>
      </c>
      <c r="N4" s="30"/>
      <c r="O4" s="31"/>
      <c r="P4" s="29" t="s">
        <v>124</v>
      </c>
      <c r="Q4" s="30"/>
      <c r="R4" s="30"/>
      <c r="S4" s="30"/>
      <c r="T4" s="31"/>
      <c r="U4" s="29"/>
      <c r="V4" s="30"/>
      <c r="W4" s="30"/>
      <c r="X4" s="30"/>
      <c r="Y4" s="31"/>
      <c r="Z4" s="78"/>
      <c r="AA4" s="30"/>
      <c r="AB4" s="30"/>
      <c r="AC4" s="30"/>
      <c r="AD4" s="31"/>
      <c r="AE4" s="32" t="s">
        <v>125</v>
      </c>
      <c r="AF4" s="33" t="s">
        <v>126</v>
      </c>
      <c r="AG4" s="33" t="s">
        <v>127</v>
      </c>
      <c r="AH4" s="34"/>
      <c r="AI4" s="32" t="s">
        <v>128</v>
      </c>
      <c r="AJ4" s="33" t="s">
        <v>129</v>
      </c>
      <c r="AK4" s="33" t="s">
        <v>130</v>
      </c>
      <c r="AL4" s="33"/>
      <c r="AM4" s="99"/>
      <c r="AN4" s="99"/>
      <c r="AO4" s="99"/>
      <c r="AP4" s="99"/>
      <c r="AQ4" s="99"/>
      <c r="AR4" s="38" t="s">
        <v>131</v>
      </c>
      <c r="AS4" s="38" t="s">
        <v>132</v>
      </c>
      <c r="AT4" s="38" t="s">
        <v>133</v>
      </c>
      <c r="AU4" s="38" t="s">
        <v>134</v>
      </c>
      <c r="AV4" s="38" t="s">
        <v>135</v>
      </c>
      <c r="AW4" s="38" t="s">
        <v>136</v>
      </c>
      <c r="AX4" s="38" t="s">
        <v>137</v>
      </c>
      <c r="AY4" s="38" t="s">
        <v>138</v>
      </c>
      <c r="AZ4" s="38" t="s">
        <v>139</v>
      </c>
      <c r="BA4" s="123"/>
    </row>
    <row r="5" ht="45" s="1" customFormat="1">
      <c r="B5" s="122"/>
      <c r="C5" s="94"/>
      <c r="D5" s="118"/>
      <c r="E5" s="94"/>
      <c r="F5" s="10" t="s">
        <v>140</v>
      </c>
      <c r="G5" s="10" t="s">
        <v>141</v>
      </c>
      <c r="H5" s="10" t="s">
        <v>142</v>
      </c>
      <c r="I5" s="10" t="s">
        <v>143</v>
      </c>
      <c r="J5" s="10" t="s">
        <v>144</v>
      </c>
      <c r="K5" s="10" t="s">
        <v>140</v>
      </c>
      <c r="L5" s="10" t="s">
        <v>145</v>
      </c>
      <c r="M5" s="10" t="s">
        <v>146</v>
      </c>
      <c r="N5" s="10" t="s">
        <v>143</v>
      </c>
      <c r="O5" s="10" t="s">
        <v>144</v>
      </c>
      <c r="P5" s="10" t="s">
        <v>140</v>
      </c>
      <c r="Q5" s="10" t="s">
        <v>145</v>
      </c>
      <c r="R5" s="10" t="s">
        <v>146</v>
      </c>
      <c r="S5" s="10" t="s">
        <v>143</v>
      </c>
      <c r="T5" s="10" t="s">
        <v>144</v>
      </c>
      <c r="U5" s="10" t="s">
        <v>140</v>
      </c>
      <c r="V5" s="10" t="s">
        <v>145</v>
      </c>
      <c r="W5" s="10" t="s">
        <v>146</v>
      </c>
      <c r="X5" s="10" t="s">
        <v>143</v>
      </c>
      <c r="Y5" s="10" t="s">
        <v>144</v>
      </c>
      <c r="Z5" s="10" t="s">
        <v>140</v>
      </c>
      <c r="AA5" s="10" t="s">
        <v>145</v>
      </c>
      <c r="AB5" s="10" t="s">
        <v>146</v>
      </c>
      <c r="AC5" s="10" t="s">
        <v>143</v>
      </c>
      <c r="AD5" s="10" t="s">
        <v>144</v>
      </c>
      <c r="AE5" s="2" t="s">
        <v>140</v>
      </c>
      <c r="AF5" s="2" t="s">
        <v>147</v>
      </c>
      <c r="AG5" s="2" t="s">
        <v>148</v>
      </c>
      <c r="AH5" s="2" t="s">
        <v>144</v>
      </c>
      <c r="AI5" s="2" t="s">
        <v>140</v>
      </c>
      <c r="AJ5" s="2" t="s">
        <v>147</v>
      </c>
      <c r="AK5" s="2" t="s">
        <v>148</v>
      </c>
      <c r="AL5" s="8" t="s">
        <v>144</v>
      </c>
      <c r="AM5" s="100"/>
      <c r="AN5" s="100"/>
      <c r="AO5" s="100"/>
      <c r="AP5" s="100"/>
      <c r="AQ5" s="100"/>
      <c r="AR5" s="3" t="s">
        <v>40</v>
      </c>
      <c r="AS5" s="3" t="s">
        <v>40</v>
      </c>
      <c r="AT5" s="3" t="s">
        <v>40</v>
      </c>
      <c r="AU5" s="3" t="s">
        <v>40</v>
      </c>
      <c r="AV5" s="3" t="s">
        <v>40</v>
      </c>
      <c r="AW5" s="3" t="s">
        <v>40</v>
      </c>
      <c r="AX5" s="3" t="s">
        <v>40</v>
      </c>
      <c r="AY5" s="3" t="s">
        <v>40</v>
      </c>
      <c r="AZ5" s="3" t="s">
        <v>40</v>
      </c>
      <c r="BA5" s="123"/>
    </row>
    <row r="6" ht="30" customHeight="1" s="68" customFormat="1">
      <c r="B6" s="120" t="s">
        <v>149</v>
      </c>
      <c r="C6" s="55"/>
      <c r="D6" s="55"/>
      <c r="E6" s="63"/>
      <c r="F6" s="62" t="s">
        <v>150</v>
      </c>
      <c r="G6" s="56" t="s">
        <v>151</v>
      </c>
      <c r="H6" s="62" t="s">
        <v>152</v>
      </c>
      <c r="I6" s="62"/>
      <c r="J6" s="62" t="s">
        <v>153</v>
      </c>
      <c r="K6" s="62" t="s">
        <v>154</v>
      </c>
      <c r="L6" s="56" t="s">
        <v>155</v>
      </c>
      <c r="M6" s="62" t="s">
        <v>152</v>
      </c>
      <c r="N6" s="62"/>
      <c r="O6" s="62" t="s">
        <v>156</v>
      </c>
      <c r="P6" s="62" t="s">
        <v>150</v>
      </c>
      <c r="Q6" s="62" t="s">
        <v>155</v>
      </c>
      <c r="R6" s="62" t="s">
        <v>152</v>
      </c>
      <c r="S6" s="62"/>
      <c r="T6" s="62" t="s">
        <v>153</v>
      </c>
      <c r="U6" s="62" t="s">
        <v>150</v>
      </c>
      <c r="V6" s="62" t="s">
        <v>155</v>
      </c>
      <c r="W6" s="62" t="s">
        <v>152</v>
      </c>
      <c r="X6" s="62"/>
      <c r="Y6" s="62" t="s">
        <v>153</v>
      </c>
      <c r="Z6" s="62" t="s">
        <v>150</v>
      </c>
      <c r="AA6" s="62" t="s">
        <v>155</v>
      </c>
      <c r="AB6" s="62" t="s">
        <v>152</v>
      </c>
      <c r="AC6" s="62"/>
      <c r="AD6" s="62" t="s">
        <v>153</v>
      </c>
      <c r="AE6" s="62" t="s">
        <v>150</v>
      </c>
      <c r="AF6" s="62" t="s">
        <v>155</v>
      </c>
      <c r="AG6" s="62" t="s">
        <v>157</v>
      </c>
      <c r="AH6" s="62" t="s">
        <v>153</v>
      </c>
      <c r="AI6" s="62" t="s">
        <v>150</v>
      </c>
      <c r="AJ6" s="62" t="s">
        <v>155</v>
      </c>
      <c r="AK6" s="62" t="s">
        <v>157</v>
      </c>
      <c r="AL6" s="62" t="s">
        <v>156</v>
      </c>
      <c r="AM6" s="62" t="s">
        <v>158</v>
      </c>
      <c r="AN6" s="62"/>
      <c r="AO6" s="62"/>
      <c r="AP6" s="62"/>
      <c r="AQ6" s="62"/>
      <c r="AR6" s="69">
        <f>T7</f>
        <v>0</v>
      </c>
      <c r="AS6" s="57">
        <v>0</v>
      </c>
      <c r="AT6" s="57">
        <v>0</v>
      </c>
      <c r="AU6" s="57">
        <v>0</v>
      </c>
      <c r="AW6" s="69">
        <v>0</v>
      </c>
      <c r="AX6" s="69">
        <v>0</v>
      </c>
      <c r="AZ6" s="69">
        <v>0</v>
      </c>
      <c r="BA6" s="73"/>
    </row>
    <row r="7" ht="30" customHeight="1" s="66" customFormat="1">
      <c r="B7" s="121"/>
      <c r="C7" s="58"/>
      <c r="D7" s="55"/>
      <c r="E7" s="60" t="s">
        <v>159</v>
      </c>
      <c r="F7" s="89">
        <v>2685506.34</v>
      </c>
      <c r="G7" s="89">
        <v>57815.07</v>
      </c>
      <c r="H7" s="89">
        <v>214933.07</v>
      </c>
      <c r="I7" s="74"/>
      <c r="J7" s="74">
        <f>F7+G7-H7</f>
        <v>0</v>
      </c>
      <c r="K7" s="89">
        <v>184765.47</v>
      </c>
      <c r="L7" s="89">
        <v>33196.87</v>
      </c>
      <c r="M7" s="89">
        <v>28248.2</v>
      </c>
      <c r="N7" s="83"/>
      <c r="O7" s="86">
        <f>K7+L7-M7</f>
        <v>0</v>
      </c>
      <c r="P7" s="89">
        <v>0</v>
      </c>
      <c r="Q7" s="74">
        <v>0</v>
      </c>
      <c r="R7" s="74">
        <v>0</v>
      </c>
      <c r="S7" s="74"/>
      <c r="T7" s="77">
        <f>P7</f>
        <v>0</v>
      </c>
      <c r="U7" s="74"/>
      <c r="V7" s="75"/>
      <c r="W7" s="74"/>
      <c r="X7" s="74"/>
      <c r="Y7" s="74"/>
      <c r="Z7" s="74"/>
      <c r="AA7" s="75"/>
      <c r="AB7" s="74"/>
      <c r="AC7" s="74"/>
      <c r="AD7" s="74"/>
      <c r="AE7" s="89">
        <v>18245.72</v>
      </c>
      <c r="AF7" s="89">
        <v>3.89</v>
      </c>
      <c r="AG7" s="89">
        <v>-20.733</v>
      </c>
      <c r="AH7" s="76">
        <f>AE7+AF7-AG7</f>
        <v>0</v>
      </c>
      <c r="AI7" s="89">
        <v>1509610.136</v>
      </c>
      <c r="AJ7" s="89">
        <v>711.6</v>
      </c>
      <c r="AK7" s="89">
        <v>65.23</v>
      </c>
      <c r="AL7" s="74">
        <f>AI7+AJ7-AK7</f>
        <v>0</v>
      </c>
      <c r="AM7" s="60" t="s">
        <v>159</v>
      </c>
      <c r="AN7" s="60"/>
      <c r="AO7" s="60"/>
      <c r="AP7" s="60"/>
      <c r="AQ7" s="60"/>
      <c r="AR7" s="55"/>
      <c r="AS7" s="61"/>
      <c r="AT7" s="57"/>
      <c r="AU7" s="57"/>
      <c r="AV7" s="91">
        <v>3778304</v>
      </c>
      <c r="AW7" s="57"/>
      <c r="AX7" s="57"/>
      <c r="AY7" s="91">
        <v>4393458</v>
      </c>
      <c r="AZ7" s="57"/>
      <c r="BA7" s="72">
        <f>AZ7+AY7+AX7+AW7+AV7+AU7+AT7+AS7+AR7</f>
        <v>0</v>
      </c>
      <c r="BB7" s="60" t="s">
        <v>160</v>
      </c>
    </row>
    <row r="8" ht="30" customHeight="1" s="71" customFormat="1">
      <c r="B8" s="121"/>
      <c r="C8" s="59"/>
      <c r="D8" s="65"/>
      <c r="E8" s="64" t="s">
        <v>161</v>
      </c>
      <c r="F8" s="89">
        <v>21768.09</v>
      </c>
      <c r="G8" s="89">
        <v>0</v>
      </c>
      <c r="H8" s="89">
        <v>2154.62</v>
      </c>
      <c r="I8" s="76"/>
      <c r="J8" s="76">
        <f>F8+G8-H8</f>
        <v>0</v>
      </c>
      <c r="K8" s="89">
        <v>26.54</v>
      </c>
      <c r="L8" s="89">
        <v>169.65</v>
      </c>
      <c r="M8" s="89">
        <v>168.04</v>
      </c>
      <c r="N8" s="83"/>
      <c r="O8" s="87">
        <f>K8+L8-M8</f>
        <v>0</v>
      </c>
      <c r="P8" s="76">
        <v>0</v>
      </c>
      <c r="Q8" s="76">
        <v>0</v>
      </c>
      <c r="R8" s="76">
        <v>0</v>
      </c>
      <c r="S8" s="76"/>
      <c r="T8" s="76">
        <v>0</v>
      </c>
      <c r="U8" s="76"/>
      <c r="V8" s="76"/>
      <c r="W8" s="76"/>
      <c r="X8" s="76"/>
      <c r="Y8" s="76"/>
      <c r="Z8" s="76"/>
      <c r="AA8" s="76"/>
      <c r="AB8" s="76"/>
      <c r="AC8" s="76"/>
      <c r="AD8" s="76"/>
      <c r="AE8" s="89">
        <v>270.27</v>
      </c>
      <c r="AF8" s="89">
        <v>0</v>
      </c>
      <c r="AG8" s="89">
        <v>26.363</v>
      </c>
      <c r="AH8" s="76">
        <f>AE8+AF8-AG8</f>
        <v>0</v>
      </c>
      <c r="AI8" s="89">
        <v>3291.49</v>
      </c>
      <c r="AJ8" s="89">
        <v>813.54</v>
      </c>
      <c r="AK8" s="89">
        <v>275.36</v>
      </c>
      <c r="AL8" s="84">
        <f>AI8+AJ8-AK8</f>
        <v>0</v>
      </c>
      <c r="AM8" s="64" t="s">
        <v>161</v>
      </c>
      <c r="AN8" s="64"/>
      <c r="AO8" s="64"/>
      <c r="AP8" s="64"/>
      <c r="AQ8" s="64"/>
      <c r="AR8" s="70">
        <v>0</v>
      </c>
      <c r="AS8" s="67">
        <v>0</v>
      </c>
      <c r="AT8" s="70">
        <v>0</v>
      </c>
      <c r="AU8" s="70">
        <v>0</v>
      </c>
      <c r="AV8" s="92">
        <v>0</v>
      </c>
      <c r="AW8" s="70">
        <v>0</v>
      </c>
      <c r="AX8" s="70">
        <v>0</v>
      </c>
      <c r="AY8" s="91">
        <v>81000</v>
      </c>
      <c r="AZ8" s="70">
        <v>0</v>
      </c>
      <c r="BA8" s="79">
        <f>AZ8+AY8+AX8+AW8+AV8+AU8+AT8+AS8+AR8</f>
        <v>0</v>
      </c>
      <c r="BB8" s="64" t="s">
        <v>161</v>
      </c>
    </row>
    <row r="9" ht="30" customHeight="1" s="1" customFormat="1">
      <c r="B9" s="121"/>
      <c r="C9" s="11"/>
      <c r="D9" s="2"/>
      <c r="E9" s="9" t="s">
        <v>162</v>
      </c>
      <c r="F9" s="89">
        <v>324724.06</v>
      </c>
      <c r="G9" s="89">
        <v>437.69</v>
      </c>
      <c r="H9" s="89">
        <v>11998.09</v>
      </c>
      <c r="I9" s="9"/>
      <c r="J9" s="82">
        <f>F9+G9-H9</f>
        <v>0</v>
      </c>
      <c r="K9" s="89">
        <v>31289.64</v>
      </c>
      <c r="L9" s="89">
        <v>4139.67</v>
      </c>
      <c r="M9" s="89">
        <v>4213.1</v>
      </c>
      <c r="N9" s="85"/>
      <c r="O9" s="82">
        <f>K9+L9-M9</f>
        <v>0</v>
      </c>
      <c r="P9" s="76">
        <v>0</v>
      </c>
      <c r="Q9" s="9"/>
      <c r="R9" s="9"/>
      <c r="S9" s="9"/>
      <c r="T9" s="76">
        <v>0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0">
        <v>1405.95</v>
      </c>
      <c r="AF9" s="90">
        <v>6.02</v>
      </c>
      <c r="AG9" s="90">
        <v>30.6</v>
      </c>
      <c r="AH9" s="9">
        <f>AE9+AF9-AG9</f>
        <v>0</v>
      </c>
      <c r="AI9" s="89">
        <v>100191.07</v>
      </c>
      <c r="AJ9" s="89">
        <v>0</v>
      </c>
      <c r="AK9" s="89">
        <v>0</v>
      </c>
      <c r="AL9" s="9">
        <f>AI9+AJ9-AK9</f>
        <v>0</v>
      </c>
      <c r="AM9" s="9" t="s">
        <v>162</v>
      </c>
      <c r="AN9" s="9"/>
      <c r="AO9" s="9"/>
      <c r="AP9" s="9"/>
      <c r="AQ9" s="9"/>
      <c r="AR9" s="2"/>
      <c r="AS9" s="5"/>
      <c r="AT9" s="6"/>
      <c r="AU9" s="6"/>
      <c r="AV9" s="92">
        <v>676177</v>
      </c>
      <c r="AW9" s="6"/>
      <c r="AX9" s="6"/>
      <c r="AY9" s="93">
        <v>95900</v>
      </c>
      <c r="AZ9" s="6"/>
      <c r="BA9" s="51">
        <f>AZ9+AY9+AX9+AV9+AU9+AT9+AS9+AR9</f>
        <v>0</v>
      </c>
      <c r="BB9" s="9" t="s">
        <v>162</v>
      </c>
    </row>
    <row r="10" ht="30" customHeight="1" s="1" customFormat="1">
      <c r="B10" s="121"/>
      <c r="C10" s="11"/>
      <c r="D10" s="2"/>
      <c r="E10" s="80" t="s">
        <v>163</v>
      </c>
      <c r="F10" s="80">
        <f>SUM(F7:F9)</f>
        <v>0</v>
      </c>
      <c r="G10" s="80">
        <f ref="G10:AY10" t="shared" si="0">SUM(G7:G9)</f>
        <v>0</v>
      </c>
      <c r="H10" s="80">
        <f t="shared" si="0"/>
        <v>0</v>
      </c>
      <c r="I10" s="80">
        <f t="shared" si="0"/>
        <v>0</v>
      </c>
      <c r="J10" s="80">
        <f t="shared" si="0"/>
        <v>0</v>
      </c>
      <c r="K10" s="80">
        <f t="shared" si="0"/>
        <v>0</v>
      </c>
      <c r="L10" s="80">
        <f t="shared" si="0"/>
        <v>0</v>
      </c>
      <c r="M10" s="80">
        <f t="shared" si="0"/>
        <v>0</v>
      </c>
      <c r="N10" s="80">
        <f t="shared" si="0"/>
        <v>0</v>
      </c>
      <c r="O10" s="88">
        <f t="shared" si="0"/>
        <v>0</v>
      </c>
      <c r="P10" s="80">
        <f t="shared" si="0"/>
        <v>0</v>
      </c>
      <c r="Q10" s="80">
        <f t="shared" si="0"/>
        <v>0</v>
      </c>
      <c r="R10" s="80">
        <f t="shared" si="0"/>
        <v>0</v>
      </c>
      <c r="S10" s="80">
        <f t="shared" si="0"/>
        <v>0</v>
      </c>
      <c r="T10" s="80">
        <f t="shared" si="0"/>
        <v>0</v>
      </c>
      <c r="U10" s="80">
        <f t="shared" si="0"/>
        <v>0</v>
      </c>
      <c r="V10" s="80">
        <f t="shared" si="0"/>
        <v>0</v>
      </c>
      <c r="W10" s="80">
        <f t="shared" si="0"/>
        <v>0</v>
      </c>
      <c r="X10" s="80">
        <f t="shared" si="0"/>
        <v>0</v>
      </c>
      <c r="Y10" s="80">
        <f t="shared" si="0"/>
        <v>0</v>
      </c>
      <c r="Z10" s="80">
        <f t="shared" si="0"/>
        <v>0</v>
      </c>
      <c r="AA10" s="80">
        <f t="shared" si="0"/>
        <v>0</v>
      </c>
      <c r="AB10" s="80">
        <f t="shared" si="0"/>
        <v>0</v>
      </c>
      <c r="AC10" s="80">
        <f t="shared" si="0"/>
        <v>0</v>
      </c>
      <c r="AD10" s="80">
        <f t="shared" si="0"/>
        <v>0</v>
      </c>
      <c r="AE10" s="80">
        <f t="shared" si="0"/>
        <v>0</v>
      </c>
      <c r="AF10" s="80">
        <f t="shared" si="0"/>
        <v>0</v>
      </c>
      <c r="AG10" s="80">
        <f t="shared" si="0"/>
        <v>0</v>
      </c>
      <c r="AH10" s="80">
        <f t="shared" si="0"/>
        <v>0</v>
      </c>
      <c r="AI10" s="80">
        <f t="shared" si="0"/>
        <v>0</v>
      </c>
      <c r="AJ10" s="80">
        <f t="shared" si="0"/>
        <v>0</v>
      </c>
      <c r="AK10" s="80">
        <f t="shared" si="0"/>
        <v>0</v>
      </c>
      <c r="AL10" s="80">
        <f t="shared" si="0"/>
        <v>0</v>
      </c>
      <c r="AM10" s="80" t="s">
        <v>163</v>
      </c>
      <c r="AN10" s="80">
        <f t="shared" si="0"/>
        <v>0</v>
      </c>
      <c r="AO10" s="80">
        <f t="shared" si="0"/>
        <v>0</v>
      </c>
      <c r="AP10" s="80">
        <f t="shared" si="0"/>
        <v>0</v>
      </c>
      <c r="AQ10" s="80">
        <f t="shared" si="0"/>
        <v>0</v>
      </c>
      <c r="AR10" s="80">
        <f t="shared" si="0"/>
        <v>0</v>
      </c>
      <c r="AS10" s="80">
        <f t="shared" si="0"/>
        <v>0</v>
      </c>
      <c r="AT10" s="80">
        <f t="shared" si="0"/>
        <v>0</v>
      </c>
      <c r="AU10" s="80">
        <f t="shared" si="0"/>
        <v>0</v>
      </c>
      <c r="AV10" s="80">
        <f t="shared" si="0"/>
        <v>0</v>
      </c>
      <c r="AW10" s="80">
        <f t="shared" si="0"/>
        <v>0</v>
      </c>
      <c r="AX10" s="80">
        <f t="shared" si="0"/>
        <v>0</v>
      </c>
      <c r="AY10" s="80">
        <f t="shared" si="0"/>
        <v>0</v>
      </c>
      <c r="AZ10" s="6"/>
      <c r="BA10" s="81">
        <f>SUM(BA7:BA9)</f>
        <v>0</v>
      </c>
      <c r="BB10" s="9" t="s">
        <v>163</v>
      </c>
    </row>
    <row r="11" ht="30" customHeight="1" s="1" customFormat="1">
      <c r="B11" s="121"/>
      <c r="C11" s="11"/>
      <c r="D11" s="2"/>
      <c r="E11" s="5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2"/>
      <c r="AS11" s="5"/>
      <c r="AT11" s="6"/>
      <c r="AU11" s="6"/>
      <c r="AV11" s="6"/>
      <c r="AW11" s="6"/>
      <c r="AX11" s="6"/>
      <c r="AY11" s="6"/>
      <c r="AZ11" s="6"/>
      <c r="BA11" s="6"/>
    </row>
    <row r="12" ht="30" customHeight="1" s="1" customFormat="1">
      <c r="B12" s="121"/>
      <c r="C12" s="11"/>
      <c r="D12" s="2"/>
      <c r="E12" s="7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7"/>
      <c r="AS12" s="7"/>
      <c r="AT12" s="7"/>
      <c r="AU12" s="7"/>
      <c r="AV12" s="7"/>
      <c r="AW12" s="7"/>
      <c r="AX12" s="7"/>
      <c r="AY12" s="7"/>
      <c r="AZ12" s="7"/>
      <c r="BA12" s="6"/>
    </row>
    <row r="13" ht="30" customHeight="1" s="1" customFormat="1">
      <c r="B13" s="122"/>
      <c r="C13" s="7" t="s">
        <v>164</v>
      </c>
      <c r="D13" s="7"/>
      <c r="E13" s="7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7"/>
      <c r="AS13" s="7"/>
      <c r="AT13" s="7"/>
      <c r="AU13" s="7"/>
      <c r="AV13" s="7"/>
      <c r="AW13" s="7"/>
      <c r="AX13" s="7"/>
      <c r="AY13" s="7"/>
      <c r="AZ13" s="7"/>
      <c r="BA13" s="6"/>
    </row>
    <row r="14" ht="30" customHeight="1" s="1" customFormat="1">
      <c r="C14" s="27"/>
      <c r="D14" s="27"/>
      <c r="E14" s="27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7"/>
      <c r="AS14" s="27"/>
      <c r="AT14" s="27"/>
      <c r="AU14" s="27"/>
      <c r="AV14" s="27"/>
      <c r="AW14" s="27"/>
      <c r="AX14" s="27"/>
      <c r="AY14" s="27"/>
      <c r="AZ14" s="27"/>
    </row>
    <row r="15" ht="30" customHeight="1" s="1" customFormat="1">
      <c r="C15" s="27"/>
      <c r="D15" s="27"/>
      <c r="E15" s="27"/>
      <c r="L15" s="66"/>
      <c r="M15" s="66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7"/>
      <c r="AS15" s="27"/>
      <c r="AT15" s="27"/>
      <c r="AU15" s="27"/>
      <c r="AV15" s="27"/>
      <c r="AW15" s="27"/>
      <c r="AX15" s="27"/>
      <c r="AY15" s="27"/>
      <c r="AZ15" s="27"/>
    </row>
    <row r="16" ht="30" customHeight="1" s="1" customFormat="1">
      <c r="C16" s="27"/>
      <c r="D16" s="27"/>
      <c r="E16" s="27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7"/>
      <c r="AS16" s="27"/>
      <c r="AT16" s="27"/>
      <c r="AU16" s="27"/>
      <c r="AV16" s="27"/>
      <c r="AW16" s="27"/>
      <c r="AX16" s="27"/>
      <c r="AY16" s="27"/>
      <c r="AZ16" s="27"/>
    </row>
    <row r="17" ht="30" customHeight="1"/>
    <row r="18" ht="30" customHeight="1"/>
    <row r="19" ht="30" customHeight="1"/>
    <row r="20">
      <c r="B20" s="101" t="s">
        <v>165</v>
      </c>
      <c r="C20" s="102"/>
      <c r="D20" s="103"/>
    </row>
    <row r="21" ht="63.75" customHeight="1">
      <c r="B21" s="113"/>
      <c r="C21" s="114"/>
      <c r="D21" s="115"/>
    </row>
    <row r="22" ht="29.25" customHeight="1">
      <c r="B22" s="94" t="s">
        <v>166</v>
      </c>
      <c r="C22" s="94"/>
      <c r="D22" s="94"/>
    </row>
    <row r="23" ht="51.75" customHeight="1">
      <c r="B23" s="94"/>
      <c r="C23" s="94"/>
      <c r="D23" s="94"/>
    </row>
    <row r="24" ht="51.75" customHeight="1">
      <c r="B24" s="15"/>
      <c r="C24" s="14"/>
      <c r="D24" s="14"/>
    </row>
    <row r="25" ht="32.25" customHeight="1"/>
    <row r="26" ht="31.5">
      <c r="B26" s="26"/>
    </row>
    <row r="27" ht="31.5">
      <c r="B27" s="26"/>
    </row>
    <row r="28" ht="31.5">
      <c r="B28" s="26"/>
    </row>
  </sheetData>
  <mergeCells>
    <mergeCell ref="AR2:BA2"/>
    <mergeCell ref="BA3:BA5"/>
    <mergeCell ref="AN2:AQ2"/>
    <mergeCell ref="AN3:AN5"/>
    <mergeCell ref="AO3:AO5"/>
    <mergeCell ref="AP3:AP5"/>
    <mergeCell ref="AQ3:AQ5"/>
    <mergeCell ref="B22:D23"/>
    <mergeCell ref="K2:AD2"/>
    <mergeCell ref="Z3:AD3"/>
    <mergeCell ref="AM2:AM5"/>
    <mergeCell ref="AE2:AH3"/>
    <mergeCell ref="AI2:AL3"/>
    <mergeCell ref="F2:J3"/>
    <mergeCell ref="P3:T3"/>
    <mergeCell ref="K3:O3"/>
    <mergeCell ref="U3:Y3"/>
    <mergeCell ref="B20:D21"/>
    <mergeCell ref="C2:C5"/>
    <mergeCell ref="D2:D5"/>
    <mergeCell ref="E2:E5"/>
    <mergeCell ref="B2:B5"/>
    <mergeCell ref="B6:B13"/>
  </mergeCells>
  <pageMargins left="0" right="0" top="0" bottom="0" header="0" footer="0.31496062992126"/>
  <pageSetup paperSize="8" scale="1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5"/>
  <sheetViews>
    <sheetView rightToLeft="1" workbookViewId="0">
      <selection sqref="A1:A2"/>
    </sheetView>
  </sheetViews>
  <sheetFormatPr defaultRowHeight="15"/>
  <cols>
    <col min="1" max="1" width="21.42578125" customWidth="1"/>
    <col min="6" max="6" width="10" customWidth="1"/>
  </cols>
  <sheetData>
    <row r="1">
      <c r="A1" s="94" t="s">
        <v>52</v>
      </c>
      <c r="B1" s="94" t="s">
        <v>53</v>
      </c>
      <c r="C1" s="94" t="s">
        <v>54</v>
      </c>
      <c r="D1" s="94" t="s">
        <v>55</v>
      </c>
      <c r="E1" s="94" t="s">
        <v>56</v>
      </c>
      <c r="F1" s="94" t="s">
        <v>57</v>
      </c>
    </row>
    <row r="2">
      <c r="A2" s="94"/>
      <c r="B2" s="94"/>
      <c r="C2" s="94"/>
      <c r="D2" s="94"/>
      <c r="E2" s="94"/>
      <c r="F2" s="94"/>
    </row>
    <row r="3" ht="15.75">
      <c r="A3" s="12"/>
      <c r="B3" s="4"/>
      <c r="C3" s="4"/>
      <c r="D3" s="4"/>
      <c r="E3" s="4"/>
      <c r="F3" s="4"/>
    </row>
    <row r="4" ht="15.75">
      <c r="A4" s="12"/>
      <c r="B4" s="4"/>
      <c r="C4" s="4"/>
      <c r="D4" s="4"/>
      <c r="E4" s="4"/>
      <c r="F4" s="4"/>
    </row>
    <row r="5" ht="15.75">
      <c r="A5" s="12"/>
      <c r="B5" s="4"/>
      <c r="C5" s="4"/>
      <c r="D5" s="4"/>
      <c r="E5" s="4"/>
      <c r="F5" s="4"/>
    </row>
    <row r="6" ht="15.75">
      <c r="A6" s="12"/>
      <c r="B6" s="4"/>
      <c r="C6" s="4"/>
      <c r="D6" s="4"/>
      <c r="E6" s="4"/>
      <c r="F6" s="4"/>
    </row>
    <row r="7" ht="15.75">
      <c r="A7" s="12"/>
      <c r="B7" s="4"/>
      <c r="C7" s="4"/>
      <c r="D7" s="4"/>
      <c r="E7" s="4"/>
      <c r="F7" s="4"/>
    </row>
    <row r="8" ht="15.75">
      <c r="A8" s="12"/>
      <c r="B8" s="4"/>
      <c r="C8" s="4"/>
      <c r="D8" s="4"/>
      <c r="E8" s="4"/>
      <c r="F8" s="4"/>
    </row>
    <row r="9" ht="15.75">
      <c r="A9" s="12"/>
      <c r="B9" s="4"/>
      <c r="C9" s="4"/>
      <c r="D9" s="4"/>
      <c r="E9" s="4"/>
      <c r="F9" s="4"/>
    </row>
    <row r="10" ht="15.75">
      <c r="A10" s="12"/>
      <c r="B10" s="4"/>
      <c r="C10" s="4"/>
      <c r="D10" s="4"/>
      <c r="E10" s="4"/>
      <c r="F10" s="4"/>
    </row>
    <row r="11" ht="15.75">
      <c r="A11" s="12"/>
      <c r="B11" s="4"/>
      <c r="C11" s="4"/>
      <c r="D11" s="4"/>
      <c r="E11" s="4"/>
      <c r="F11" s="4"/>
    </row>
    <row r="12" ht="15.75">
      <c r="A12" s="12"/>
      <c r="B12" s="4"/>
      <c r="C12" s="4"/>
      <c r="D12" s="4"/>
      <c r="E12" s="4"/>
      <c r="F12" s="4"/>
    </row>
    <row r="13" ht="15.75">
      <c r="A13" s="12"/>
      <c r="B13" s="4"/>
      <c r="C13" s="4"/>
      <c r="D13" s="4"/>
      <c r="E13" s="4"/>
      <c r="F13" s="4"/>
    </row>
    <row r="14" ht="15.75">
      <c r="A14" s="12"/>
      <c r="B14" s="4"/>
      <c r="C14" s="4"/>
      <c r="D14" s="4"/>
      <c r="E14" s="4"/>
      <c r="F14" s="4"/>
    </row>
    <row r="15" ht="15.75">
      <c r="A15" s="13" t="s">
        <v>58</v>
      </c>
      <c r="B15" s="5"/>
      <c r="C15" s="5"/>
      <c r="D15" s="5"/>
      <c r="E15" s="5"/>
      <c r="F15" s="5"/>
    </row>
  </sheetData>
  <mergeCells>
    <mergeCell ref="D1:D2"/>
    <mergeCell ref="E1:E2"/>
    <mergeCell ref="F1:F2"/>
    <mergeCell ref="A1:A2"/>
    <mergeCell ref="B1:B2"/>
    <mergeCell ref="C1:C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17"/>
  <sheetViews>
    <sheetView rightToLeft="1" topLeftCell="A7" workbookViewId="0">
      <selection activeCell="E16" sqref="E16"/>
    </sheetView>
  </sheetViews>
  <sheetFormatPr defaultColWidth="9" defaultRowHeight="14.25"/>
  <cols>
    <col min="1" max="1" width="7.85546875" customWidth="1" style="1"/>
    <col min="2" max="2" hidden="1" width="10.140625" customWidth="1" style="1"/>
    <col min="3" max="3" bestFit="1" width="61.28515625" customWidth="1" style="1"/>
    <col min="4" max="4" bestFit="1" width="57.5703125" customWidth="1" style="1"/>
    <col min="5" max="5" bestFit="1" width="18" customWidth="1" style="1"/>
    <col min="6" max="6" bestFit="1" width="14.140625" customWidth="1" style="1"/>
    <col min="7" max="7" bestFit="1" width="14" customWidth="1" style="1"/>
    <col min="8" max="8" bestFit="1" width="13.5703125" customWidth="1" style="1"/>
    <col min="9" max="9" bestFit="1" width="12.85546875" customWidth="1" style="1"/>
    <col min="10" max="10" bestFit="1" width="22.28515625" customWidth="1" style="1"/>
    <col min="11" max="11" width="22.140625" customWidth="1" style="1"/>
    <col min="12" max="12" bestFit="1" width="81.85546875" customWidth="1" style="1"/>
    <col min="13" max="13" bestFit="1" width="21" customWidth="1" style="1"/>
    <col min="14" max="14" bestFit="1" width="40.28515625" customWidth="1" style="1"/>
    <col min="15" max="16384" width="9" customWidth="1" style="1"/>
  </cols>
  <sheetData>
    <row r="1" ht="81" customHeight="1" s="17" customFormat="1">
      <c r="A1" s="19"/>
      <c r="B1" s="20" t="s">
        <v>17</v>
      </c>
      <c r="C1" s="20" t="s">
        <v>59</v>
      </c>
      <c r="D1" s="20" t="s">
        <v>60</v>
      </c>
      <c r="E1" s="21" t="s">
        <v>61</v>
      </c>
      <c r="F1" s="19" t="s">
        <v>62</v>
      </c>
      <c r="G1" s="20" t="s">
        <v>7</v>
      </c>
      <c r="H1" s="19" t="s">
        <v>63</v>
      </c>
      <c r="I1" s="20" t="s">
        <v>64</v>
      </c>
      <c r="J1" s="19" t="s">
        <v>65</v>
      </c>
      <c r="K1" s="20" t="s">
        <v>66</v>
      </c>
      <c r="L1" s="20" t="s">
        <v>67</v>
      </c>
      <c r="M1" s="19" t="s">
        <v>68</v>
      </c>
      <c r="N1" s="20" t="s">
        <v>69</v>
      </c>
    </row>
    <row r="2" ht="81" customHeight="1" s="17" customFormat="1">
      <c r="A2" s="19"/>
      <c r="B2" s="20"/>
      <c r="C2" s="20" t="s">
        <v>70</v>
      </c>
      <c r="D2" s="20" t="s">
        <v>71</v>
      </c>
      <c r="E2" s="21" t="s">
        <v>72</v>
      </c>
      <c r="F2" s="19" t="s">
        <v>73</v>
      </c>
      <c r="G2" s="20" t="s">
        <v>74</v>
      </c>
      <c r="H2" s="19" t="s">
        <v>42</v>
      </c>
      <c r="I2" s="20" t="s">
        <v>75</v>
      </c>
      <c r="J2" s="42" t="s">
        <v>76</v>
      </c>
      <c r="K2" s="21" t="s">
        <v>77</v>
      </c>
      <c r="L2" s="20" t="s">
        <v>78</v>
      </c>
      <c r="M2" s="19" t="s">
        <v>79</v>
      </c>
      <c r="N2" s="20" t="s">
        <v>80</v>
      </c>
    </row>
    <row r="3" s="17" customFormat="1">
      <c r="A3" s="18"/>
      <c r="B3" s="18"/>
      <c r="C3" s="18">
        <v>1492</v>
      </c>
      <c r="D3" s="18">
        <v>22000000</v>
      </c>
      <c r="E3" s="18"/>
      <c r="F3" s="18"/>
      <c r="G3" s="18"/>
      <c r="H3" s="18"/>
      <c r="I3" s="18"/>
      <c r="J3" s="18"/>
      <c r="K3" s="18"/>
      <c r="L3" s="16"/>
      <c r="M3" s="18"/>
      <c r="N3" s="18"/>
    </row>
    <row r="4" s="17" customFormat="1">
      <c r="A4" s="18"/>
      <c r="B4" s="18"/>
      <c r="C4" s="18">
        <v>1497</v>
      </c>
      <c r="D4" s="18">
        <v>22100000</v>
      </c>
      <c r="E4" s="18"/>
      <c r="F4" s="18"/>
      <c r="G4" s="18"/>
      <c r="H4" s="18"/>
      <c r="I4" s="18"/>
      <c r="J4" s="18"/>
      <c r="K4" s="18"/>
      <c r="L4" s="18"/>
      <c r="M4" s="18"/>
      <c r="N4" s="18"/>
    </row>
    <row r="5" s="17" customFormat="1">
      <c r="A5" s="18"/>
      <c r="B5" s="18"/>
      <c r="C5" s="18">
        <v>1438</v>
      </c>
      <c r="D5" s="18">
        <v>29250000</v>
      </c>
      <c r="E5" s="18"/>
      <c r="F5" s="18"/>
      <c r="G5" s="18"/>
      <c r="H5" s="18"/>
      <c r="I5" s="18"/>
      <c r="J5" s="18"/>
      <c r="K5" s="18"/>
      <c r="L5" s="18"/>
      <c r="M5" s="18"/>
      <c r="N5" s="18"/>
    </row>
    <row r="6" s="17" customFormat="1">
      <c r="A6" s="18"/>
      <c r="B6" s="18"/>
      <c r="C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="17" customForma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9" ht="18.75" customHeight="1">
      <c r="A9" s="6" t="s">
        <v>81</v>
      </c>
      <c r="B9" s="6"/>
      <c r="C9" s="127" t="s">
        <v>82</v>
      </c>
      <c r="D9" s="128"/>
      <c r="E9" s="6" t="s">
        <v>40</v>
      </c>
    </row>
    <row r="10">
      <c r="A10" s="135">
        <v>1492</v>
      </c>
      <c r="B10" s="130">
        <v>22000000</v>
      </c>
      <c r="C10" s="130" t="s">
        <v>83</v>
      </c>
      <c r="D10" s="52" t="s">
        <v>84</v>
      </c>
      <c r="E10" s="125" t="s">
        <v>85</v>
      </c>
    </row>
    <row r="11">
      <c r="A11" s="136"/>
      <c r="B11" s="132"/>
      <c r="C11" s="131"/>
      <c r="D11" s="52" t="s">
        <v>86</v>
      </c>
      <c r="E11" s="126"/>
    </row>
    <row r="12">
      <c r="A12" s="125">
        <v>1497</v>
      </c>
      <c r="B12" s="130">
        <v>22100000</v>
      </c>
      <c r="C12" s="131"/>
      <c r="D12" s="53" t="s">
        <v>87</v>
      </c>
      <c r="E12" s="125" t="s">
        <v>85</v>
      </c>
    </row>
    <row r="13">
      <c r="A13" s="126"/>
      <c r="B13" s="132"/>
      <c r="C13" s="131"/>
      <c r="D13" s="53" t="s">
        <v>88</v>
      </c>
      <c r="E13" s="126"/>
    </row>
    <row r="14">
      <c r="A14" s="125">
        <v>1438</v>
      </c>
      <c r="B14" s="130">
        <v>29250000</v>
      </c>
      <c r="C14" s="131"/>
      <c r="D14" s="6" t="s">
        <v>89</v>
      </c>
      <c r="E14" s="125" t="s">
        <v>85</v>
      </c>
    </row>
    <row r="15">
      <c r="A15" s="126"/>
      <c r="B15" s="132"/>
      <c r="C15" s="132"/>
      <c r="D15" s="6" t="s">
        <v>90</v>
      </c>
      <c r="E15" s="126"/>
    </row>
    <row r="16" ht="24.75" customHeight="1">
      <c r="A16" s="133" t="s">
        <v>91</v>
      </c>
      <c r="B16" s="129" t="s">
        <v>92</v>
      </c>
      <c r="C16" s="129"/>
      <c r="D16" s="129"/>
    </row>
    <row r="17" ht="76.5" customHeight="1">
      <c r="A17" s="134"/>
      <c r="B17" s="129"/>
      <c r="C17" s="129"/>
      <c r="D17" s="129"/>
    </row>
  </sheetData>
  <mergeCells>
    <mergeCell ref="A16:A17"/>
    <mergeCell ref="B10:B11"/>
    <mergeCell ref="B12:B13"/>
    <mergeCell ref="B14:B15"/>
    <mergeCell ref="A14:A15"/>
    <mergeCell ref="A12:A13"/>
    <mergeCell ref="A10:A11"/>
    <mergeCell ref="E10:E11"/>
    <mergeCell ref="E12:E13"/>
    <mergeCell ref="E14:E15"/>
    <mergeCell ref="C9:D9"/>
    <mergeCell ref="B16:D17"/>
    <mergeCell ref="C10:C15"/>
  </mergeCells>
  <pageMargins left="0.7" right="0.7" top="0.75" bottom="0.75" header="0.3" footer="0.3"/>
  <pageSetup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A22"/>
  <sheetViews>
    <sheetView rightToLeft="1" topLeftCell="C1" workbookViewId="0">
      <selection sqref="A1:F1"/>
    </sheetView>
  </sheetViews>
  <sheetFormatPr defaultColWidth="9" defaultRowHeight="14.25"/>
  <cols>
    <col min="1" max="1" hidden="1" width="9" customWidth="1" style="1"/>
    <col min="2" max="2" hidden="1" width="9.85546875" customWidth="1" style="1"/>
    <col min="3" max="3" bestFit="1" width="11.42578125" customWidth="1" style="1"/>
    <col min="4" max="4" bestFit="1" width="16.7109375" customWidth="1" style="1"/>
    <col min="5" max="5" bestFit="1" width="9.140625" customWidth="1" style="1"/>
    <col min="6" max="6" width="34.42578125" customWidth="1" style="1"/>
    <col min="7" max="7" bestFit="1" width="12.5703125" customWidth="1" style="1"/>
    <col min="8" max="8" bestFit="1" width="24.5703125" customWidth="1" style="1"/>
    <col min="9" max="9" hidden="1" width="13" customWidth="1" style="1"/>
    <col min="10" max="10" bestFit="1" width="13.5703125" customWidth="1" style="1"/>
    <col min="11" max="11" bestFit="1" width="12.7109375" customWidth="1" style="1"/>
    <col min="12" max="12" width="18.85546875" customWidth="1" style="1"/>
    <col min="13" max="13" bestFit="1" width="20.7109375" customWidth="1" style="1"/>
    <col min="14" max="27" width="18.85546875" customWidth="1" style="1"/>
    <col min="28" max="16384" width="9" customWidth="1" style="1"/>
  </cols>
  <sheetData>
    <row r="1" ht="15">
      <c r="A1" s="145" t="s">
        <v>0</v>
      </c>
      <c r="B1" s="146"/>
      <c r="C1" s="146"/>
      <c r="D1" s="146"/>
      <c r="E1" s="146"/>
      <c r="F1" s="147"/>
      <c r="G1" s="25"/>
      <c r="H1" s="25"/>
      <c r="I1" s="25"/>
      <c r="J1" s="25"/>
      <c r="K1" s="25"/>
      <c r="L1" s="25"/>
      <c r="M1" s="25"/>
      <c r="N1" s="137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9"/>
    </row>
    <row r="2" ht="15">
      <c r="A2" s="154" t="s">
        <v>1</v>
      </c>
      <c r="B2" s="154"/>
      <c r="C2" s="154"/>
      <c r="D2" s="154"/>
      <c r="E2" s="154"/>
      <c r="F2" s="154"/>
      <c r="G2" s="49"/>
      <c r="H2" s="49"/>
      <c r="I2" s="49"/>
      <c r="J2" s="49"/>
      <c r="K2" s="49"/>
      <c r="L2" s="25"/>
      <c r="M2" s="25"/>
      <c r="N2" s="39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1"/>
    </row>
    <row r="3" ht="15">
      <c r="A3" s="44"/>
      <c r="B3" s="44"/>
      <c r="C3" s="44"/>
      <c r="D3" s="44"/>
      <c r="E3" s="44"/>
      <c r="F3" s="148" t="s">
        <v>2</v>
      </c>
      <c r="G3" s="150" t="s">
        <v>3</v>
      </c>
      <c r="H3" s="148" t="s">
        <v>4</v>
      </c>
      <c r="I3" s="152" t="s">
        <v>5</v>
      </c>
      <c r="J3" s="148" t="s">
        <v>6</v>
      </c>
      <c r="K3" s="152" t="s">
        <v>7</v>
      </c>
      <c r="L3" s="142" t="s">
        <v>8</v>
      </c>
      <c r="M3" s="142"/>
      <c r="N3" s="142" t="s">
        <v>9</v>
      </c>
      <c r="O3" s="142"/>
      <c r="P3" s="142" t="s">
        <v>10</v>
      </c>
      <c r="Q3" s="142"/>
      <c r="R3" s="142" t="s">
        <v>11</v>
      </c>
      <c r="S3" s="142"/>
      <c r="T3" s="142" t="s">
        <v>12</v>
      </c>
      <c r="U3" s="142"/>
      <c r="V3" s="142" t="s">
        <v>13</v>
      </c>
      <c r="W3" s="142"/>
      <c r="X3" s="142" t="s">
        <v>14</v>
      </c>
      <c r="Y3" s="142"/>
      <c r="Z3" s="142" t="s">
        <v>15</v>
      </c>
      <c r="AA3" s="142"/>
    </row>
    <row r="4">
      <c r="A4" s="22" t="s">
        <v>16</v>
      </c>
      <c r="B4" s="23" t="s">
        <v>17</v>
      </c>
      <c r="C4" s="22" t="s">
        <v>18</v>
      </c>
      <c r="D4" s="43" t="s">
        <v>19</v>
      </c>
      <c r="E4" s="22" t="s">
        <v>20</v>
      </c>
      <c r="F4" s="149"/>
      <c r="G4" s="151"/>
      <c r="H4" s="149"/>
      <c r="I4" s="153"/>
      <c r="J4" s="149"/>
      <c r="K4" s="153"/>
      <c r="L4" s="47" t="s">
        <v>21</v>
      </c>
      <c r="M4" s="48" t="s">
        <v>22</v>
      </c>
      <c r="N4" s="47" t="s">
        <v>23</v>
      </c>
      <c r="O4" s="48" t="s">
        <v>24</v>
      </c>
      <c r="P4" s="47" t="s">
        <v>25</v>
      </c>
      <c r="Q4" s="48" t="s">
        <v>26</v>
      </c>
      <c r="R4" s="47" t="s">
        <v>27</v>
      </c>
      <c r="S4" s="48" t="s">
        <v>28</v>
      </c>
      <c r="T4" s="47" t="s">
        <v>29</v>
      </c>
      <c r="U4" s="48" t="s">
        <v>30</v>
      </c>
      <c r="V4" s="47" t="s">
        <v>31</v>
      </c>
      <c r="W4" s="48" t="s">
        <v>32</v>
      </c>
      <c r="X4" s="47" t="s">
        <v>33</v>
      </c>
      <c r="Y4" s="48" t="s">
        <v>34</v>
      </c>
      <c r="Z4" s="47" t="s">
        <v>35</v>
      </c>
      <c r="AA4" s="48" t="s">
        <v>36</v>
      </c>
    </row>
    <row r="5" ht="15">
      <c r="A5" s="6"/>
      <c r="B5" s="6"/>
      <c r="C5" s="6" t="s">
        <v>37</v>
      </c>
      <c r="D5" s="54">
        <v>539</v>
      </c>
      <c r="E5" s="6" t="s">
        <v>38</v>
      </c>
      <c r="F5" s="6" t="s">
        <v>39</v>
      </c>
      <c r="G5" s="51" t="s">
        <v>40</v>
      </c>
      <c r="H5" s="6" t="s">
        <v>41</v>
      </c>
      <c r="I5" s="6"/>
      <c r="J5" s="6" t="s">
        <v>42</v>
      </c>
      <c r="K5" s="9" t="s">
        <v>43</v>
      </c>
      <c r="L5" s="47" t="s">
        <v>44</v>
      </c>
      <c r="M5" s="48" t="s">
        <v>45</v>
      </c>
      <c r="N5" s="47" t="s">
        <v>44</v>
      </c>
      <c r="O5" s="48" t="s">
        <v>45</v>
      </c>
      <c r="P5" s="47" t="s">
        <v>44</v>
      </c>
      <c r="Q5" s="48" t="s">
        <v>45</v>
      </c>
      <c r="R5" s="47" t="s">
        <v>44</v>
      </c>
      <c r="S5" s="48" t="s">
        <v>45</v>
      </c>
      <c r="T5" s="47" t="s">
        <v>44</v>
      </c>
      <c r="U5" s="48" t="s">
        <v>45</v>
      </c>
      <c r="V5" s="47" t="s">
        <v>44</v>
      </c>
      <c r="W5" s="48" t="s">
        <v>45</v>
      </c>
      <c r="X5" s="47" t="s">
        <v>44</v>
      </c>
      <c r="Y5" s="48" t="s">
        <v>45</v>
      </c>
      <c r="Z5" s="47" t="s">
        <v>44</v>
      </c>
      <c r="AA5" s="48" t="s">
        <v>45</v>
      </c>
    </row>
    <row r="6">
      <c r="A6" s="6"/>
      <c r="B6" s="6"/>
      <c r="C6" s="6"/>
      <c r="D6" s="24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6"/>
      <c r="C7" s="6"/>
      <c r="D7" s="24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6"/>
      <c r="C8" s="6"/>
      <c r="D8" s="24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10" ht="15">
      <c r="A10" s="137" t="s">
        <v>46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9"/>
    </row>
    <row r="11" ht="15">
      <c r="A11" s="143" t="s">
        <v>47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4"/>
    </row>
    <row r="12" s="50" customFormat="1">
      <c r="A12" s="45" t="s">
        <v>16</v>
      </c>
      <c r="B12" s="43" t="s">
        <v>17</v>
      </c>
      <c r="C12" s="45" t="s">
        <v>18</v>
      </c>
      <c r="D12" s="43" t="s">
        <v>48</v>
      </c>
      <c r="E12" s="45" t="s">
        <v>20</v>
      </c>
      <c r="F12" s="45" t="s">
        <v>2</v>
      </c>
      <c r="G12" s="46" t="s">
        <v>3</v>
      </c>
      <c r="H12" s="45" t="s">
        <v>4</v>
      </c>
      <c r="I12" s="43" t="s">
        <v>5</v>
      </c>
      <c r="J12" s="45" t="s">
        <v>6</v>
      </c>
      <c r="K12" s="47" t="s">
        <v>7</v>
      </c>
    </row>
    <row r="13" ht="15">
      <c r="A13" s="6"/>
      <c r="B13" s="6"/>
      <c r="C13" s="6" t="s">
        <v>37</v>
      </c>
      <c r="D13" s="54">
        <v>539</v>
      </c>
      <c r="E13" s="6" t="s">
        <v>38</v>
      </c>
      <c r="F13" s="6" t="s">
        <v>39</v>
      </c>
      <c r="G13" s="51" t="s">
        <v>40</v>
      </c>
      <c r="H13" s="6" t="s">
        <v>41</v>
      </c>
      <c r="I13" s="6"/>
      <c r="J13" s="6" t="s">
        <v>42</v>
      </c>
      <c r="K13" s="9" t="s">
        <v>43</v>
      </c>
    </row>
    <row r="14">
      <c r="A14" s="6"/>
      <c r="B14" s="6"/>
      <c r="C14" s="6"/>
      <c r="D14" s="24"/>
      <c r="E14" s="6"/>
      <c r="F14" s="6"/>
      <c r="G14" s="6"/>
      <c r="H14" s="6"/>
      <c r="I14" s="6"/>
      <c r="J14" s="6"/>
      <c r="K14" s="6"/>
    </row>
    <row r="15">
      <c r="A15" s="6"/>
      <c r="B15" s="6"/>
      <c r="C15" s="6"/>
      <c r="D15" s="24"/>
      <c r="E15" s="6"/>
      <c r="F15" s="6"/>
      <c r="G15" s="6"/>
      <c r="H15" s="6"/>
      <c r="I15" s="6"/>
      <c r="J15" s="6"/>
      <c r="K15" s="6"/>
    </row>
    <row r="16">
      <c r="A16" s="6"/>
      <c r="B16" s="6"/>
      <c r="C16" s="6"/>
      <c r="D16" s="24"/>
      <c r="E16" s="6"/>
      <c r="F16" s="6"/>
      <c r="G16" s="6"/>
      <c r="H16" s="6"/>
      <c r="I16" s="6"/>
      <c r="J16" s="6"/>
      <c r="K16" s="6"/>
    </row>
    <row r="19">
      <c r="A19" s="140" t="s">
        <v>49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</row>
    <row r="20">
      <c r="A20" s="141" t="s">
        <v>50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</row>
    <row r="22">
      <c r="A22" s="140" t="s">
        <v>51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40"/>
    </row>
  </sheetData>
  <mergeCells>
    <mergeCell ref="A22:K22"/>
    <mergeCell ref="A1:F1"/>
    <mergeCell ref="F3:F4"/>
    <mergeCell ref="G3:G4"/>
    <mergeCell ref="H3:H4"/>
    <mergeCell ref="I3:I4"/>
    <mergeCell ref="J3:J4"/>
    <mergeCell ref="K3:K4"/>
    <mergeCell ref="A2:F2"/>
    <mergeCell ref="N1:AA1"/>
    <mergeCell ref="A10:K10"/>
    <mergeCell ref="A19:K19"/>
    <mergeCell ref="A20:K20"/>
    <mergeCell ref="L3:M3"/>
    <mergeCell ref="N3:O3"/>
    <mergeCell ref="P3:Q3"/>
    <mergeCell ref="R3:S3"/>
    <mergeCell ref="A11:K11"/>
    <mergeCell ref="T3:U3"/>
    <mergeCell ref="V3:W3"/>
    <mergeCell ref="X3:Y3"/>
    <mergeCell ref="Z3:AA3"/>
  </mergeCells>
  <pageMargins left="0.7" right="0.7" top="0.75" bottom="0.75" header="0.3" footer="0.3"/>
  <pageSetup scale="42" orientation="landscape" horizontalDpi="0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Note 13</vt:lpstr>
      <vt:lpstr>Note13-8</vt:lpstr>
      <vt:lpstr>Note 28</vt:lpstr>
      <vt:lpstr>Note 56</vt:lpstr>
      <vt:lpstr>AJ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2024-01-17T08:08:39Z</dcterms:modified>
</cp:coreProperties>
</file>