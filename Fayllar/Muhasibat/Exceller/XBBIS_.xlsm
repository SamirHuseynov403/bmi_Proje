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_192.168.204.49_1924_ExternalSectorStatatistics_CURRENCY" localSheetId="4" hidden="1">List!$S$1:$V$193</definedName>
    <definedName name="_xlnm._FilterDatabase" localSheetId="1" hidden="1">'A1 (Aktivlər)'!$A$14:$CF$43</definedName>
    <definedName name="_xlnm._FilterDatabase" localSheetId="2" hidden="1">'A2 (Öhdəliklər)'!$A$14:$CF$15</definedName>
    <definedName name="_xlnm._FilterDatabase" localSheetId="4" hidden="1">List!$AB$1:$AC$1</definedName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_xlnm.Print_Area" localSheetId="1">'A1 (Aktivlər)'!$A$3:$BY$14</definedName>
    <definedName name="_xlnm.Print_Area" localSheetId="2">'A2 (Öhdəliklər)'!$A$3:$BQ$14</definedName>
    <definedName name="_xlnm.Print_Area" localSheetId="3">'A3 (Şərti öhdəliklər)'!$A$3:$AK$19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</definedNames>
  <calcPr calcId="162913"/>
  <webPublishing targetScreenSize="1024x768" codePage="65001"/>
</workbook>
</file>

<file path=xl/calcChain.xml><?xml version="1.0" encoding="utf-8"?>
<calcChain xmlns="http://schemas.openxmlformats.org/spreadsheetml/2006/main">
  <c r="CC125" i="27" l="1"/>
  <c r="BF125" i="27"/>
  <c r="BE125" i="27"/>
  <c r="BD125" i="27"/>
  <c r="BC125" i="27"/>
  <c r="BB125" i="27"/>
  <c r="BA125" i="27"/>
  <c r="AZ125" i="27"/>
  <c r="AC125" i="27"/>
  <c r="Z125" i="27"/>
  <c r="R125" i="27"/>
  <c r="P125" i="27"/>
  <c r="N125" i="27"/>
  <c r="L125" i="27"/>
  <c r="J125" i="27"/>
  <c r="H125" i="27"/>
  <c r="F125" i="27"/>
  <c r="B125" i="27"/>
  <c r="CC124" i="27"/>
  <c r="BF124" i="27"/>
  <c r="BE124" i="27"/>
  <c r="BD124" i="27"/>
  <c r="BC124" i="27"/>
  <c r="BB124" i="27"/>
  <c r="BA124" i="27"/>
  <c r="AZ124" i="27"/>
  <c r="AC124" i="27"/>
  <c r="Z124" i="27"/>
  <c r="R124" i="27"/>
  <c r="P124" i="27"/>
  <c r="N124" i="27"/>
  <c r="L124" i="27"/>
  <c r="J124" i="27"/>
  <c r="H124" i="27"/>
  <c r="F124" i="27"/>
  <c r="B124" i="27"/>
  <c r="CC123" i="27"/>
  <c r="BF123" i="27"/>
  <c r="BE123" i="27"/>
  <c r="BD123" i="27"/>
  <c r="BC123" i="27"/>
  <c r="BB123" i="27"/>
  <c r="BA123" i="27"/>
  <c r="AZ123" i="27"/>
  <c r="AC123" i="27"/>
  <c r="Z123" i="27"/>
  <c r="R123" i="27"/>
  <c r="P123" i="27"/>
  <c r="N123" i="27"/>
  <c r="L123" i="27"/>
  <c r="J123" i="27"/>
  <c r="H123" i="27"/>
  <c r="F123" i="27"/>
  <c r="B123" i="27"/>
  <c r="CC122" i="27"/>
  <c r="BF122" i="27"/>
  <c r="BE122" i="27"/>
  <c r="BD122" i="27"/>
  <c r="BC122" i="27"/>
  <c r="BB122" i="27"/>
  <c r="BA122" i="27"/>
  <c r="AZ122" i="27"/>
  <c r="AC122" i="27"/>
  <c r="Z122" i="27"/>
  <c r="R122" i="27"/>
  <c r="P122" i="27"/>
  <c r="N122" i="27"/>
  <c r="L122" i="27"/>
  <c r="J122" i="27"/>
  <c r="H122" i="27"/>
  <c r="F122" i="27"/>
  <c r="B122" i="27"/>
  <c r="CC121" i="27"/>
  <c r="BF121" i="27"/>
  <c r="BE121" i="27"/>
  <c r="BD121" i="27"/>
  <c r="BC121" i="27"/>
  <c r="BB121" i="27"/>
  <c r="BA121" i="27"/>
  <c r="AZ121" i="27"/>
  <c r="AC121" i="27"/>
  <c r="Z121" i="27"/>
  <c r="R121" i="27"/>
  <c r="P121" i="27"/>
  <c r="N121" i="27"/>
  <c r="L121" i="27"/>
  <c r="J121" i="27"/>
  <c r="H121" i="27"/>
  <c r="F121" i="27"/>
  <c r="B121" i="27"/>
  <c r="CC120" i="27"/>
  <c r="BF120" i="27"/>
  <c r="BE120" i="27"/>
  <c r="BD120" i="27"/>
  <c r="BC120" i="27"/>
  <c r="BB120" i="27"/>
  <c r="BA120" i="27"/>
  <c r="AZ120" i="27"/>
  <c r="AC120" i="27"/>
  <c r="Z120" i="27"/>
  <c r="R120" i="27"/>
  <c r="P120" i="27"/>
  <c r="N120" i="27"/>
  <c r="L120" i="27"/>
  <c r="J120" i="27"/>
  <c r="H120" i="27"/>
  <c r="F120" i="27"/>
  <c r="B120" i="27"/>
  <c r="CC119" i="27"/>
  <c r="BF119" i="27"/>
  <c r="BE119" i="27"/>
  <c r="BD119" i="27"/>
  <c r="BC119" i="27"/>
  <c r="BB119" i="27"/>
  <c r="BA119" i="27"/>
  <c r="AZ119" i="27"/>
  <c r="AC119" i="27"/>
  <c r="Z119" i="27"/>
  <c r="R119" i="27"/>
  <c r="P119" i="27"/>
  <c r="N119" i="27"/>
  <c r="L119" i="27"/>
  <c r="J119" i="27"/>
  <c r="H119" i="27"/>
  <c r="F119" i="27"/>
  <c r="B119" i="27"/>
  <c r="CC118" i="27"/>
  <c r="BF118" i="27"/>
  <c r="BE118" i="27"/>
  <c r="BD118" i="27"/>
  <c r="BC118" i="27"/>
  <c r="BB118" i="27"/>
  <c r="BA118" i="27"/>
  <c r="AZ118" i="27"/>
  <c r="AC118" i="27"/>
  <c r="Z118" i="27"/>
  <c r="R118" i="27"/>
  <c r="P118" i="27"/>
  <c r="N118" i="27"/>
  <c r="L118" i="27"/>
  <c r="J118" i="27"/>
  <c r="H118" i="27"/>
  <c r="F118" i="27"/>
  <c r="B118" i="27"/>
  <c r="CC117" i="27"/>
  <c r="BF117" i="27"/>
  <c r="BE117" i="27"/>
  <c r="BD117" i="27"/>
  <c r="BC117" i="27"/>
  <c r="BB117" i="27"/>
  <c r="BA117" i="27"/>
  <c r="AZ117" i="27"/>
  <c r="AC117" i="27"/>
  <c r="Z117" i="27"/>
  <c r="R117" i="27"/>
  <c r="P117" i="27"/>
  <c r="N117" i="27"/>
  <c r="L117" i="27"/>
  <c r="J117" i="27"/>
  <c r="H117" i="27"/>
  <c r="F117" i="27"/>
  <c r="B117" i="27"/>
  <c r="CC116" i="27"/>
  <c r="BF116" i="27"/>
  <c r="BE116" i="27"/>
  <c r="BD116" i="27"/>
  <c r="BC116" i="27"/>
  <c r="BB116" i="27"/>
  <c r="BA116" i="27"/>
  <c r="AZ116" i="27"/>
  <c r="AC116" i="27"/>
  <c r="Z116" i="27"/>
  <c r="R116" i="27"/>
  <c r="P116" i="27"/>
  <c r="N116" i="27"/>
  <c r="L116" i="27"/>
  <c r="J116" i="27"/>
  <c r="H116" i="27"/>
  <c r="F116" i="27"/>
  <c r="B116" i="27"/>
  <c r="CC115" i="27"/>
  <c r="BF115" i="27"/>
  <c r="BE115" i="27"/>
  <c r="BD115" i="27"/>
  <c r="BC115" i="27"/>
  <c r="BB115" i="27"/>
  <c r="BA115" i="27"/>
  <c r="AZ115" i="27"/>
  <c r="AC115" i="27"/>
  <c r="Z115" i="27"/>
  <c r="R115" i="27"/>
  <c r="P115" i="27"/>
  <c r="N115" i="27"/>
  <c r="L115" i="27"/>
  <c r="J115" i="27"/>
  <c r="H115" i="27"/>
  <c r="F115" i="27"/>
  <c r="B115" i="27"/>
  <c r="CC114" i="27"/>
  <c r="BF114" i="27"/>
  <c r="BE114" i="27"/>
  <c r="BD114" i="27"/>
  <c r="BC114" i="27"/>
  <c r="BB114" i="27"/>
  <c r="BA114" i="27"/>
  <c r="AZ114" i="27"/>
  <c r="AC114" i="27"/>
  <c r="Z114" i="27"/>
  <c r="R114" i="27"/>
  <c r="P114" i="27"/>
  <c r="N114" i="27"/>
  <c r="L114" i="27"/>
  <c r="J114" i="27"/>
  <c r="H114" i="27"/>
  <c r="F114" i="27"/>
  <c r="B114" i="27"/>
  <c r="CC113" i="27"/>
  <c r="BF113" i="27"/>
  <c r="BE113" i="27"/>
  <c r="BD113" i="27"/>
  <c r="BC113" i="27"/>
  <c r="BB113" i="27"/>
  <c r="BA113" i="27"/>
  <c r="AZ113" i="27"/>
  <c r="AC113" i="27"/>
  <c r="Z113" i="27"/>
  <c r="R113" i="27"/>
  <c r="P113" i="27"/>
  <c r="N113" i="27"/>
  <c r="L113" i="27"/>
  <c r="J113" i="27"/>
  <c r="H113" i="27"/>
  <c r="F113" i="27"/>
  <c r="B113" i="27"/>
  <c r="CC112" i="27"/>
  <c r="BF112" i="27"/>
  <c r="BE112" i="27"/>
  <c r="BD112" i="27"/>
  <c r="BC112" i="27"/>
  <c r="BB112" i="27"/>
  <c r="BA112" i="27"/>
  <c r="AZ112" i="27"/>
  <c r="AC112" i="27"/>
  <c r="Z112" i="27"/>
  <c r="R112" i="27"/>
  <c r="P112" i="27"/>
  <c r="B112" i="27" s="1"/>
  <c r="N112" i="27"/>
  <c r="L112" i="27"/>
  <c r="J112" i="27"/>
  <c r="H112" i="27"/>
  <c r="F112" i="27"/>
  <c r="CC111" i="27"/>
  <c r="BF111" i="27"/>
  <c r="BE111" i="27"/>
  <c r="BD111" i="27"/>
  <c r="BC111" i="27"/>
  <c r="BB111" i="27"/>
  <c r="BA111" i="27"/>
  <c r="AZ111" i="27"/>
  <c r="AC111" i="27"/>
  <c r="Z111" i="27"/>
  <c r="R111" i="27"/>
  <c r="P111" i="27"/>
  <c r="B111" i="27" s="1"/>
  <c r="N111" i="27"/>
  <c r="L111" i="27"/>
  <c r="J111" i="27"/>
  <c r="H111" i="27"/>
  <c r="F111" i="27"/>
  <c r="CC110" i="27"/>
  <c r="BF110" i="27"/>
  <c r="BE110" i="27"/>
  <c r="BD110" i="27"/>
  <c r="BC110" i="27"/>
  <c r="BB110" i="27"/>
  <c r="BA110" i="27"/>
  <c r="AZ110" i="27"/>
  <c r="AC110" i="27"/>
  <c r="Z110" i="27"/>
  <c r="R110" i="27"/>
  <c r="P110" i="27"/>
  <c r="B110" i="27" s="1"/>
  <c r="N110" i="27"/>
  <c r="L110" i="27"/>
  <c r="J110" i="27"/>
  <c r="H110" i="27"/>
  <c r="F110" i="27"/>
  <c r="CC109" i="27"/>
  <c r="BF109" i="27"/>
  <c r="BE109" i="27"/>
  <c r="BD109" i="27"/>
  <c r="BC109" i="27"/>
  <c r="BB109" i="27"/>
  <c r="BA109" i="27"/>
  <c r="AZ109" i="27"/>
  <c r="AC109" i="27"/>
  <c r="Z109" i="27"/>
  <c r="R109" i="27"/>
  <c r="P109" i="27"/>
  <c r="B109" i="27" s="1"/>
  <c r="N109" i="27"/>
  <c r="L109" i="27"/>
  <c r="J109" i="27"/>
  <c r="H109" i="27"/>
  <c r="F109" i="27"/>
  <c r="CC108" i="27"/>
  <c r="BF108" i="27"/>
  <c r="BE108" i="27"/>
  <c r="BD108" i="27"/>
  <c r="BC108" i="27"/>
  <c r="BB108" i="27"/>
  <c r="BA108" i="27"/>
  <c r="AZ108" i="27"/>
  <c r="AC108" i="27"/>
  <c r="Z108" i="27"/>
  <c r="R108" i="27"/>
  <c r="P108" i="27"/>
  <c r="B108" i="27" s="1"/>
  <c r="N108" i="27"/>
  <c r="L108" i="27"/>
  <c r="J108" i="27"/>
  <c r="H108" i="27"/>
  <c r="F108" i="27"/>
  <c r="CC107" i="27"/>
  <c r="BF107" i="27"/>
  <c r="BE107" i="27"/>
  <c r="BD107" i="27"/>
  <c r="BC107" i="27"/>
  <c r="BB107" i="27"/>
  <c r="BA107" i="27"/>
  <c r="AZ107" i="27"/>
  <c r="AC107" i="27"/>
  <c r="Z107" i="27"/>
  <c r="R107" i="27"/>
  <c r="P107" i="27"/>
  <c r="N107" i="27"/>
  <c r="L107" i="27"/>
  <c r="J107" i="27"/>
  <c r="H107" i="27"/>
  <c r="F107" i="27"/>
  <c r="B107" i="27"/>
  <c r="CC106" i="27"/>
  <c r="BF106" i="27"/>
  <c r="BE106" i="27"/>
  <c r="BD106" i="27"/>
  <c r="BC106" i="27"/>
  <c r="BB106" i="27"/>
  <c r="BA106" i="27"/>
  <c r="AZ106" i="27"/>
  <c r="AC106" i="27"/>
  <c r="Z106" i="27"/>
  <c r="R106" i="27"/>
  <c r="P106" i="27"/>
  <c r="B106" i="27" s="1"/>
  <c r="N106" i="27"/>
  <c r="L106" i="27"/>
  <c r="J106" i="27"/>
  <c r="H106" i="27"/>
  <c r="F106" i="27"/>
  <c r="CC105" i="27"/>
  <c r="BF105" i="27"/>
  <c r="BE105" i="27"/>
  <c r="BD105" i="27"/>
  <c r="BC105" i="27"/>
  <c r="BB105" i="27"/>
  <c r="BA105" i="27"/>
  <c r="AZ105" i="27"/>
  <c r="AC105" i="27"/>
  <c r="Z105" i="27"/>
  <c r="R105" i="27"/>
  <c r="P105" i="27"/>
  <c r="B105" i="27" s="1"/>
  <c r="N105" i="27"/>
  <c r="L105" i="27"/>
  <c r="J105" i="27"/>
  <c r="H105" i="27"/>
  <c r="F105" i="27"/>
  <c r="CC104" i="27"/>
  <c r="BF104" i="27"/>
  <c r="BE104" i="27"/>
  <c r="BD104" i="27"/>
  <c r="BC104" i="27"/>
  <c r="BB104" i="27"/>
  <c r="BA104" i="27"/>
  <c r="AZ104" i="27"/>
  <c r="AC104" i="27"/>
  <c r="Z104" i="27"/>
  <c r="R104" i="27"/>
  <c r="P104" i="27"/>
  <c r="B104" i="27" s="1"/>
  <c r="N104" i="27"/>
  <c r="L104" i="27"/>
  <c r="J104" i="27"/>
  <c r="H104" i="27"/>
  <c r="F104" i="27"/>
  <c r="CC103" i="27"/>
  <c r="BF103" i="27"/>
  <c r="BE103" i="27"/>
  <c r="BD103" i="27"/>
  <c r="BC103" i="27"/>
  <c r="BB103" i="27"/>
  <c r="BA103" i="27"/>
  <c r="AZ103" i="27"/>
  <c r="AC103" i="27"/>
  <c r="Z103" i="27"/>
  <c r="R103" i="27"/>
  <c r="P103" i="27"/>
  <c r="B103" i="27" s="1"/>
  <c r="N103" i="27"/>
  <c r="L103" i="27"/>
  <c r="J103" i="27"/>
  <c r="H103" i="27"/>
  <c r="F103" i="27"/>
  <c r="CC102" i="27"/>
  <c r="BF102" i="27"/>
  <c r="BE102" i="27"/>
  <c r="BD102" i="27"/>
  <c r="BC102" i="27"/>
  <c r="BB102" i="27"/>
  <c r="BA102" i="27"/>
  <c r="AZ102" i="27"/>
  <c r="AC102" i="27"/>
  <c r="Z102" i="27"/>
  <c r="R102" i="27"/>
  <c r="P102" i="27"/>
  <c r="B102" i="27" s="1"/>
  <c r="N102" i="27"/>
  <c r="L102" i="27"/>
  <c r="J102" i="27"/>
  <c r="H102" i="27"/>
  <c r="F102" i="27"/>
  <c r="CC101" i="27"/>
  <c r="BF101" i="27"/>
  <c r="BE101" i="27"/>
  <c r="BD101" i="27"/>
  <c r="BC101" i="27"/>
  <c r="BB101" i="27"/>
  <c r="BA101" i="27"/>
  <c r="AZ101" i="27"/>
  <c r="AC101" i="27"/>
  <c r="Z101" i="27"/>
  <c r="R101" i="27"/>
  <c r="P101" i="27"/>
  <c r="B101" i="27" s="1"/>
  <c r="N101" i="27"/>
  <c r="L101" i="27"/>
  <c r="J101" i="27"/>
  <c r="H101" i="27"/>
  <c r="F101" i="27"/>
  <c r="CC100" i="27"/>
  <c r="BF100" i="27"/>
  <c r="BE100" i="27"/>
  <c r="BD100" i="27"/>
  <c r="BC100" i="27"/>
  <c r="BB100" i="27"/>
  <c r="BA100" i="27"/>
  <c r="AZ100" i="27"/>
  <c r="AC100" i="27"/>
  <c r="Z100" i="27"/>
  <c r="R100" i="27"/>
  <c r="P100" i="27"/>
  <c r="B100" i="27" s="1"/>
  <c r="N100" i="27"/>
  <c r="L100" i="27"/>
  <c r="J100" i="27"/>
  <c r="H100" i="27"/>
  <c r="F100" i="27"/>
  <c r="CC99" i="27"/>
  <c r="BF99" i="27"/>
  <c r="BE99" i="27"/>
  <c r="BD99" i="27"/>
  <c r="BC99" i="27"/>
  <c r="BB99" i="27"/>
  <c r="BA99" i="27"/>
  <c r="AZ99" i="27"/>
  <c r="AC99" i="27"/>
  <c r="Z99" i="27"/>
  <c r="R99" i="27"/>
  <c r="P99" i="27"/>
  <c r="B99" i="27" s="1"/>
  <c r="N99" i="27"/>
  <c r="L99" i="27"/>
  <c r="J99" i="27"/>
  <c r="H99" i="27"/>
  <c r="F99" i="27"/>
  <c r="CC98" i="27"/>
  <c r="BF98" i="27"/>
  <c r="BE98" i="27"/>
  <c r="BD98" i="27"/>
  <c r="BC98" i="27"/>
  <c r="BB98" i="27"/>
  <c r="BA98" i="27"/>
  <c r="AZ98" i="27"/>
  <c r="AC98" i="27"/>
  <c r="Z98" i="27"/>
  <c r="R98" i="27"/>
  <c r="P98" i="27"/>
  <c r="B98" i="27" s="1"/>
  <c r="N98" i="27"/>
  <c r="L98" i="27"/>
  <c r="J98" i="27"/>
  <c r="H98" i="27"/>
  <c r="F98" i="27"/>
  <c r="CC97" i="27"/>
  <c r="BF97" i="27"/>
  <c r="BE97" i="27"/>
  <c r="BD97" i="27"/>
  <c r="BC97" i="27"/>
  <c r="BB97" i="27"/>
  <c r="BA97" i="27"/>
  <c r="AZ97" i="27"/>
  <c r="AC97" i="27"/>
  <c r="Z97" i="27"/>
  <c r="R97" i="27"/>
  <c r="P97" i="27"/>
  <c r="B97" i="27" s="1"/>
  <c r="N97" i="27"/>
  <c r="L97" i="27"/>
  <c r="J97" i="27"/>
  <c r="H97" i="27"/>
  <c r="F97" i="27"/>
  <c r="CC96" i="27"/>
  <c r="BF96" i="27"/>
  <c r="BE96" i="27"/>
  <c r="BD96" i="27"/>
  <c r="BC96" i="27"/>
  <c r="BB96" i="27"/>
  <c r="BA96" i="27"/>
  <c r="AZ96" i="27"/>
  <c r="AC96" i="27"/>
  <c r="Z96" i="27"/>
  <c r="R96" i="27"/>
  <c r="P96" i="27"/>
  <c r="B96" i="27" s="1"/>
  <c r="N96" i="27"/>
  <c r="L96" i="27"/>
  <c r="J96" i="27"/>
  <c r="H96" i="27"/>
  <c r="F96" i="27"/>
  <c r="CC95" i="27"/>
  <c r="BF95" i="27"/>
  <c r="BE95" i="27"/>
  <c r="BD95" i="27"/>
  <c r="BC95" i="27"/>
  <c r="BB95" i="27"/>
  <c r="BA95" i="27"/>
  <c r="AZ95" i="27"/>
  <c r="AC95" i="27"/>
  <c r="Z95" i="27"/>
  <c r="R95" i="27"/>
  <c r="P95" i="27"/>
  <c r="B95" i="27" s="1"/>
  <c r="N95" i="27"/>
  <c r="L95" i="27"/>
  <c r="J95" i="27"/>
  <c r="H95" i="27"/>
  <c r="F95" i="27"/>
  <c r="CC94" i="27"/>
  <c r="BF94" i="27"/>
  <c r="BE94" i="27"/>
  <c r="BD94" i="27"/>
  <c r="BC94" i="27"/>
  <c r="BB94" i="27"/>
  <c r="BA94" i="27"/>
  <c r="AZ94" i="27"/>
  <c r="AC94" i="27"/>
  <c r="Z94" i="27"/>
  <c r="R94" i="27"/>
  <c r="P94" i="27"/>
  <c r="B94" i="27" s="1"/>
  <c r="N94" i="27"/>
  <c r="L94" i="27"/>
  <c r="J94" i="27"/>
  <c r="H94" i="27"/>
  <c r="F94" i="27"/>
  <c r="CC93" i="27"/>
  <c r="BF93" i="27"/>
  <c r="BE93" i="27"/>
  <c r="BD93" i="27"/>
  <c r="BC93" i="27"/>
  <c r="BB93" i="27"/>
  <c r="BA93" i="27"/>
  <c r="AZ93" i="27"/>
  <c r="AC93" i="27"/>
  <c r="Z93" i="27"/>
  <c r="R93" i="27"/>
  <c r="P93" i="27"/>
  <c r="B93" i="27" s="1"/>
  <c r="N93" i="27"/>
  <c r="L93" i="27"/>
  <c r="J93" i="27"/>
  <c r="H93" i="27"/>
  <c r="F93" i="27"/>
  <c r="CC92" i="27"/>
  <c r="BF92" i="27"/>
  <c r="BE92" i="27"/>
  <c r="BD92" i="27"/>
  <c r="BC92" i="27"/>
  <c r="BB92" i="27"/>
  <c r="BA92" i="27"/>
  <c r="AZ92" i="27"/>
  <c r="AC92" i="27"/>
  <c r="Z92" i="27"/>
  <c r="R92" i="27"/>
  <c r="P92" i="27"/>
  <c r="B92" i="27" s="1"/>
  <c r="N92" i="27"/>
  <c r="L92" i="27"/>
  <c r="J92" i="27"/>
  <c r="H92" i="27"/>
  <c r="F92" i="27"/>
  <c r="CC91" i="27"/>
  <c r="BF91" i="27"/>
  <c r="BE91" i="27"/>
  <c r="BD91" i="27"/>
  <c r="BC91" i="27"/>
  <c r="BB91" i="27"/>
  <c r="BA91" i="27"/>
  <c r="AZ91" i="27"/>
  <c r="AC91" i="27"/>
  <c r="Z91" i="27"/>
  <c r="R91" i="27"/>
  <c r="P91" i="27"/>
  <c r="B91" i="27" s="1"/>
  <c r="N91" i="27"/>
  <c r="L91" i="27"/>
  <c r="J91" i="27"/>
  <c r="H91" i="27"/>
  <c r="F91" i="27"/>
  <c r="CC90" i="27"/>
  <c r="BF90" i="27"/>
  <c r="BE90" i="27"/>
  <c r="BD90" i="27"/>
  <c r="BC90" i="27"/>
  <c r="BB90" i="27"/>
  <c r="BA90" i="27"/>
  <c r="AZ90" i="27"/>
  <c r="AC90" i="27"/>
  <c r="Z90" i="27"/>
  <c r="R90" i="27"/>
  <c r="P90" i="27"/>
  <c r="B90" i="27" s="1"/>
  <c r="N90" i="27"/>
  <c r="L90" i="27"/>
  <c r="J90" i="27"/>
  <c r="H90" i="27"/>
  <c r="F90" i="27"/>
  <c r="CC89" i="27"/>
  <c r="BF89" i="27"/>
  <c r="BE89" i="27"/>
  <c r="BD89" i="27"/>
  <c r="BC89" i="27"/>
  <c r="BB89" i="27"/>
  <c r="BA89" i="27"/>
  <c r="AZ89" i="27"/>
  <c r="AC89" i="27"/>
  <c r="Z89" i="27"/>
  <c r="R89" i="27"/>
  <c r="P89" i="27"/>
  <c r="B89" i="27" s="1"/>
  <c r="N89" i="27"/>
  <c r="L89" i="27"/>
  <c r="J89" i="27"/>
  <c r="H89" i="27"/>
  <c r="F89" i="27"/>
  <c r="CC88" i="27"/>
  <c r="BF88" i="27"/>
  <c r="BE88" i="27"/>
  <c r="BD88" i="27"/>
  <c r="BC88" i="27"/>
  <c r="BB88" i="27"/>
  <c r="BA88" i="27"/>
  <c r="AZ88" i="27"/>
  <c r="AC88" i="27"/>
  <c r="Z88" i="27"/>
  <c r="R88" i="27"/>
  <c r="P88" i="27"/>
  <c r="B88" i="27" s="1"/>
  <c r="N88" i="27"/>
  <c r="L88" i="27"/>
  <c r="J88" i="27"/>
  <c r="H88" i="27"/>
  <c r="F88" i="27"/>
  <c r="CC87" i="27"/>
  <c r="BF87" i="27"/>
  <c r="BE87" i="27"/>
  <c r="BD87" i="27"/>
  <c r="BC87" i="27"/>
  <c r="BB87" i="27"/>
  <c r="BA87" i="27"/>
  <c r="AZ87" i="27"/>
  <c r="AC87" i="27"/>
  <c r="Z87" i="27"/>
  <c r="R87" i="27"/>
  <c r="P87" i="27"/>
  <c r="B87" i="27" s="1"/>
  <c r="N87" i="27"/>
  <c r="L87" i="27"/>
  <c r="J87" i="27"/>
  <c r="H87" i="27"/>
  <c r="F87" i="27"/>
  <c r="CC86" i="27"/>
  <c r="BF86" i="27"/>
  <c r="BE86" i="27"/>
  <c r="BD86" i="27"/>
  <c r="BC86" i="27"/>
  <c r="BB86" i="27"/>
  <c r="BA86" i="27"/>
  <c r="AZ86" i="27"/>
  <c r="AC86" i="27"/>
  <c r="Z86" i="27"/>
  <c r="R86" i="27"/>
  <c r="P86" i="27"/>
  <c r="B86" i="27" s="1"/>
  <c r="N86" i="27"/>
  <c r="L86" i="27"/>
  <c r="J86" i="27"/>
  <c r="H86" i="27"/>
  <c r="F86" i="27"/>
  <c r="CC85" i="27"/>
  <c r="BF85" i="27"/>
  <c r="BE85" i="27"/>
  <c r="BD85" i="27"/>
  <c r="BC85" i="27"/>
  <c r="BB85" i="27"/>
  <c r="BA85" i="27"/>
  <c r="AZ85" i="27"/>
  <c r="AC85" i="27"/>
  <c r="Z85" i="27"/>
  <c r="R85" i="27"/>
  <c r="P85" i="27"/>
  <c r="B85" i="27" s="1"/>
  <c r="N85" i="27"/>
  <c r="L85" i="27"/>
  <c r="J85" i="27"/>
  <c r="H85" i="27"/>
  <c r="F85" i="27"/>
  <c r="CC84" i="27"/>
  <c r="BF84" i="27"/>
  <c r="BE84" i="27"/>
  <c r="BD84" i="27"/>
  <c r="BC84" i="27"/>
  <c r="BB84" i="27"/>
  <c r="BA84" i="27"/>
  <c r="AZ84" i="27"/>
  <c r="AC84" i="27"/>
  <c r="Z84" i="27"/>
  <c r="R84" i="27"/>
  <c r="P84" i="27"/>
  <c r="B84" i="27" s="1"/>
  <c r="N84" i="27"/>
  <c r="L84" i="27"/>
  <c r="J84" i="27"/>
  <c r="H84" i="27"/>
  <c r="F84" i="27"/>
  <c r="CC83" i="27"/>
  <c r="BF83" i="27"/>
  <c r="BE83" i="27"/>
  <c r="BD83" i="27"/>
  <c r="BC83" i="27"/>
  <c r="BB83" i="27"/>
  <c r="BA83" i="27"/>
  <c r="AZ83" i="27"/>
  <c r="AC83" i="27"/>
  <c r="Z83" i="27"/>
  <c r="R83" i="27"/>
  <c r="P83" i="27"/>
  <c r="B83" i="27" s="1"/>
  <c r="N83" i="27"/>
  <c r="L83" i="27"/>
  <c r="J83" i="27"/>
  <c r="H83" i="27"/>
  <c r="F83" i="27"/>
  <c r="CC82" i="27"/>
  <c r="BF82" i="27"/>
  <c r="BE82" i="27"/>
  <c r="BD82" i="27"/>
  <c r="BC82" i="27"/>
  <c r="BB82" i="27"/>
  <c r="BA82" i="27"/>
  <c r="AZ82" i="27"/>
  <c r="AC82" i="27"/>
  <c r="Z82" i="27"/>
  <c r="R82" i="27"/>
  <c r="P82" i="27"/>
  <c r="B82" i="27" s="1"/>
  <c r="N82" i="27"/>
  <c r="L82" i="27"/>
  <c r="J82" i="27"/>
  <c r="H82" i="27"/>
  <c r="F82" i="27"/>
  <c r="CC81" i="27"/>
  <c r="BF81" i="27"/>
  <c r="BE81" i="27"/>
  <c r="BD81" i="27"/>
  <c r="BC81" i="27"/>
  <c r="BB81" i="27"/>
  <c r="BA81" i="27"/>
  <c r="AZ81" i="27"/>
  <c r="AC81" i="27"/>
  <c r="Z81" i="27"/>
  <c r="R81" i="27"/>
  <c r="P81" i="27"/>
  <c r="B81" i="27" s="1"/>
  <c r="N81" i="27"/>
  <c r="L81" i="27"/>
  <c r="J81" i="27"/>
  <c r="H81" i="27"/>
  <c r="F81" i="27"/>
  <c r="CC80" i="27"/>
  <c r="BF80" i="27"/>
  <c r="BE80" i="27"/>
  <c r="BD80" i="27"/>
  <c r="BC80" i="27"/>
  <c r="BB80" i="27"/>
  <c r="BA80" i="27"/>
  <c r="AZ80" i="27"/>
  <c r="AC80" i="27"/>
  <c r="Z80" i="27"/>
  <c r="R80" i="27"/>
  <c r="P80" i="27"/>
  <c r="B80" i="27" s="1"/>
  <c r="N80" i="27"/>
  <c r="L80" i="27"/>
  <c r="J80" i="27"/>
  <c r="H80" i="27"/>
  <c r="F80" i="27"/>
  <c r="CC79" i="27"/>
  <c r="BF79" i="27"/>
  <c r="BE79" i="27"/>
  <c r="BD79" i="27"/>
  <c r="BC79" i="27"/>
  <c r="BB79" i="27"/>
  <c r="BA79" i="27"/>
  <c r="AZ79" i="27"/>
  <c r="AC79" i="27"/>
  <c r="Z79" i="27"/>
  <c r="R79" i="27"/>
  <c r="P79" i="27"/>
  <c r="B79" i="27" s="1"/>
  <c r="N79" i="27"/>
  <c r="L79" i="27"/>
  <c r="J79" i="27"/>
  <c r="H79" i="27"/>
  <c r="F79" i="27"/>
  <c r="CC78" i="27"/>
  <c r="BF78" i="27"/>
  <c r="BE78" i="27"/>
  <c r="BD78" i="27"/>
  <c r="BC78" i="27"/>
  <c r="BB78" i="27"/>
  <c r="BA78" i="27"/>
  <c r="AZ78" i="27"/>
  <c r="AC78" i="27"/>
  <c r="Z78" i="27"/>
  <c r="R78" i="27"/>
  <c r="P78" i="27"/>
  <c r="B78" i="27" s="1"/>
  <c r="N78" i="27"/>
  <c r="L78" i="27"/>
  <c r="J78" i="27"/>
  <c r="H78" i="27"/>
  <c r="F78" i="27"/>
  <c r="CC77" i="27"/>
  <c r="BF77" i="27"/>
  <c r="BE77" i="27"/>
  <c r="BD77" i="27"/>
  <c r="BC77" i="27"/>
  <c r="BB77" i="27"/>
  <c r="BA77" i="27"/>
  <c r="AZ77" i="27"/>
  <c r="AC77" i="27"/>
  <c r="Z77" i="27"/>
  <c r="R77" i="27"/>
  <c r="P77" i="27"/>
  <c r="B77" i="27" s="1"/>
  <c r="N77" i="27"/>
  <c r="L77" i="27"/>
  <c r="J77" i="27"/>
  <c r="H77" i="27"/>
  <c r="F77" i="27"/>
  <c r="CC76" i="27"/>
  <c r="BF76" i="27"/>
  <c r="BE76" i="27"/>
  <c r="BD76" i="27"/>
  <c r="BC76" i="27"/>
  <c r="BB76" i="27"/>
  <c r="BA76" i="27"/>
  <c r="AZ76" i="27"/>
  <c r="AC76" i="27"/>
  <c r="Z76" i="27"/>
  <c r="R76" i="27"/>
  <c r="P76" i="27"/>
  <c r="B76" i="27" s="1"/>
  <c r="N76" i="27"/>
  <c r="L76" i="27"/>
  <c r="J76" i="27"/>
  <c r="H76" i="27"/>
  <c r="F76" i="27"/>
  <c r="CC75" i="27"/>
  <c r="BF75" i="27"/>
  <c r="BE75" i="27"/>
  <c r="BD75" i="27"/>
  <c r="BC75" i="27"/>
  <c r="BB75" i="27"/>
  <c r="BA75" i="27"/>
  <c r="AZ75" i="27"/>
  <c r="AC75" i="27"/>
  <c r="Z75" i="27"/>
  <c r="R75" i="27"/>
  <c r="P75" i="27"/>
  <c r="B75" i="27" s="1"/>
  <c r="N75" i="27"/>
  <c r="L75" i="27"/>
  <c r="J75" i="27"/>
  <c r="H75" i="27"/>
  <c r="F75" i="27"/>
  <c r="CC74" i="27"/>
  <c r="BF74" i="27"/>
  <c r="BE74" i="27"/>
  <c r="BD74" i="27"/>
  <c r="BC74" i="27"/>
  <c r="BB74" i="27"/>
  <c r="BA74" i="27"/>
  <c r="AZ74" i="27"/>
  <c r="AC74" i="27"/>
  <c r="Z74" i="27"/>
  <c r="R74" i="27"/>
  <c r="P74" i="27"/>
  <c r="B74" i="27" s="1"/>
  <c r="N74" i="27"/>
  <c r="L74" i="27"/>
  <c r="J74" i="27"/>
  <c r="H74" i="27"/>
  <c r="F74" i="27"/>
  <c r="CC73" i="27"/>
  <c r="BF73" i="27"/>
  <c r="BE73" i="27"/>
  <c r="BD73" i="27"/>
  <c r="BC73" i="27"/>
  <c r="BB73" i="27"/>
  <c r="BA73" i="27"/>
  <c r="AZ73" i="27"/>
  <c r="AC73" i="27"/>
  <c r="Z73" i="27"/>
  <c r="R73" i="27"/>
  <c r="P73" i="27"/>
  <c r="B73" i="27" s="1"/>
  <c r="N73" i="27"/>
  <c r="L73" i="27"/>
  <c r="J73" i="27"/>
  <c r="H73" i="27"/>
  <c r="F73" i="27"/>
  <c r="CC72" i="27"/>
  <c r="BF72" i="27"/>
  <c r="BE72" i="27"/>
  <c r="BD72" i="27"/>
  <c r="BC72" i="27"/>
  <c r="BB72" i="27"/>
  <c r="BA72" i="27"/>
  <c r="AZ72" i="27"/>
  <c r="AC72" i="27"/>
  <c r="Z72" i="27"/>
  <c r="R72" i="27"/>
  <c r="P72" i="27"/>
  <c r="B72" i="27" s="1"/>
  <c r="N72" i="27"/>
  <c r="L72" i="27"/>
  <c r="J72" i="27"/>
  <c r="H72" i="27"/>
  <c r="F72" i="27"/>
  <c r="CC71" i="27"/>
  <c r="BF71" i="27"/>
  <c r="BE71" i="27"/>
  <c r="BD71" i="27"/>
  <c r="BC71" i="27"/>
  <c r="BB71" i="27"/>
  <c r="BA71" i="27"/>
  <c r="AZ71" i="27"/>
  <c r="AC71" i="27"/>
  <c r="Z71" i="27"/>
  <c r="R71" i="27"/>
  <c r="P71" i="27"/>
  <c r="B71" i="27" s="1"/>
  <c r="N71" i="27"/>
  <c r="L71" i="27"/>
  <c r="J71" i="27"/>
  <c r="H71" i="27"/>
  <c r="F71" i="27"/>
  <c r="CC70" i="27"/>
  <c r="BF70" i="27"/>
  <c r="BE70" i="27"/>
  <c r="BD70" i="27"/>
  <c r="BC70" i="27"/>
  <c r="BB70" i="27"/>
  <c r="BA70" i="27"/>
  <c r="AZ70" i="27"/>
  <c r="AC70" i="27"/>
  <c r="Z70" i="27"/>
  <c r="R70" i="27"/>
  <c r="P70" i="27"/>
  <c r="B70" i="27" s="1"/>
  <c r="N70" i="27"/>
  <c r="L70" i="27"/>
  <c r="J70" i="27"/>
  <c r="H70" i="27"/>
  <c r="F70" i="27"/>
  <c r="CC69" i="27"/>
  <c r="BF69" i="27"/>
  <c r="BE69" i="27"/>
  <c r="BD69" i="27"/>
  <c r="BC69" i="27"/>
  <c r="BB69" i="27"/>
  <c r="BA69" i="27"/>
  <c r="AZ69" i="27"/>
  <c r="AC69" i="27"/>
  <c r="Z69" i="27"/>
  <c r="R69" i="27"/>
  <c r="P69" i="27"/>
  <c r="B69" i="27" s="1"/>
  <c r="N69" i="27"/>
  <c r="L69" i="27"/>
  <c r="J69" i="27"/>
  <c r="H69" i="27"/>
  <c r="F69" i="27"/>
  <c r="CC68" i="27"/>
  <c r="BF68" i="27"/>
  <c r="BE68" i="27"/>
  <c r="BD68" i="27"/>
  <c r="BC68" i="27"/>
  <c r="BB68" i="27"/>
  <c r="BA68" i="27"/>
  <c r="AZ68" i="27"/>
  <c r="AC68" i="27"/>
  <c r="Z68" i="27"/>
  <c r="R68" i="27"/>
  <c r="P68" i="27"/>
  <c r="B68" i="27" s="1"/>
  <c r="N68" i="27"/>
  <c r="L68" i="27"/>
  <c r="J68" i="27"/>
  <c r="H68" i="27"/>
  <c r="F68" i="27"/>
  <c r="CC67" i="27"/>
  <c r="BF67" i="27"/>
  <c r="BE67" i="27"/>
  <c r="BD67" i="27"/>
  <c r="BC67" i="27"/>
  <c r="BB67" i="27"/>
  <c r="BA67" i="27"/>
  <c r="AZ67" i="27"/>
  <c r="AC67" i="27"/>
  <c r="Z67" i="27"/>
  <c r="R67" i="27"/>
  <c r="P67" i="27"/>
  <c r="B67" i="27" s="1"/>
  <c r="N67" i="27"/>
  <c r="L67" i="27"/>
  <c r="J67" i="27"/>
  <c r="H67" i="27"/>
  <c r="F67" i="27"/>
  <c r="CC66" i="27"/>
  <c r="BF66" i="27"/>
  <c r="BE66" i="27"/>
  <c r="BD66" i="27"/>
  <c r="BC66" i="27"/>
  <c r="BB66" i="27"/>
  <c r="BA66" i="27"/>
  <c r="AZ66" i="27"/>
  <c r="AC66" i="27"/>
  <c r="Z66" i="27"/>
  <c r="R66" i="27"/>
  <c r="P66" i="27"/>
  <c r="B66" i="27" s="1"/>
  <c r="N66" i="27"/>
  <c r="L66" i="27"/>
  <c r="J66" i="27"/>
  <c r="H66" i="27"/>
  <c r="F66" i="27"/>
  <c r="CC65" i="27" l="1"/>
  <c r="BF65" i="27"/>
  <c r="BE65" i="27"/>
  <c r="BD65" i="27"/>
  <c r="BC65" i="27"/>
  <c r="BB65" i="27"/>
  <c r="BA65" i="27"/>
  <c r="AZ65" i="27"/>
  <c r="AC65" i="27"/>
  <c r="Z65" i="27"/>
  <c r="R65" i="27"/>
  <c r="P65" i="27"/>
  <c r="N65" i="27"/>
  <c r="L65" i="27"/>
  <c r="J65" i="27"/>
  <c r="H65" i="27"/>
  <c r="F65" i="27"/>
  <c r="CC64" i="27"/>
  <c r="BF64" i="27"/>
  <c r="BE64" i="27"/>
  <c r="BD64" i="27"/>
  <c r="BC64" i="27"/>
  <c r="BB64" i="27"/>
  <c r="BA64" i="27"/>
  <c r="AZ64" i="27"/>
  <c r="AC64" i="27"/>
  <c r="Z64" i="27"/>
  <c r="R64" i="27"/>
  <c r="P64" i="27"/>
  <c r="N64" i="27"/>
  <c r="L64" i="27"/>
  <c r="J64" i="27"/>
  <c r="H64" i="27"/>
  <c r="F64" i="27"/>
  <c r="CC63" i="27"/>
  <c r="BF63" i="27"/>
  <c r="BE63" i="27"/>
  <c r="BD63" i="27"/>
  <c r="BC63" i="27"/>
  <c r="BB63" i="27"/>
  <c r="BA63" i="27"/>
  <c r="AZ63" i="27"/>
  <c r="AC63" i="27"/>
  <c r="Z63" i="27"/>
  <c r="R63" i="27"/>
  <c r="P63" i="27"/>
  <c r="B63" i="27" s="1"/>
  <c r="N63" i="27"/>
  <c r="L63" i="27"/>
  <c r="J63" i="27"/>
  <c r="H63" i="27"/>
  <c r="F63" i="27"/>
  <c r="CC62" i="27"/>
  <c r="BF62" i="27"/>
  <c r="BE62" i="27"/>
  <c r="BD62" i="27"/>
  <c r="BC62" i="27"/>
  <c r="BB62" i="27"/>
  <c r="BA62" i="27"/>
  <c r="AZ62" i="27"/>
  <c r="AC62" i="27"/>
  <c r="Z62" i="27"/>
  <c r="R62" i="27"/>
  <c r="P62" i="27"/>
  <c r="N62" i="27"/>
  <c r="L62" i="27"/>
  <c r="J62" i="27"/>
  <c r="H62" i="27"/>
  <c r="F62" i="27"/>
  <c r="CC61" i="27"/>
  <c r="BF61" i="27"/>
  <c r="BE61" i="27"/>
  <c r="BD61" i="27"/>
  <c r="BC61" i="27"/>
  <c r="BB61" i="27"/>
  <c r="BA61" i="27"/>
  <c r="AZ61" i="27"/>
  <c r="AC61" i="27"/>
  <c r="Z61" i="27"/>
  <c r="R61" i="27"/>
  <c r="P61" i="27"/>
  <c r="N61" i="27"/>
  <c r="L61" i="27"/>
  <c r="J61" i="27"/>
  <c r="H61" i="27"/>
  <c r="F61" i="27"/>
  <c r="CC60" i="27"/>
  <c r="BF60" i="27"/>
  <c r="BE60" i="27"/>
  <c r="BD60" i="27"/>
  <c r="BC60" i="27"/>
  <c r="BB60" i="27"/>
  <c r="BA60" i="27"/>
  <c r="AZ60" i="27"/>
  <c r="AC60" i="27"/>
  <c r="Z60" i="27"/>
  <c r="R60" i="27"/>
  <c r="P60" i="27"/>
  <c r="N60" i="27"/>
  <c r="L60" i="27"/>
  <c r="J60" i="27"/>
  <c r="H60" i="27"/>
  <c r="F60" i="27"/>
  <c r="CC59" i="27"/>
  <c r="BF59" i="27"/>
  <c r="BE59" i="27"/>
  <c r="BD59" i="27"/>
  <c r="BC59" i="27"/>
  <c r="BB59" i="27"/>
  <c r="BA59" i="27"/>
  <c r="AZ59" i="27"/>
  <c r="AC59" i="27"/>
  <c r="Z59" i="27"/>
  <c r="R59" i="27"/>
  <c r="P59" i="27"/>
  <c r="N59" i="27"/>
  <c r="L59" i="27"/>
  <c r="J59" i="27"/>
  <c r="H59" i="27"/>
  <c r="F59" i="27"/>
  <c r="CC58" i="27"/>
  <c r="BF58" i="27"/>
  <c r="BE58" i="27"/>
  <c r="BD58" i="27"/>
  <c r="BC58" i="27"/>
  <c r="BB58" i="27"/>
  <c r="BA58" i="27"/>
  <c r="AZ58" i="27"/>
  <c r="AC58" i="27"/>
  <c r="Z58" i="27"/>
  <c r="R58" i="27"/>
  <c r="P58" i="27"/>
  <c r="N58" i="27"/>
  <c r="L58" i="27"/>
  <c r="J58" i="27"/>
  <c r="H58" i="27"/>
  <c r="F58" i="27"/>
  <c r="CC57" i="27"/>
  <c r="BF57" i="27"/>
  <c r="BE57" i="27"/>
  <c r="BD57" i="27"/>
  <c r="BC57" i="27"/>
  <c r="BB57" i="27"/>
  <c r="BA57" i="27"/>
  <c r="AZ57" i="27"/>
  <c r="AC57" i="27"/>
  <c r="Z57" i="27"/>
  <c r="R57" i="27"/>
  <c r="P57" i="27"/>
  <c r="B57" i="27" s="1"/>
  <c r="N57" i="27"/>
  <c r="L57" i="27"/>
  <c r="J57" i="27"/>
  <c r="H57" i="27"/>
  <c r="F57" i="27"/>
  <c r="CC56" i="27"/>
  <c r="BF56" i="27"/>
  <c r="BE56" i="27"/>
  <c r="BD56" i="27"/>
  <c r="BC56" i="27"/>
  <c r="BB56" i="27"/>
  <c r="BA56" i="27"/>
  <c r="AZ56" i="27"/>
  <c r="AC56" i="27"/>
  <c r="Z56" i="27"/>
  <c r="R56" i="27"/>
  <c r="P56" i="27"/>
  <c r="N56" i="27"/>
  <c r="L56" i="27"/>
  <c r="J56" i="27"/>
  <c r="H56" i="27"/>
  <c r="F56" i="27"/>
  <c r="CC55" i="27"/>
  <c r="BF55" i="27"/>
  <c r="BE55" i="27"/>
  <c r="BD55" i="27"/>
  <c r="BC55" i="27"/>
  <c r="BB55" i="27"/>
  <c r="BA55" i="27"/>
  <c r="AZ55" i="27"/>
  <c r="AC55" i="27"/>
  <c r="Z55" i="27"/>
  <c r="R55" i="27"/>
  <c r="P55" i="27"/>
  <c r="N55" i="27"/>
  <c r="L55" i="27"/>
  <c r="J55" i="27"/>
  <c r="H55" i="27"/>
  <c r="F55" i="27"/>
  <c r="CC54" i="27"/>
  <c r="BF54" i="27"/>
  <c r="BE54" i="27"/>
  <c r="BD54" i="27"/>
  <c r="BC54" i="27"/>
  <c r="BB54" i="27"/>
  <c r="BA54" i="27"/>
  <c r="AZ54" i="27"/>
  <c r="AC54" i="27"/>
  <c r="Z54" i="27"/>
  <c r="R54" i="27"/>
  <c r="P54" i="27"/>
  <c r="N54" i="27"/>
  <c r="L54" i="27"/>
  <c r="J54" i="27"/>
  <c r="H54" i="27"/>
  <c r="F54" i="27"/>
  <c r="CC53" i="27"/>
  <c r="BF53" i="27"/>
  <c r="BE53" i="27"/>
  <c r="BD53" i="27"/>
  <c r="BC53" i="27"/>
  <c r="BB53" i="27"/>
  <c r="BA53" i="27"/>
  <c r="AZ53" i="27"/>
  <c r="AC53" i="27"/>
  <c r="Z53" i="27"/>
  <c r="R53" i="27"/>
  <c r="P53" i="27"/>
  <c r="N53" i="27"/>
  <c r="L53" i="27"/>
  <c r="J53" i="27"/>
  <c r="H53" i="27"/>
  <c r="F53" i="27"/>
  <c r="CC52" i="27"/>
  <c r="BF52" i="27"/>
  <c r="BE52" i="27"/>
  <c r="BD52" i="27"/>
  <c r="BC52" i="27"/>
  <c r="BB52" i="27"/>
  <c r="BA52" i="27"/>
  <c r="AZ52" i="27"/>
  <c r="AC52" i="27"/>
  <c r="Z52" i="27"/>
  <c r="R52" i="27"/>
  <c r="P52" i="27"/>
  <c r="N52" i="27"/>
  <c r="L52" i="27"/>
  <c r="J52" i="27"/>
  <c r="H52" i="27"/>
  <c r="F52" i="27"/>
  <c r="CC51" i="27"/>
  <c r="BF51" i="27"/>
  <c r="BE51" i="27"/>
  <c r="BD51" i="27"/>
  <c r="BC51" i="27"/>
  <c r="BB51" i="27"/>
  <c r="BA51" i="27"/>
  <c r="AZ51" i="27"/>
  <c r="AC51" i="27"/>
  <c r="Z51" i="27"/>
  <c r="R51" i="27"/>
  <c r="P51" i="27"/>
  <c r="B51" i="27" s="1"/>
  <c r="N51" i="27"/>
  <c r="L51" i="27"/>
  <c r="J51" i="27"/>
  <c r="H51" i="27"/>
  <c r="F51" i="27"/>
  <c r="CC50" i="27"/>
  <c r="BF50" i="27"/>
  <c r="BE50" i="27"/>
  <c r="BD50" i="27"/>
  <c r="BC50" i="27"/>
  <c r="BB50" i="27"/>
  <c r="BA50" i="27"/>
  <c r="AZ50" i="27"/>
  <c r="AC50" i="27"/>
  <c r="Z50" i="27"/>
  <c r="R50" i="27"/>
  <c r="P50" i="27"/>
  <c r="N50" i="27"/>
  <c r="L50" i="27"/>
  <c r="J50" i="27"/>
  <c r="H50" i="27"/>
  <c r="F50" i="27"/>
  <c r="CC49" i="27"/>
  <c r="BF49" i="27"/>
  <c r="BE49" i="27"/>
  <c r="BD49" i="27"/>
  <c r="BC49" i="27"/>
  <c r="BB49" i="27"/>
  <c r="BA49" i="27"/>
  <c r="AZ49" i="27"/>
  <c r="AC49" i="27"/>
  <c r="Z49" i="27"/>
  <c r="R49" i="27"/>
  <c r="P49" i="27"/>
  <c r="N49" i="27"/>
  <c r="L49" i="27"/>
  <c r="J49" i="27"/>
  <c r="H49" i="27"/>
  <c r="F49" i="27"/>
  <c r="CC48" i="27"/>
  <c r="BF48" i="27"/>
  <c r="BE48" i="27"/>
  <c r="BD48" i="27"/>
  <c r="BC48" i="27"/>
  <c r="BB48" i="27"/>
  <c r="BA48" i="27"/>
  <c r="AZ48" i="27"/>
  <c r="AC48" i="27"/>
  <c r="Z48" i="27"/>
  <c r="R48" i="27"/>
  <c r="P48" i="27"/>
  <c r="N48" i="27"/>
  <c r="L48" i="27"/>
  <c r="J48" i="27"/>
  <c r="H48" i="27"/>
  <c r="F48" i="27"/>
  <c r="CC47" i="27"/>
  <c r="BF47" i="27"/>
  <c r="BE47" i="27"/>
  <c r="BD47" i="27"/>
  <c r="BC47" i="27"/>
  <c r="BB47" i="27"/>
  <c r="BA47" i="27"/>
  <c r="AZ47" i="27"/>
  <c r="AC47" i="27"/>
  <c r="Z47" i="27"/>
  <c r="R47" i="27"/>
  <c r="P47" i="27"/>
  <c r="N47" i="27"/>
  <c r="L47" i="27"/>
  <c r="J47" i="27"/>
  <c r="H47" i="27"/>
  <c r="F47" i="27"/>
  <c r="CC46" i="27"/>
  <c r="BF46" i="27"/>
  <c r="BE46" i="27"/>
  <c r="BD46" i="27"/>
  <c r="BC46" i="27"/>
  <c r="BB46" i="27"/>
  <c r="BA46" i="27"/>
  <c r="AZ46" i="27"/>
  <c r="AC46" i="27"/>
  <c r="Z46" i="27"/>
  <c r="R46" i="27"/>
  <c r="P46" i="27"/>
  <c r="N46" i="27"/>
  <c r="L46" i="27"/>
  <c r="J46" i="27"/>
  <c r="H46" i="27"/>
  <c r="F46" i="27"/>
  <c r="CC45" i="27"/>
  <c r="BF45" i="27"/>
  <c r="BE45" i="27"/>
  <c r="BD45" i="27"/>
  <c r="BC45" i="27"/>
  <c r="BB45" i="27"/>
  <c r="BA45" i="27"/>
  <c r="AZ45" i="27"/>
  <c r="AC45" i="27"/>
  <c r="Z45" i="27"/>
  <c r="R45" i="27"/>
  <c r="P45" i="27"/>
  <c r="B45" i="27" s="1"/>
  <c r="N45" i="27"/>
  <c r="L45" i="27"/>
  <c r="J45" i="27"/>
  <c r="H45" i="27"/>
  <c r="F45" i="27"/>
  <c r="CC44" i="27"/>
  <c r="BF44" i="27"/>
  <c r="BE44" i="27"/>
  <c r="BD44" i="27"/>
  <c r="BC44" i="27"/>
  <c r="BB44" i="27"/>
  <c r="BA44" i="27"/>
  <c r="AZ44" i="27"/>
  <c r="AC44" i="27"/>
  <c r="Z44" i="27"/>
  <c r="R44" i="27"/>
  <c r="P44" i="27"/>
  <c r="N44" i="27"/>
  <c r="L44" i="27"/>
  <c r="J44" i="27"/>
  <c r="H44" i="27"/>
  <c r="F44" i="27"/>
  <c r="CC43" i="27"/>
  <c r="BF43" i="27"/>
  <c r="BE43" i="27"/>
  <c r="BD43" i="27"/>
  <c r="BC43" i="27"/>
  <c r="BB43" i="27"/>
  <c r="BA43" i="27"/>
  <c r="AZ43" i="27"/>
  <c r="AC43" i="27"/>
  <c r="Z43" i="27"/>
  <c r="R43" i="27"/>
  <c r="P43" i="27"/>
  <c r="N43" i="27"/>
  <c r="L43" i="27"/>
  <c r="J43" i="27"/>
  <c r="H43" i="27"/>
  <c r="F43" i="27"/>
  <c r="CC42" i="27"/>
  <c r="BF42" i="27"/>
  <c r="BE42" i="27"/>
  <c r="BD42" i="27"/>
  <c r="BC42" i="27"/>
  <c r="BB42" i="27"/>
  <c r="BA42" i="27"/>
  <c r="AZ42" i="27"/>
  <c r="AC42" i="27"/>
  <c r="Z42" i="27"/>
  <c r="R42" i="27"/>
  <c r="P42" i="27"/>
  <c r="N42" i="27"/>
  <c r="L42" i="27"/>
  <c r="J42" i="27"/>
  <c r="H42" i="27"/>
  <c r="F42" i="27"/>
  <c r="CC41" i="27"/>
  <c r="BF41" i="27"/>
  <c r="BE41" i="27"/>
  <c r="BD41" i="27"/>
  <c r="BC41" i="27"/>
  <c r="BB41" i="27"/>
  <c r="BA41" i="27"/>
  <c r="AZ41" i="27"/>
  <c r="AC41" i="27"/>
  <c r="Z41" i="27"/>
  <c r="R41" i="27"/>
  <c r="P41" i="27"/>
  <c r="N41" i="27"/>
  <c r="L41" i="27"/>
  <c r="J41" i="27"/>
  <c r="H41" i="27"/>
  <c r="F41" i="27"/>
  <c r="CC40" i="27"/>
  <c r="BF40" i="27"/>
  <c r="BE40" i="27"/>
  <c r="BD40" i="27"/>
  <c r="BC40" i="27"/>
  <c r="BB40" i="27"/>
  <c r="BA40" i="27"/>
  <c r="AZ40" i="27"/>
  <c r="AC40" i="27"/>
  <c r="Z40" i="27"/>
  <c r="R40" i="27"/>
  <c r="P40" i="27"/>
  <c r="N40" i="27"/>
  <c r="L40" i="27"/>
  <c r="J40" i="27"/>
  <c r="H40" i="27"/>
  <c r="F40" i="27"/>
  <c r="CC39" i="27"/>
  <c r="BF39" i="27"/>
  <c r="BE39" i="27"/>
  <c r="BD39" i="27"/>
  <c r="BC39" i="27"/>
  <c r="BB39" i="27"/>
  <c r="BA39" i="27"/>
  <c r="AZ39" i="27"/>
  <c r="AC39" i="27"/>
  <c r="Z39" i="27"/>
  <c r="R39" i="27"/>
  <c r="P39" i="27"/>
  <c r="B39" i="27" s="1"/>
  <c r="N39" i="27"/>
  <c r="L39" i="27"/>
  <c r="J39" i="27"/>
  <c r="H39" i="27"/>
  <c r="F39" i="27"/>
  <c r="CC38" i="27"/>
  <c r="BF38" i="27"/>
  <c r="BE38" i="27"/>
  <c r="BD38" i="27"/>
  <c r="BC38" i="27"/>
  <c r="BB38" i="27"/>
  <c r="BA38" i="27"/>
  <c r="AZ38" i="27"/>
  <c r="AC38" i="27"/>
  <c r="Z38" i="27"/>
  <c r="R38" i="27"/>
  <c r="P38" i="27"/>
  <c r="N38" i="27"/>
  <c r="L38" i="27"/>
  <c r="J38" i="27"/>
  <c r="H38" i="27"/>
  <c r="F38" i="27"/>
  <c r="CC37" i="27"/>
  <c r="BF37" i="27"/>
  <c r="BE37" i="27"/>
  <c r="BD37" i="27"/>
  <c r="BC37" i="27"/>
  <c r="BB37" i="27"/>
  <c r="BA37" i="27"/>
  <c r="AZ37" i="27"/>
  <c r="AC37" i="27"/>
  <c r="Z37" i="27"/>
  <c r="R37" i="27"/>
  <c r="P37" i="27"/>
  <c r="N37" i="27"/>
  <c r="L37" i="27"/>
  <c r="J37" i="27"/>
  <c r="H37" i="27"/>
  <c r="F37" i="27"/>
  <c r="CC36" i="27"/>
  <c r="BF36" i="27"/>
  <c r="BE36" i="27"/>
  <c r="BD36" i="27"/>
  <c r="BC36" i="27"/>
  <c r="BB36" i="27"/>
  <c r="BA36" i="27"/>
  <c r="AZ36" i="27"/>
  <c r="AC36" i="27"/>
  <c r="Z36" i="27"/>
  <c r="R36" i="27"/>
  <c r="P36" i="27"/>
  <c r="N36" i="27"/>
  <c r="L36" i="27"/>
  <c r="J36" i="27"/>
  <c r="H36" i="27"/>
  <c r="F36" i="27"/>
  <c r="CC35" i="27"/>
  <c r="BF35" i="27"/>
  <c r="BE35" i="27"/>
  <c r="BD35" i="27"/>
  <c r="BC35" i="27"/>
  <c r="BB35" i="27"/>
  <c r="BA35" i="27"/>
  <c r="AZ35" i="27"/>
  <c r="AC35" i="27"/>
  <c r="Z35" i="27"/>
  <c r="R35" i="27"/>
  <c r="P35" i="27"/>
  <c r="N35" i="27"/>
  <c r="L35" i="27"/>
  <c r="J35" i="27"/>
  <c r="H35" i="27"/>
  <c r="F35" i="27"/>
  <c r="CC34" i="27"/>
  <c r="BF34" i="27"/>
  <c r="BE34" i="27"/>
  <c r="BD34" i="27"/>
  <c r="BC34" i="27"/>
  <c r="BB34" i="27"/>
  <c r="BA34" i="27"/>
  <c r="AZ34" i="27"/>
  <c r="AC34" i="27"/>
  <c r="Z34" i="27"/>
  <c r="R34" i="27"/>
  <c r="P34" i="27"/>
  <c r="N34" i="27"/>
  <c r="L34" i="27"/>
  <c r="J34" i="27"/>
  <c r="H34" i="27"/>
  <c r="F34" i="27"/>
  <c r="CC33" i="27"/>
  <c r="BF33" i="27"/>
  <c r="BE33" i="27"/>
  <c r="BD33" i="27"/>
  <c r="BC33" i="27"/>
  <c r="BB33" i="27"/>
  <c r="BA33" i="27"/>
  <c r="AZ33" i="27"/>
  <c r="AC33" i="27"/>
  <c r="Z33" i="27"/>
  <c r="R33" i="27"/>
  <c r="P33" i="27"/>
  <c r="B33" i="27" s="1"/>
  <c r="N33" i="27"/>
  <c r="L33" i="27"/>
  <c r="J33" i="27"/>
  <c r="H33" i="27"/>
  <c r="F33" i="27"/>
  <c r="CC32" i="27"/>
  <c r="BF32" i="27"/>
  <c r="BE32" i="27"/>
  <c r="BD32" i="27"/>
  <c r="BC32" i="27"/>
  <c r="BB32" i="27"/>
  <c r="BA32" i="27"/>
  <c r="AZ32" i="27"/>
  <c r="AC32" i="27"/>
  <c r="Z32" i="27"/>
  <c r="R32" i="27"/>
  <c r="P32" i="27"/>
  <c r="N32" i="27"/>
  <c r="L32" i="27"/>
  <c r="J32" i="27"/>
  <c r="H32" i="27"/>
  <c r="F32" i="27"/>
  <c r="CC31" i="27"/>
  <c r="BF31" i="27"/>
  <c r="BE31" i="27"/>
  <c r="BD31" i="27"/>
  <c r="BC31" i="27"/>
  <c r="BB31" i="27"/>
  <c r="BA31" i="27"/>
  <c r="AZ31" i="27"/>
  <c r="AC31" i="27"/>
  <c r="Z31" i="27"/>
  <c r="R31" i="27"/>
  <c r="P31" i="27"/>
  <c r="N31" i="27"/>
  <c r="L31" i="27"/>
  <c r="J31" i="27"/>
  <c r="H31" i="27"/>
  <c r="F31" i="27"/>
  <c r="CC30" i="27"/>
  <c r="BF30" i="27"/>
  <c r="BE30" i="27"/>
  <c r="BD30" i="27"/>
  <c r="BC30" i="27"/>
  <c r="BB30" i="27"/>
  <c r="BA30" i="27"/>
  <c r="AZ30" i="27"/>
  <c r="AC30" i="27"/>
  <c r="Z30" i="27"/>
  <c r="R30" i="27"/>
  <c r="P30" i="27"/>
  <c r="N30" i="27"/>
  <c r="L30" i="27"/>
  <c r="J30" i="27"/>
  <c r="H30" i="27"/>
  <c r="F30" i="27"/>
  <c r="CC29" i="27"/>
  <c r="BF29" i="27"/>
  <c r="BE29" i="27"/>
  <c r="BD29" i="27"/>
  <c r="BC29" i="27"/>
  <c r="BB29" i="27"/>
  <c r="BA29" i="27"/>
  <c r="AZ29" i="27"/>
  <c r="AC29" i="27"/>
  <c r="Z29" i="27"/>
  <c r="R29" i="27"/>
  <c r="P29" i="27"/>
  <c r="N29" i="27"/>
  <c r="L29" i="27"/>
  <c r="J29" i="27"/>
  <c r="H29" i="27"/>
  <c r="F29" i="27"/>
  <c r="CC28" i="27"/>
  <c r="BF28" i="27"/>
  <c r="BE28" i="27"/>
  <c r="BD28" i="27"/>
  <c r="BC28" i="27"/>
  <c r="BB28" i="27"/>
  <c r="BA28" i="27"/>
  <c r="AZ28" i="27"/>
  <c r="AC28" i="27"/>
  <c r="Z28" i="27"/>
  <c r="R28" i="27"/>
  <c r="P28" i="27"/>
  <c r="N28" i="27"/>
  <c r="L28" i="27"/>
  <c r="J28" i="27"/>
  <c r="H28" i="27"/>
  <c r="F28" i="27"/>
  <c r="CC27" i="27"/>
  <c r="BF27" i="27"/>
  <c r="BE27" i="27"/>
  <c r="BD27" i="27"/>
  <c r="BC27" i="27"/>
  <c r="BB27" i="27"/>
  <c r="BA27" i="27"/>
  <c r="AZ27" i="27"/>
  <c r="AC27" i="27"/>
  <c r="Z27" i="27"/>
  <c r="R27" i="27"/>
  <c r="P27" i="27"/>
  <c r="B27" i="27" s="1"/>
  <c r="N27" i="27"/>
  <c r="L27" i="27"/>
  <c r="J27" i="27"/>
  <c r="H27" i="27"/>
  <c r="F27" i="27"/>
  <c r="CC26" i="27"/>
  <c r="BF26" i="27"/>
  <c r="BE26" i="27"/>
  <c r="BD26" i="27"/>
  <c r="BC26" i="27"/>
  <c r="BB26" i="27"/>
  <c r="BA26" i="27"/>
  <c r="AZ26" i="27"/>
  <c r="AC26" i="27"/>
  <c r="Z26" i="27"/>
  <c r="R26" i="27"/>
  <c r="P26" i="27"/>
  <c r="N26" i="27"/>
  <c r="L26" i="27"/>
  <c r="J26" i="27"/>
  <c r="H26" i="27"/>
  <c r="F26" i="27"/>
  <c r="CC25" i="27"/>
  <c r="BF25" i="27"/>
  <c r="BE25" i="27"/>
  <c r="BD25" i="27"/>
  <c r="BC25" i="27"/>
  <c r="BB25" i="27"/>
  <c r="BA25" i="27"/>
  <c r="AZ25" i="27"/>
  <c r="AC25" i="27"/>
  <c r="Z25" i="27"/>
  <c r="R25" i="27"/>
  <c r="P25" i="27"/>
  <c r="N25" i="27"/>
  <c r="L25" i="27"/>
  <c r="J25" i="27"/>
  <c r="H25" i="27"/>
  <c r="F25" i="27"/>
  <c r="CC24" i="27"/>
  <c r="BF24" i="27"/>
  <c r="BE24" i="27"/>
  <c r="BD24" i="27"/>
  <c r="BC24" i="27"/>
  <c r="BB24" i="27"/>
  <c r="BA24" i="27"/>
  <c r="AZ24" i="27"/>
  <c r="AC24" i="27"/>
  <c r="Z24" i="27"/>
  <c r="R24" i="27"/>
  <c r="P24" i="27"/>
  <c r="N24" i="27"/>
  <c r="L24" i="27"/>
  <c r="J24" i="27"/>
  <c r="H24" i="27"/>
  <c r="F24" i="27"/>
  <c r="CC23" i="27"/>
  <c r="BF23" i="27"/>
  <c r="BE23" i="27"/>
  <c r="BD23" i="27"/>
  <c r="BC23" i="27"/>
  <c r="BB23" i="27"/>
  <c r="BA23" i="27"/>
  <c r="AZ23" i="27"/>
  <c r="AC23" i="27"/>
  <c r="Z23" i="27"/>
  <c r="R23" i="27"/>
  <c r="P23" i="27"/>
  <c r="N23" i="27"/>
  <c r="L23" i="27"/>
  <c r="J23" i="27"/>
  <c r="H23" i="27"/>
  <c r="F23" i="27"/>
  <c r="CC22" i="27"/>
  <c r="BF22" i="27"/>
  <c r="BE22" i="27"/>
  <c r="BD22" i="27"/>
  <c r="BC22" i="27"/>
  <c r="BB22" i="27"/>
  <c r="BA22" i="27"/>
  <c r="AZ22" i="27"/>
  <c r="AC22" i="27"/>
  <c r="Z22" i="27"/>
  <c r="R22" i="27"/>
  <c r="P22" i="27"/>
  <c r="N22" i="27"/>
  <c r="L22" i="27"/>
  <c r="J22" i="27"/>
  <c r="H22" i="27"/>
  <c r="F22" i="27"/>
  <c r="CC21" i="27"/>
  <c r="BF21" i="27"/>
  <c r="BE21" i="27"/>
  <c r="BD21" i="27"/>
  <c r="BC21" i="27"/>
  <c r="BB21" i="27"/>
  <c r="BA21" i="27"/>
  <c r="AZ21" i="27"/>
  <c r="AC21" i="27"/>
  <c r="Z21" i="27"/>
  <c r="R21" i="27"/>
  <c r="P21" i="27"/>
  <c r="B21" i="27" s="1"/>
  <c r="N21" i="27"/>
  <c r="L21" i="27"/>
  <c r="J21" i="27"/>
  <c r="H21" i="27"/>
  <c r="F21" i="27"/>
  <c r="CC20" i="27"/>
  <c r="BF20" i="27"/>
  <c r="BE20" i="27"/>
  <c r="BD20" i="27"/>
  <c r="BC20" i="27"/>
  <c r="BB20" i="27"/>
  <c r="BA20" i="27"/>
  <c r="AZ20" i="27"/>
  <c r="AC20" i="27"/>
  <c r="Z20" i="27"/>
  <c r="R20" i="27"/>
  <c r="P20" i="27"/>
  <c r="N20" i="27"/>
  <c r="L20" i="27"/>
  <c r="J20" i="27"/>
  <c r="H20" i="27"/>
  <c r="F20" i="27"/>
  <c r="CC19" i="27"/>
  <c r="BF19" i="27"/>
  <c r="BE19" i="27"/>
  <c r="BD19" i="27"/>
  <c r="BC19" i="27"/>
  <c r="BB19" i="27"/>
  <c r="BA19" i="27"/>
  <c r="AZ19" i="27"/>
  <c r="AC19" i="27"/>
  <c r="Z19" i="27"/>
  <c r="R19" i="27"/>
  <c r="P19" i="27"/>
  <c r="N19" i="27"/>
  <c r="L19" i="27"/>
  <c r="J19" i="27"/>
  <c r="H19" i="27"/>
  <c r="F19" i="27"/>
  <c r="CC18" i="27"/>
  <c r="BF18" i="27"/>
  <c r="BE18" i="27"/>
  <c r="BD18" i="27"/>
  <c r="BC18" i="27"/>
  <c r="BB18" i="27"/>
  <c r="BA18" i="27"/>
  <c r="AZ18" i="27"/>
  <c r="AC18" i="27"/>
  <c r="Z18" i="27"/>
  <c r="R18" i="27"/>
  <c r="P18" i="27"/>
  <c r="N18" i="27"/>
  <c r="L18" i="27"/>
  <c r="J18" i="27"/>
  <c r="H18" i="27"/>
  <c r="F18" i="27"/>
  <c r="CC17" i="27"/>
  <c r="BF17" i="27"/>
  <c r="BE17" i="27"/>
  <c r="BD17" i="27"/>
  <c r="BC17" i="27"/>
  <c r="BB17" i="27"/>
  <c r="BA17" i="27"/>
  <c r="AZ17" i="27"/>
  <c r="AC17" i="27"/>
  <c r="Z17" i="27"/>
  <c r="R17" i="27"/>
  <c r="P17" i="27"/>
  <c r="N17" i="27"/>
  <c r="L17" i="27"/>
  <c r="J17" i="27"/>
  <c r="H17" i="27"/>
  <c r="F17" i="27"/>
  <c r="CC16" i="27"/>
  <c r="BF16" i="27"/>
  <c r="BE16" i="27"/>
  <c r="BD16" i="27"/>
  <c r="BC16" i="27"/>
  <c r="BB16" i="27"/>
  <c r="BA16" i="27"/>
  <c r="AZ16" i="27"/>
  <c r="AC16" i="27"/>
  <c r="Z16" i="27"/>
  <c r="R16" i="27"/>
  <c r="P16" i="27"/>
  <c r="N16" i="27"/>
  <c r="L16" i="27"/>
  <c r="J16" i="27"/>
  <c r="H16" i="27"/>
  <c r="F16" i="27"/>
  <c r="B23" i="27" l="1"/>
  <c r="B29" i="27"/>
  <c r="B35" i="27"/>
  <c r="B41" i="27"/>
  <c r="B47" i="27"/>
  <c r="B53" i="27"/>
  <c r="B59" i="27"/>
  <c r="B65" i="27"/>
  <c r="B17" i="27"/>
  <c r="B16" i="27"/>
  <c r="B22" i="27"/>
  <c r="B28" i="27"/>
  <c r="B34" i="27"/>
  <c r="B40" i="27"/>
  <c r="B46" i="27"/>
  <c r="B52" i="27"/>
  <c r="B58" i="27"/>
  <c r="B64" i="27"/>
  <c r="B20" i="27"/>
  <c r="B26" i="27"/>
  <c r="B32" i="27"/>
  <c r="B38" i="27"/>
  <c r="B44" i="27"/>
  <c r="B50" i="27"/>
  <c r="B56" i="27"/>
  <c r="B62" i="27"/>
  <c r="B25" i="27"/>
  <c r="B31" i="27"/>
  <c r="B37" i="27"/>
  <c r="B43" i="27"/>
  <c r="B49" i="27"/>
  <c r="B55" i="27"/>
  <c r="B61" i="27"/>
  <c r="B19" i="27"/>
  <c r="B18" i="27"/>
  <c r="B24" i="27"/>
  <c r="B30" i="27"/>
  <c r="B36" i="27"/>
  <c r="B42" i="27"/>
  <c r="B48" i="27"/>
  <c r="B54" i="27"/>
  <c r="B60" i="27"/>
  <c r="CC73" i="13"/>
  <c r="BF73" i="13"/>
  <c r="BE73" i="13"/>
  <c r="BD73" i="13"/>
  <c r="BC73" i="13"/>
  <c r="BB73" i="13" s="1"/>
  <c r="BA73" i="13"/>
  <c r="AZ73" i="13"/>
  <c r="AC73" i="13"/>
  <c r="Z73" i="13"/>
  <c r="R73" i="13"/>
  <c r="P73" i="13"/>
  <c r="N73" i="13"/>
  <c r="L73" i="13"/>
  <c r="J73" i="13"/>
  <c r="H73" i="13"/>
  <c r="F73" i="13"/>
  <c r="B73" i="13" s="1"/>
  <c r="CC72" i="13"/>
  <c r="BF72" i="13"/>
  <c r="BE72" i="13"/>
  <c r="BD72" i="13"/>
  <c r="BC72" i="13"/>
  <c r="BB72" i="13" s="1"/>
  <c r="BA72" i="13"/>
  <c r="AZ72" i="13"/>
  <c r="AC72" i="13"/>
  <c r="Z72" i="13"/>
  <c r="R72" i="13"/>
  <c r="P72" i="13"/>
  <c r="N72" i="13"/>
  <c r="L72" i="13"/>
  <c r="J72" i="13"/>
  <c r="H72" i="13"/>
  <c r="F72" i="13"/>
  <c r="B72" i="13" s="1"/>
  <c r="CC71" i="13"/>
  <c r="BF71" i="13"/>
  <c r="BE71" i="13"/>
  <c r="BD71" i="13"/>
  <c r="BC71" i="13"/>
  <c r="BB71" i="13" s="1"/>
  <c r="BA71" i="13"/>
  <c r="AZ71" i="13"/>
  <c r="AC71" i="13"/>
  <c r="Z71" i="13"/>
  <c r="R71" i="13"/>
  <c r="P71" i="13"/>
  <c r="N71" i="13"/>
  <c r="L71" i="13"/>
  <c r="J71" i="13"/>
  <c r="H71" i="13"/>
  <c r="F71" i="13"/>
  <c r="B71" i="13" s="1"/>
  <c r="CC70" i="13"/>
  <c r="BF70" i="13"/>
  <c r="BE70" i="13"/>
  <c r="BD70" i="13"/>
  <c r="BC70" i="13"/>
  <c r="BB70" i="13" s="1"/>
  <c r="BA70" i="13"/>
  <c r="AZ70" i="13"/>
  <c r="AC70" i="13"/>
  <c r="Z70" i="13"/>
  <c r="R70" i="13"/>
  <c r="P70" i="13"/>
  <c r="N70" i="13"/>
  <c r="L70" i="13"/>
  <c r="J70" i="13"/>
  <c r="H70" i="13"/>
  <c r="F70" i="13"/>
  <c r="B70" i="13" s="1"/>
  <c r="CC69" i="13"/>
  <c r="BF69" i="13"/>
  <c r="BE69" i="13"/>
  <c r="BD69" i="13"/>
  <c r="BC69" i="13"/>
  <c r="BB69" i="13" s="1"/>
  <c r="BA69" i="13"/>
  <c r="AZ69" i="13"/>
  <c r="AC69" i="13"/>
  <c r="Z69" i="13"/>
  <c r="R69" i="13"/>
  <c r="P69" i="13"/>
  <c r="N69" i="13"/>
  <c r="L69" i="13"/>
  <c r="J69" i="13"/>
  <c r="H69" i="13"/>
  <c r="F69" i="13"/>
  <c r="B69" i="13" s="1"/>
  <c r="CC68" i="13"/>
  <c r="BF68" i="13"/>
  <c r="BE68" i="13"/>
  <c r="BD68" i="13"/>
  <c r="BC68" i="13"/>
  <c r="BB68" i="13" s="1"/>
  <c r="BA68" i="13"/>
  <c r="AZ68" i="13"/>
  <c r="AC68" i="13"/>
  <c r="Z68" i="13"/>
  <c r="R68" i="13"/>
  <c r="P68" i="13"/>
  <c r="N68" i="13"/>
  <c r="L68" i="13"/>
  <c r="J68" i="13"/>
  <c r="H68" i="13"/>
  <c r="F68" i="13"/>
  <c r="B68" i="13" s="1"/>
  <c r="CC67" i="13"/>
  <c r="BF67" i="13"/>
  <c r="BE67" i="13"/>
  <c r="BD67" i="13"/>
  <c r="BC67" i="13"/>
  <c r="BB67" i="13" s="1"/>
  <c r="BA67" i="13"/>
  <c r="AZ67" i="13"/>
  <c r="AC67" i="13"/>
  <c r="Z67" i="13"/>
  <c r="R67" i="13"/>
  <c r="P67" i="13"/>
  <c r="N67" i="13"/>
  <c r="L67" i="13"/>
  <c r="J67" i="13"/>
  <c r="H67" i="13"/>
  <c r="F67" i="13"/>
  <c r="B67" i="13" s="1"/>
  <c r="CC66" i="13"/>
  <c r="BF66" i="13"/>
  <c r="BE66" i="13"/>
  <c r="BD66" i="13"/>
  <c r="BC66" i="13"/>
  <c r="BB66" i="13" s="1"/>
  <c r="BA66" i="13"/>
  <c r="AZ66" i="13"/>
  <c r="AC66" i="13"/>
  <c r="Z66" i="13"/>
  <c r="R66" i="13"/>
  <c r="P66" i="13"/>
  <c r="N66" i="13"/>
  <c r="L66" i="13"/>
  <c r="J66" i="13"/>
  <c r="H66" i="13"/>
  <c r="F66" i="13"/>
  <c r="B66" i="13" s="1"/>
  <c r="CC65" i="13"/>
  <c r="BF65" i="13"/>
  <c r="BE65" i="13"/>
  <c r="BD65" i="13"/>
  <c r="BC65" i="13"/>
  <c r="BB65" i="13" s="1"/>
  <c r="BA65" i="13"/>
  <c r="AZ65" i="13"/>
  <c r="AC65" i="13"/>
  <c r="Z65" i="13"/>
  <c r="R65" i="13"/>
  <c r="P65" i="13"/>
  <c r="N65" i="13"/>
  <c r="L65" i="13"/>
  <c r="J65" i="13"/>
  <c r="H65" i="13"/>
  <c r="F65" i="13"/>
  <c r="B65" i="13" s="1"/>
  <c r="CC64" i="13"/>
  <c r="BF64" i="13"/>
  <c r="BE64" i="13"/>
  <c r="BD64" i="13"/>
  <c r="BC64" i="13"/>
  <c r="BB64" i="13" s="1"/>
  <c r="BA64" i="13"/>
  <c r="AZ64" i="13"/>
  <c r="AC64" i="13"/>
  <c r="Z64" i="13"/>
  <c r="R64" i="13"/>
  <c r="P64" i="13"/>
  <c r="N64" i="13"/>
  <c r="L64" i="13"/>
  <c r="J64" i="13"/>
  <c r="H64" i="13"/>
  <c r="F64" i="13"/>
  <c r="B64" i="13" s="1"/>
  <c r="CC63" i="13"/>
  <c r="BF63" i="13"/>
  <c r="BE63" i="13"/>
  <c r="BD63" i="13"/>
  <c r="BC63" i="13"/>
  <c r="BB63" i="13" s="1"/>
  <c r="BA63" i="13"/>
  <c r="AZ63" i="13"/>
  <c r="AC63" i="13"/>
  <c r="Z63" i="13"/>
  <c r="R63" i="13"/>
  <c r="P63" i="13"/>
  <c r="N63" i="13"/>
  <c r="L63" i="13"/>
  <c r="J63" i="13"/>
  <c r="H63" i="13"/>
  <c r="F63" i="13"/>
  <c r="B63" i="13" s="1"/>
  <c r="CC62" i="13"/>
  <c r="BF62" i="13"/>
  <c r="BE62" i="13"/>
  <c r="BD62" i="13"/>
  <c r="BC62" i="13"/>
  <c r="BB62" i="13" s="1"/>
  <c r="BA62" i="13"/>
  <c r="AZ62" i="13"/>
  <c r="AC62" i="13"/>
  <c r="Z62" i="13"/>
  <c r="R62" i="13"/>
  <c r="P62" i="13"/>
  <c r="N62" i="13"/>
  <c r="L62" i="13"/>
  <c r="J62" i="13"/>
  <c r="H62" i="13"/>
  <c r="F62" i="13"/>
  <c r="B62" i="13" s="1"/>
  <c r="CC61" i="13"/>
  <c r="BF61" i="13"/>
  <c r="BE61" i="13"/>
  <c r="BD61" i="13"/>
  <c r="BC61" i="13"/>
  <c r="BB61" i="13" s="1"/>
  <c r="BA61" i="13"/>
  <c r="AZ61" i="13"/>
  <c r="AC61" i="13"/>
  <c r="Z61" i="13"/>
  <c r="R61" i="13"/>
  <c r="P61" i="13"/>
  <c r="N61" i="13"/>
  <c r="L61" i="13"/>
  <c r="J61" i="13"/>
  <c r="H61" i="13"/>
  <c r="F61" i="13"/>
  <c r="B61" i="13" s="1"/>
  <c r="CC60" i="13"/>
  <c r="BF60" i="13"/>
  <c r="BE60" i="13"/>
  <c r="BD60" i="13"/>
  <c r="BC60" i="13"/>
  <c r="BB60" i="13" s="1"/>
  <c r="BA60" i="13"/>
  <c r="AZ60" i="13"/>
  <c r="AC60" i="13"/>
  <c r="Z60" i="13"/>
  <c r="R60" i="13"/>
  <c r="P60" i="13"/>
  <c r="N60" i="13"/>
  <c r="L60" i="13"/>
  <c r="J60" i="13"/>
  <c r="H60" i="13"/>
  <c r="F60" i="13"/>
  <c r="B60" i="13" s="1"/>
  <c r="CC59" i="13"/>
  <c r="BF59" i="13"/>
  <c r="BE59" i="13"/>
  <c r="BD59" i="13"/>
  <c r="BC59" i="13"/>
  <c r="BB59" i="13" s="1"/>
  <c r="BA59" i="13"/>
  <c r="AZ59" i="13"/>
  <c r="AC59" i="13"/>
  <c r="Z59" i="13"/>
  <c r="R59" i="13"/>
  <c r="P59" i="13"/>
  <c r="N59" i="13"/>
  <c r="L59" i="13"/>
  <c r="J59" i="13"/>
  <c r="H59" i="13"/>
  <c r="F59" i="13"/>
  <c r="B59" i="13" s="1"/>
  <c r="CC58" i="13"/>
  <c r="BF58" i="13"/>
  <c r="BE58" i="13"/>
  <c r="BD58" i="13"/>
  <c r="BC58" i="13"/>
  <c r="BB58" i="13" s="1"/>
  <c r="BA58" i="13"/>
  <c r="AZ58" i="13"/>
  <c r="AC58" i="13"/>
  <c r="Z58" i="13"/>
  <c r="R58" i="13"/>
  <c r="P58" i="13"/>
  <c r="N58" i="13"/>
  <c r="L58" i="13"/>
  <c r="J58" i="13"/>
  <c r="H58" i="13"/>
  <c r="F58" i="13"/>
  <c r="B58" i="13" s="1"/>
  <c r="CC57" i="13"/>
  <c r="BF57" i="13"/>
  <c r="BE57" i="13"/>
  <c r="BD57" i="13"/>
  <c r="BC57" i="13"/>
  <c r="BB57" i="13" s="1"/>
  <c r="BA57" i="13"/>
  <c r="AZ57" i="13"/>
  <c r="AC57" i="13"/>
  <c r="Z57" i="13"/>
  <c r="R57" i="13"/>
  <c r="P57" i="13"/>
  <c r="N57" i="13"/>
  <c r="L57" i="13"/>
  <c r="J57" i="13"/>
  <c r="H57" i="13"/>
  <c r="F57" i="13"/>
  <c r="B57" i="13" s="1"/>
  <c r="CC56" i="13"/>
  <c r="BF56" i="13"/>
  <c r="BE56" i="13"/>
  <c r="BD56" i="13"/>
  <c r="BC56" i="13"/>
  <c r="BB56" i="13" s="1"/>
  <c r="BA56" i="13"/>
  <c r="AZ56" i="13"/>
  <c r="AC56" i="13"/>
  <c r="Z56" i="13"/>
  <c r="R56" i="13"/>
  <c r="P56" i="13"/>
  <c r="N56" i="13"/>
  <c r="L56" i="13"/>
  <c r="J56" i="13"/>
  <c r="H56" i="13"/>
  <c r="F56" i="13"/>
  <c r="B56" i="13" s="1"/>
  <c r="CC55" i="13"/>
  <c r="BF55" i="13"/>
  <c r="BE55" i="13"/>
  <c r="BD55" i="13"/>
  <c r="BC55" i="13"/>
  <c r="BB55" i="13" s="1"/>
  <c r="BA55" i="13"/>
  <c r="AZ55" i="13"/>
  <c r="AC55" i="13"/>
  <c r="Z55" i="13"/>
  <c r="R55" i="13"/>
  <c r="P55" i="13"/>
  <c r="N55" i="13"/>
  <c r="L55" i="13"/>
  <c r="J55" i="13"/>
  <c r="H55" i="13"/>
  <c r="F55" i="13"/>
  <c r="B55" i="13" s="1"/>
  <c r="CC54" i="13"/>
  <c r="BF54" i="13"/>
  <c r="BE54" i="13"/>
  <c r="BD54" i="13"/>
  <c r="BC54" i="13"/>
  <c r="BB54" i="13" s="1"/>
  <c r="BA54" i="13"/>
  <c r="AZ54" i="13"/>
  <c r="AC54" i="13"/>
  <c r="Z54" i="13"/>
  <c r="R54" i="13"/>
  <c r="P54" i="13"/>
  <c r="N54" i="13"/>
  <c r="L54" i="13"/>
  <c r="J54" i="13"/>
  <c r="H54" i="13"/>
  <c r="F54" i="13"/>
  <c r="B54" i="13" s="1"/>
  <c r="CC53" i="13"/>
  <c r="BF53" i="13"/>
  <c r="BE53" i="13"/>
  <c r="BD53" i="13"/>
  <c r="BC53" i="13"/>
  <c r="BB53" i="13" s="1"/>
  <c r="BA53" i="13"/>
  <c r="AZ53" i="13"/>
  <c r="AC53" i="13"/>
  <c r="Z53" i="13"/>
  <c r="R53" i="13"/>
  <c r="P53" i="13"/>
  <c r="N53" i="13"/>
  <c r="L53" i="13"/>
  <c r="J53" i="13"/>
  <c r="H53" i="13"/>
  <c r="F53" i="13"/>
  <c r="B53" i="13" s="1"/>
  <c r="CC52" i="13"/>
  <c r="BF52" i="13"/>
  <c r="BE52" i="13"/>
  <c r="BD52" i="13"/>
  <c r="BC52" i="13"/>
  <c r="BB52" i="13" s="1"/>
  <c r="BA52" i="13"/>
  <c r="AZ52" i="13"/>
  <c r="AC52" i="13"/>
  <c r="Z52" i="13"/>
  <c r="R52" i="13"/>
  <c r="P52" i="13"/>
  <c r="N52" i="13"/>
  <c r="L52" i="13"/>
  <c r="J52" i="13"/>
  <c r="H52" i="13"/>
  <c r="F52" i="13"/>
  <c r="B52" i="13" s="1"/>
  <c r="CC51" i="13"/>
  <c r="BF51" i="13"/>
  <c r="BE51" i="13"/>
  <c r="BD51" i="13"/>
  <c r="BC51" i="13"/>
  <c r="BB51" i="13" s="1"/>
  <c r="BA51" i="13"/>
  <c r="AZ51" i="13"/>
  <c r="AC51" i="13"/>
  <c r="Z51" i="13"/>
  <c r="R51" i="13"/>
  <c r="P51" i="13"/>
  <c r="N51" i="13"/>
  <c r="L51" i="13"/>
  <c r="J51" i="13"/>
  <c r="H51" i="13"/>
  <c r="F51" i="13"/>
  <c r="B51" i="13" s="1"/>
  <c r="CC50" i="13"/>
  <c r="BF50" i="13"/>
  <c r="BE50" i="13"/>
  <c r="BD50" i="13"/>
  <c r="BC50" i="13"/>
  <c r="BB50" i="13" s="1"/>
  <c r="BA50" i="13"/>
  <c r="AZ50" i="13"/>
  <c r="AC50" i="13"/>
  <c r="Z50" i="13"/>
  <c r="R50" i="13"/>
  <c r="P50" i="13"/>
  <c r="N50" i="13"/>
  <c r="L50" i="13"/>
  <c r="J50" i="13"/>
  <c r="H50" i="13"/>
  <c r="F50" i="13"/>
  <c r="B50" i="13" s="1"/>
  <c r="CC49" i="13"/>
  <c r="BF49" i="13"/>
  <c r="BE49" i="13"/>
  <c r="BD49" i="13"/>
  <c r="BC49" i="13"/>
  <c r="BB49" i="13" s="1"/>
  <c r="BA49" i="13"/>
  <c r="AZ49" i="13"/>
  <c r="AC49" i="13"/>
  <c r="Z49" i="13"/>
  <c r="R49" i="13"/>
  <c r="P49" i="13"/>
  <c r="N49" i="13"/>
  <c r="L49" i="13"/>
  <c r="J49" i="13"/>
  <c r="H49" i="13"/>
  <c r="F49" i="13"/>
  <c r="B49" i="13" s="1"/>
  <c r="CC48" i="13"/>
  <c r="BF48" i="13"/>
  <c r="BE48" i="13"/>
  <c r="BD48" i="13"/>
  <c r="BC48" i="13"/>
  <c r="BB48" i="13" s="1"/>
  <c r="BA48" i="13"/>
  <c r="AZ48" i="13"/>
  <c r="AC48" i="13"/>
  <c r="Z48" i="13"/>
  <c r="R48" i="13"/>
  <c r="P48" i="13"/>
  <c r="N48" i="13"/>
  <c r="L48" i="13"/>
  <c r="J48" i="13"/>
  <c r="H48" i="13"/>
  <c r="F48" i="13"/>
  <c r="B48" i="13" s="1"/>
  <c r="CC47" i="13"/>
  <c r="BF47" i="13"/>
  <c r="BE47" i="13"/>
  <c r="BD47" i="13"/>
  <c r="BC47" i="13"/>
  <c r="BB47" i="13" s="1"/>
  <c r="BA47" i="13"/>
  <c r="AZ47" i="13"/>
  <c r="AC47" i="13"/>
  <c r="Z47" i="13"/>
  <c r="R47" i="13"/>
  <c r="P47" i="13"/>
  <c r="N47" i="13"/>
  <c r="L47" i="13"/>
  <c r="J47" i="13"/>
  <c r="H47" i="13"/>
  <c r="F47" i="13"/>
  <c r="B47" i="13" s="1"/>
  <c r="CC46" i="13"/>
  <c r="BF46" i="13"/>
  <c r="BE46" i="13"/>
  <c r="BD46" i="13"/>
  <c r="BC46" i="13"/>
  <c r="BB46" i="13" s="1"/>
  <c r="BA46" i="13"/>
  <c r="AZ46" i="13"/>
  <c r="AC46" i="13"/>
  <c r="Z46" i="13"/>
  <c r="R46" i="13"/>
  <c r="P46" i="13"/>
  <c r="N46" i="13"/>
  <c r="L46" i="13"/>
  <c r="J46" i="13"/>
  <c r="H46" i="13"/>
  <c r="F46" i="13"/>
  <c r="B46" i="13" s="1"/>
  <c r="CC45" i="13"/>
  <c r="BF45" i="13"/>
  <c r="BE45" i="13"/>
  <c r="BD45" i="13"/>
  <c r="BC45" i="13"/>
  <c r="BB45" i="13" s="1"/>
  <c r="BA45" i="13"/>
  <c r="AZ45" i="13"/>
  <c r="AC45" i="13"/>
  <c r="Z45" i="13"/>
  <c r="R45" i="13"/>
  <c r="P45" i="13"/>
  <c r="N45" i="13"/>
  <c r="L45" i="13"/>
  <c r="J45" i="13"/>
  <c r="H45" i="13"/>
  <c r="F45" i="13"/>
  <c r="B45" i="13" s="1"/>
  <c r="CC44" i="13"/>
  <c r="BF44" i="13"/>
  <c r="BE44" i="13"/>
  <c r="BD44" i="13"/>
  <c r="BC44" i="13"/>
  <c r="BB44" i="13" s="1"/>
  <c r="BA44" i="13"/>
  <c r="AZ44" i="13"/>
  <c r="AC44" i="13"/>
  <c r="Z44" i="13"/>
  <c r="R44" i="13"/>
  <c r="P44" i="13"/>
  <c r="N44" i="13"/>
  <c r="L44" i="13"/>
  <c r="J44" i="13"/>
  <c r="H44" i="13"/>
  <c r="F44" i="13"/>
  <c r="B44" i="13" s="1"/>
  <c r="Z16" i="13" l="1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15" i="13"/>
  <c r="F16" i="13"/>
  <c r="F17" i="13"/>
  <c r="B17" i="13" s="1"/>
  <c r="F18" i="13"/>
  <c r="F19" i="13"/>
  <c r="B19" i="13" s="1"/>
  <c r="F20" i="13"/>
  <c r="F21" i="13"/>
  <c r="B21" i="13" s="1"/>
  <c r="F22" i="13"/>
  <c r="F23" i="13"/>
  <c r="B23" i="13" s="1"/>
  <c r="F24" i="13"/>
  <c r="F25" i="13"/>
  <c r="B25" i="13" s="1"/>
  <c r="F26" i="13"/>
  <c r="F27" i="13"/>
  <c r="F28" i="13"/>
  <c r="F29" i="13"/>
  <c r="B29" i="13" s="1"/>
  <c r="F30" i="13"/>
  <c r="F31" i="13"/>
  <c r="B31" i="13" s="1"/>
  <c r="F32" i="13"/>
  <c r="F33" i="13"/>
  <c r="F34" i="13"/>
  <c r="F35" i="13"/>
  <c r="B35" i="13" s="1"/>
  <c r="F36" i="13"/>
  <c r="F37" i="13"/>
  <c r="B37" i="13" s="1"/>
  <c r="F38" i="13"/>
  <c r="F39" i="13"/>
  <c r="F40" i="13"/>
  <c r="F41" i="13"/>
  <c r="B41" i="13" s="1"/>
  <c r="F42" i="13"/>
  <c r="F43" i="13"/>
  <c r="B43" i="13" s="1"/>
  <c r="F15" i="13"/>
  <c r="AC15" i="13"/>
  <c r="AC16" i="13"/>
  <c r="AC18" i="13"/>
  <c r="AC19" i="13"/>
  <c r="AC20" i="13"/>
  <c r="AC21" i="13"/>
  <c r="AC22" i="13"/>
  <c r="AC23" i="13"/>
  <c r="AC24" i="13"/>
  <c r="AC25" i="13"/>
  <c r="AC26" i="13"/>
  <c r="AC27" i="13"/>
  <c r="AC28" i="13"/>
  <c r="AC29" i="13"/>
  <c r="AC30" i="13"/>
  <c r="AC3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17" i="13"/>
  <c r="BC16" i="13"/>
  <c r="BD16" i="13"/>
  <c r="BE16" i="13"/>
  <c r="BF16" i="13"/>
  <c r="BC17" i="13"/>
  <c r="BD17" i="13"/>
  <c r="BE17" i="13"/>
  <c r="BF17" i="13"/>
  <c r="BC18" i="13"/>
  <c r="BB18" i="13" s="1"/>
  <c r="BD18" i="13"/>
  <c r="BE18" i="13"/>
  <c r="BF18" i="13"/>
  <c r="BC19" i="13"/>
  <c r="BD19" i="13"/>
  <c r="BE19" i="13"/>
  <c r="BF19" i="13"/>
  <c r="BC20" i="13"/>
  <c r="BD20" i="13"/>
  <c r="BE20" i="13"/>
  <c r="BF20" i="13"/>
  <c r="BC21" i="13"/>
  <c r="BD21" i="13"/>
  <c r="BE21" i="13"/>
  <c r="BF21" i="13"/>
  <c r="BC22" i="13"/>
  <c r="BB22" i="13" s="1"/>
  <c r="BD22" i="13"/>
  <c r="BE22" i="13"/>
  <c r="BF22" i="13"/>
  <c r="BC23" i="13"/>
  <c r="BD23" i="13"/>
  <c r="BE23" i="13"/>
  <c r="BF23" i="13"/>
  <c r="BC24" i="13"/>
  <c r="BD24" i="13"/>
  <c r="BE24" i="13"/>
  <c r="BF24" i="13"/>
  <c r="BC25" i="13"/>
  <c r="BD25" i="13"/>
  <c r="BE25" i="13"/>
  <c r="BF25" i="13"/>
  <c r="BC26" i="13"/>
  <c r="BB26" i="13" s="1"/>
  <c r="BD26" i="13"/>
  <c r="BE26" i="13"/>
  <c r="BF26" i="13"/>
  <c r="BC27" i="13"/>
  <c r="BD27" i="13"/>
  <c r="BE27" i="13"/>
  <c r="BF27" i="13"/>
  <c r="BC28" i="13"/>
  <c r="BB28" i="13" s="1"/>
  <c r="BD28" i="13"/>
  <c r="BE28" i="13"/>
  <c r="BF28" i="13"/>
  <c r="BC29" i="13"/>
  <c r="BD29" i="13"/>
  <c r="BE29" i="13"/>
  <c r="BF29" i="13"/>
  <c r="BC30" i="13"/>
  <c r="BB30" i="13" s="1"/>
  <c r="BD30" i="13"/>
  <c r="BE30" i="13"/>
  <c r="BF30" i="13"/>
  <c r="BC31" i="13"/>
  <c r="BB31" i="13" s="1"/>
  <c r="BD31" i="13"/>
  <c r="BE31" i="13"/>
  <c r="BF31" i="13"/>
  <c r="BC32" i="13"/>
  <c r="BD32" i="13"/>
  <c r="BE32" i="13"/>
  <c r="BF32" i="13"/>
  <c r="BC33" i="13"/>
  <c r="BD33" i="13"/>
  <c r="BE33" i="13"/>
  <c r="BF33" i="13"/>
  <c r="BC34" i="13"/>
  <c r="BB34" i="13" s="1"/>
  <c r="BD34" i="13"/>
  <c r="BE34" i="13"/>
  <c r="BF34" i="13"/>
  <c r="BC35" i="13"/>
  <c r="BB35" i="13" s="1"/>
  <c r="BD35" i="13"/>
  <c r="BE35" i="13"/>
  <c r="BF35" i="13"/>
  <c r="BC36" i="13"/>
  <c r="BB36" i="13" s="1"/>
  <c r="BD36" i="13"/>
  <c r="BE36" i="13"/>
  <c r="BF36" i="13"/>
  <c r="BC37" i="13"/>
  <c r="BD37" i="13"/>
  <c r="BE37" i="13"/>
  <c r="BF37" i="13"/>
  <c r="BC38" i="13"/>
  <c r="BB38" i="13" s="1"/>
  <c r="BD38" i="13"/>
  <c r="BE38" i="13"/>
  <c r="BF38" i="13"/>
  <c r="BC39" i="13"/>
  <c r="BB39" i="13" s="1"/>
  <c r="BD39" i="13"/>
  <c r="BE39" i="13"/>
  <c r="BF39" i="13"/>
  <c r="BC40" i="13"/>
  <c r="BD40" i="13"/>
  <c r="BE40" i="13"/>
  <c r="BF40" i="13"/>
  <c r="BC41" i="13"/>
  <c r="BD41" i="13"/>
  <c r="BE41" i="13"/>
  <c r="BF41" i="13"/>
  <c r="BC42" i="13"/>
  <c r="BB42" i="13" s="1"/>
  <c r="BD42" i="13"/>
  <c r="BE42" i="13"/>
  <c r="BF42" i="13"/>
  <c r="BC43" i="13"/>
  <c r="BB43" i="13" s="1"/>
  <c r="BD43" i="13"/>
  <c r="BE43" i="13"/>
  <c r="BF43" i="13"/>
  <c r="BB16" i="13"/>
  <c r="BB17" i="13"/>
  <c r="BB19" i="13"/>
  <c r="BB20" i="13"/>
  <c r="BB21" i="13"/>
  <c r="BB23" i="13"/>
  <c r="BB24" i="13"/>
  <c r="BB25" i="13"/>
  <c r="BB27" i="13"/>
  <c r="BB29" i="13"/>
  <c r="BB32" i="13"/>
  <c r="BB33" i="13"/>
  <c r="BB37" i="13"/>
  <c r="BB40" i="13"/>
  <c r="BB41" i="13"/>
  <c r="BC15" i="13"/>
  <c r="B42" i="13" l="1"/>
  <c r="B36" i="13"/>
  <c r="B30" i="13"/>
  <c r="B24" i="13"/>
  <c r="B18" i="13"/>
  <c r="B40" i="13"/>
  <c r="B28" i="13"/>
  <c r="B16" i="13"/>
  <c r="B39" i="13"/>
  <c r="B33" i="13"/>
  <c r="B27" i="13"/>
  <c r="B34" i="13"/>
  <c r="B22" i="13"/>
  <c r="B15" i="13"/>
  <c r="B38" i="13"/>
  <c r="B32" i="13"/>
  <c r="B26" i="13"/>
  <c r="B20" i="13"/>
  <c r="CC43" i="13"/>
  <c r="BA43" i="13"/>
  <c r="AZ43" i="13"/>
  <c r="R43" i="13"/>
  <c r="CC15" i="27" l="1"/>
  <c r="BF15" i="27"/>
  <c r="BE15" i="27"/>
  <c r="BD15" i="27"/>
  <c r="BC15" i="27"/>
  <c r="BA15" i="27"/>
  <c r="AZ15" i="27"/>
  <c r="AC15" i="27"/>
  <c r="Z15" i="27"/>
  <c r="R15" i="27"/>
  <c r="P15" i="27"/>
  <c r="N15" i="27"/>
  <c r="L15" i="27"/>
  <c r="J15" i="27"/>
  <c r="H15" i="27"/>
  <c r="F15" i="27"/>
  <c r="BB15" i="27" l="1"/>
  <c r="B15" i="27"/>
  <c r="R38" i="13" l="1"/>
  <c r="AZ38" i="13"/>
  <c r="BA38" i="13"/>
  <c r="CC38" i="13"/>
  <c r="CC42" i="13" l="1"/>
  <c r="BA42" i="13"/>
  <c r="AZ42" i="13"/>
  <c r="R42" i="13"/>
  <c r="CC41" i="13"/>
  <c r="BA41" i="13"/>
  <c r="AZ41" i="13"/>
  <c r="R41" i="13"/>
  <c r="CC40" i="13"/>
  <c r="BA40" i="13"/>
  <c r="AZ40" i="13"/>
  <c r="R40" i="13"/>
  <c r="CC39" i="13"/>
  <c r="BA39" i="13"/>
  <c r="AZ39" i="13"/>
  <c r="R39" i="13"/>
  <c r="CC37" i="13"/>
  <c r="BA37" i="13"/>
  <c r="AZ37" i="13"/>
  <c r="R37" i="13"/>
  <c r="CC36" i="13"/>
  <c r="BA36" i="13"/>
  <c r="AZ36" i="13"/>
  <c r="R36" i="13"/>
  <c r="CC35" i="13"/>
  <c r="BA35" i="13"/>
  <c r="AZ35" i="13"/>
  <c r="R35" i="13"/>
  <c r="CC34" i="13"/>
  <c r="BA34" i="13"/>
  <c r="AZ34" i="13"/>
  <c r="R34" i="13"/>
  <c r="CC33" i="13"/>
  <c r="BA33" i="13"/>
  <c r="AZ33" i="13"/>
  <c r="R33" i="13"/>
  <c r="CC32" i="13"/>
  <c r="BA32" i="13"/>
  <c r="AZ32" i="13"/>
  <c r="R32" i="13"/>
  <c r="CC31" i="13"/>
  <c r="BA31" i="13"/>
  <c r="AZ31" i="13"/>
  <c r="R31" i="13"/>
  <c r="CC30" i="13"/>
  <c r="BA30" i="13"/>
  <c r="AZ30" i="13"/>
  <c r="R30" i="13"/>
  <c r="CC29" i="13"/>
  <c r="BA29" i="13"/>
  <c r="AZ29" i="13"/>
  <c r="R29" i="13"/>
  <c r="CC28" i="13"/>
  <c r="BA28" i="13"/>
  <c r="AZ28" i="13"/>
  <c r="R28" i="13"/>
  <c r="CC27" i="13"/>
  <c r="BA27" i="13"/>
  <c r="AZ27" i="13"/>
  <c r="R27" i="13"/>
  <c r="CC26" i="13"/>
  <c r="BA26" i="13"/>
  <c r="AZ26" i="13"/>
  <c r="R26" i="13"/>
  <c r="CC25" i="13"/>
  <c r="BA25" i="13"/>
  <c r="AZ25" i="13"/>
  <c r="R25" i="13"/>
  <c r="CC24" i="13"/>
  <c r="BA24" i="13"/>
  <c r="AZ24" i="13"/>
  <c r="R24" i="13"/>
  <c r="CC23" i="13"/>
  <c r="BA23" i="13"/>
  <c r="AZ23" i="13"/>
  <c r="R23" i="13"/>
  <c r="CC22" i="13"/>
  <c r="BA22" i="13"/>
  <c r="AZ22" i="13"/>
  <c r="R22" i="13"/>
  <c r="CC21" i="13"/>
  <c r="BA21" i="13"/>
  <c r="AZ21" i="13"/>
  <c r="R21" i="13"/>
  <c r="CC20" i="13"/>
  <c r="BA20" i="13"/>
  <c r="AZ20" i="13"/>
  <c r="R20" i="13"/>
  <c r="CC19" i="13"/>
  <c r="BA19" i="13"/>
  <c r="AZ19" i="13"/>
  <c r="R19" i="13"/>
  <c r="CC18" i="13"/>
  <c r="BA18" i="13"/>
  <c r="AZ18" i="13"/>
  <c r="R18" i="13"/>
  <c r="CC17" i="13"/>
  <c r="BA17" i="13"/>
  <c r="AZ17" i="13"/>
  <c r="R17" i="13"/>
  <c r="CC16" i="13"/>
  <c r="BA16" i="13"/>
  <c r="AZ16" i="13"/>
  <c r="R16" i="13"/>
  <c r="AC15" i="26" l="1"/>
  <c r="AB15" i="26"/>
  <c r="P15" i="26"/>
  <c r="N15" i="26"/>
  <c r="L15" i="26"/>
  <c r="J15" i="26"/>
  <c r="H15" i="26"/>
  <c r="F15" i="26"/>
  <c r="B15" i="26" l="1"/>
  <c r="D14" i="23"/>
  <c r="CC15" i="13" l="1"/>
  <c r="BF15" i="13"/>
  <c r="BE15" i="13"/>
  <c r="BB15" i="13" s="1"/>
  <c r="BD15" i="13"/>
  <c r="BA15" i="13"/>
  <c r="AZ15" i="13"/>
  <c r="Z15" i="13"/>
  <c r="R15" i="13"/>
  <c r="H10" i="9" l="1"/>
  <c r="H31" i="9" s="1"/>
  <c r="H11" i="9"/>
  <c r="H32" i="9" s="1"/>
  <c r="H39" i="9"/>
  <c r="H35" i="9"/>
  <c r="H33" i="9"/>
  <c r="H30" i="9"/>
  <c r="H27" i="9"/>
  <c r="H26" i="9"/>
  <c r="H24" i="9"/>
  <c r="H23" i="9"/>
  <c r="H19" i="9"/>
  <c r="H40" i="9" s="1"/>
  <c r="H15" i="9"/>
  <c r="H36" i="9" s="1"/>
  <c r="H13" i="9"/>
  <c r="H34" i="9" s="1"/>
  <c r="H7" i="9"/>
  <c r="H8" i="9" s="1"/>
  <c r="H29" i="9" s="1"/>
  <c r="H4" i="9"/>
  <c r="H25" i="9" s="1"/>
  <c r="H47" i="9"/>
  <c r="H48" i="9" s="1"/>
  <c r="H49" i="9" s="1"/>
  <c r="H50" i="9" s="1"/>
  <c r="H51" i="9" s="1"/>
  <c r="C6" i="27"/>
  <c r="C5" i="27"/>
  <c r="C4" i="27"/>
  <c r="C6" i="26"/>
  <c r="C5" i="26"/>
  <c r="C4" i="26"/>
  <c r="C5" i="13"/>
  <c r="C6" i="13"/>
  <c r="C4" i="13"/>
  <c r="C7" i="27"/>
  <c r="C7" i="26"/>
  <c r="C7" i="13"/>
  <c r="H28" i="9" l="1"/>
  <c r="H16" i="9"/>
  <c r="H17" i="9" s="1"/>
  <c r="H38" i="9" s="1"/>
  <c r="H20" i="9"/>
  <c r="H37" i="9" l="1"/>
  <c r="H21" i="9"/>
  <c r="H42" i="9" s="1"/>
  <c r="H41" i="9"/>
</calcChain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<sst xmlns="http://schemas.openxmlformats.org/spreadsheetml/2006/main" count="2940" uniqueCount="2401">
  <si>
    <t>Hesabat dövrü:</t>
  </si>
  <si>
    <t>Statistik vahidin adı:</t>
  </si>
  <si>
    <t>AZN</t>
  </si>
  <si>
    <t>EUR</t>
  </si>
  <si>
    <t>CAD</t>
  </si>
  <si>
    <t>CHF</t>
  </si>
  <si>
    <t>GBP</t>
  </si>
  <si>
    <t>SEK</t>
  </si>
  <si>
    <t>SDR</t>
  </si>
  <si>
    <t>TRY</t>
  </si>
  <si>
    <t>USD</t>
  </si>
  <si>
    <t>AED</t>
  </si>
  <si>
    <t>AUD</t>
  </si>
  <si>
    <t>JPY</t>
  </si>
  <si>
    <t>RUB</t>
  </si>
  <si>
    <t>AFN</t>
  </si>
  <si>
    <t>ALL</t>
  </si>
  <si>
    <t>AMD</t>
  </si>
  <si>
    <t>ANG</t>
  </si>
  <si>
    <t>AOA</t>
  </si>
  <si>
    <t>ARS</t>
  </si>
  <si>
    <t>AWG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</si>
  <si>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</si>
  <si>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</si>
  <si>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</si>
  <si>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</si>
  <si>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</si>
  <si>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</si>
  <si>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</si>
  <si>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</si>
  <si>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</si>
  <si>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</si>
  <si>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</si>
  <si>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</si>
  <si>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</si>
  <si>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BYR</t>
  </si>
  <si>
    <t>BZD</t>
  </si>
  <si>
    <t>CDF</t>
  </si>
  <si>
    <t>CLP</t>
  </si>
  <si>
    <t>CNY</t>
  </si>
  <si>
    <t>COP</t>
  </si>
  <si>
    <t>CRC</t>
  </si>
  <si>
    <t>CSD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</si>
  <si>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</si>
  <si>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</si>
  <si>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</si>
  <si>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</si>
  <si>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</si>
  <si>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</si>
  <si>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</si>
  <si>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</si>
  <si>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</si>
  <si>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</si>
  <si>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FJD</t>
  </si>
  <si>
    <t>FKP</t>
  </si>
  <si>
    <t>GEL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</si>
  <si>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</si>
  <si>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</si>
  <si>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</si>
  <si>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</si>
  <si>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</si>
  <si>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</si>
  <si>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</si>
  <si>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</si>
  <si>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</si>
  <si>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</si>
  <si>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KYD</t>
  </si>
  <si>
    <t>KZT</t>
  </si>
  <si>
    <t>LAK</t>
  </si>
  <si>
    <t>LBP</t>
  </si>
  <si>
    <t>LKR</t>
  </si>
  <si>
    <t>LRD</t>
  </si>
  <si>
    <t>LSL</t>
  </si>
  <si>
    <t>LTL</t>
  </si>
  <si>
    <t>LVL</t>
  </si>
  <si>
    <t>LYD</t>
  </si>
  <si>
    <t>MAD</t>
  </si>
  <si>
    <t>MDL</t>
  </si>
  <si>
    <t>MKD</t>
  </si>
  <si>
    <t>MMK</t>
  </si>
  <si>
    <t>MNT</t>
  </si>
  <si>
    <t>MOP</t>
  </si>
  <si>
    <t>MRO</t>
  </si>
  <si>
    <t>MTL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</si>
  <si>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</si>
  <si>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</si>
  <si>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</si>
  <si>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</si>
  <si>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</si>
  <si>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</si>
  <si>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</si>
  <si>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</si>
  <si>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</si>
  <si>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</si>
  <si>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</si>
  <si>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</si>
  <si>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</si>
  <si>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PEN</t>
  </si>
  <si>
    <t>PGK</t>
  </si>
  <si>
    <t>PHP</t>
  </si>
  <si>
    <t>PKR</t>
  </si>
  <si>
    <t>PLN</t>
  </si>
  <si>
    <t>PYG</t>
  </si>
  <si>
    <t>QAR</t>
  </si>
  <si>
    <t>RON</t>
  </si>
  <si>
    <t>RWF</t>
  </si>
  <si>
    <t>SAR</t>
  </si>
  <si>
    <t>SBD</t>
  </si>
  <si>
    <t>SCR</t>
  </si>
  <si>
    <t>SDG</t>
  </si>
  <si>
    <t>SGD</t>
  </si>
  <si>
    <t>SHP</t>
  </si>
  <si>
    <t>SKK</t>
  </si>
  <si>
    <t>SLL</t>
  </si>
  <si>
    <t>SOS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</si>
  <si>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</si>
  <si>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</si>
  <si>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</si>
  <si>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</si>
  <si>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</si>
  <si>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</si>
  <si>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</si>
  <si>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</si>
  <si>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</si>
  <si>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</si>
  <si>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</si>
  <si>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</si>
  <si>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</si>
  <si>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</si>
  <si>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</si>
  <si>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</si>
  <si>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</si>
  <si>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</si>
  <si>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</si>
  <si>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</si>
  <si>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XAF</t>
  </si>
  <si>
    <t>XCD</t>
  </si>
  <si>
    <t>XOF</t>
  </si>
  <si>
    <t>XPF</t>
  </si>
  <si>
    <t>YER</t>
  </si>
  <si>
    <t>ZAR</t>
  </si>
  <si>
    <t>ZMK</t>
  </si>
  <si>
    <t>Hesabat statistik vahid tərəfindən hesabat dövründən</t>
  </si>
  <si>
    <t>(min valyuta vahidi ilə)</t>
  </si>
  <si>
    <t>1-2 il ərzində ödənilməli</t>
  </si>
  <si>
    <t>2 ildən sonra ödənilməli</t>
  </si>
  <si>
    <t>Digər dəyişikliklər</t>
  </si>
  <si>
    <t>S/N</t>
  </si>
  <si>
    <t>Azalma</t>
  </si>
  <si>
    <t>Hesabat tarixindən 1 il ərzində ödənilməli</t>
  </si>
  <si>
    <t>3 ay</t>
  </si>
  <si>
    <t>4-6 ay</t>
  </si>
  <si>
    <t>7-9 ay</t>
  </si>
  <si>
    <t>10-12 ay</t>
  </si>
  <si>
    <t>13-18 ay</t>
  </si>
  <si>
    <t>19-24 ay</t>
  </si>
  <si>
    <t>24 aydan artıq</t>
  </si>
  <si>
    <t>YUNESKO</t>
  </si>
  <si>
    <t>Verilmə tarixi</t>
  </si>
  <si>
    <t>Bitmə tarixi</t>
  </si>
  <si>
    <t>Restrukturizasiyanın növü</t>
  </si>
  <si>
    <t>Müddət (aylarla)</t>
  </si>
  <si>
    <t>Restrukturizasiya növü</t>
  </si>
  <si>
    <t>Qeyri-rezidentin ölkəsi</t>
  </si>
  <si>
    <t>Artma</t>
  </si>
  <si>
    <t>Əməliyyatlar</t>
  </si>
  <si>
    <t>Digər dəyişmələr</t>
  </si>
  <si>
    <t>Dövrün əvvəlinə qalıq</t>
  </si>
  <si>
    <t>Dövrün sonuna qalıq</t>
  </si>
  <si>
    <t>VÖEN:</t>
  </si>
  <si>
    <t>(Rüb)</t>
  </si>
  <si>
    <t>(İl)</t>
  </si>
  <si>
    <t>İnvestisiya bölməsinin adı</t>
  </si>
  <si>
    <t>İnvestisiya növünün kodu</t>
  </si>
  <si>
    <t>Faiz növü</t>
  </si>
  <si>
    <t>A</t>
  </si>
  <si>
    <t>P</t>
  </si>
  <si>
    <t>Dövlətin payı:</t>
  </si>
  <si>
    <t>İnvestisiya bölməsinin kodu</t>
  </si>
  <si>
    <t>Qeyri-rezidentin ölkə kodu</t>
  </si>
  <si>
    <t>Kodu</t>
  </si>
  <si>
    <t>Digər dəyişmələrin növü</t>
  </si>
  <si>
    <t>Restrukturizasiya növünün kodu</t>
  </si>
  <si>
    <t>Digər dəyişikliklər kodu</t>
  </si>
  <si>
    <t>ADP</t>
  </si>
  <si>
    <t>BRD</t>
  </si>
  <si>
    <t>KID</t>
  </si>
  <si>
    <t>ATS</t>
  </si>
  <si>
    <t>BEF</t>
  </si>
  <si>
    <t>KHR</t>
  </si>
  <si>
    <t>KMF</t>
  </si>
  <si>
    <t>SVC</t>
  </si>
  <si>
    <t>EEK</t>
  </si>
  <si>
    <t>FIM</t>
  </si>
  <si>
    <t>FRF</t>
  </si>
  <si>
    <t>DEM</t>
  </si>
  <si>
    <t>GHC</t>
  </si>
  <si>
    <t>GRD</t>
  </si>
  <si>
    <t>ISK</t>
  </si>
  <si>
    <t>INR</t>
  </si>
  <si>
    <t>IDR</t>
  </si>
  <si>
    <t>IRR</t>
  </si>
  <si>
    <t>IQD</t>
  </si>
  <si>
    <t>IEP</t>
  </si>
  <si>
    <t>ILS</t>
  </si>
  <si>
    <t>ITL</t>
  </si>
  <si>
    <t>JMD</t>
  </si>
  <si>
    <t>JOD</t>
  </si>
  <si>
    <t>KES</t>
  </si>
  <si>
    <t>KPW</t>
  </si>
  <si>
    <t>KRW</t>
  </si>
  <si>
    <t>KWD</t>
  </si>
  <si>
    <t>KGS</t>
  </si>
  <si>
    <t>LUF</t>
  </si>
  <si>
    <t>MGF</t>
  </si>
  <si>
    <t>NLG</t>
  </si>
  <si>
    <t>PAB</t>
  </si>
  <si>
    <t>PTE</t>
  </si>
  <si>
    <t>GWP</t>
  </si>
  <si>
    <t>ROL</t>
  </si>
  <si>
    <t>SIT</t>
  </si>
  <si>
    <t>ZWD</t>
  </si>
  <si>
    <t>ESP</t>
  </si>
  <si>
    <t>SDD</t>
  </si>
  <si>
    <t>SRG</t>
  </si>
  <si>
    <t>TMM</t>
  </si>
  <si>
    <t>RUR</t>
  </si>
  <si>
    <t>VEB</t>
  </si>
  <si>
    <t>BYN</t>
  </si>
  <si>
    <t>RSD</t>
  </si>
  <si>
    <t>XAU</t>
  </si>
  <si>
    <t>XAG</t>
  </si>
  <si>
    <t>XPD</t>
  </si>
  <si>
    <t>MXV</t>
  </si>
  <si>
    <t>USN</t>
  </si>
  <si>
    <t>USS</t>
  </si>
  <si>
    <t>VALUE</t>
  </si>
  <si>
    <t>Lek</t>
  </si>
  <si>
    <t>SDR (BVF-nun xüsusi borcalma hüquqları)</t>
  </si>
  <si>
    <t>Algerian Dinar</t>
  </si>
  <si>
    <t>Argentine Peso</t>
  </si>
  <si>
    <t>Australian Dollar</t>
  </si>
  <si>
    <t>Kiribati dolları</t>
  </si>
  <si>
    <t>Bahamian Dollar</t>
  </si>
  <si>
    <t>Bahraini Dinar</t>
  </si>
  <si>
    <t>Taka</t>
  </si>
  <si>
    <t>Armenian Dram</t>
  </si>
  <si>
    <t>Barbados Dollar</t>
  </si>
  <si>
    <t>Bermudian Dollar</t>
  </si>
  <si>
    <t>Ngultrum</t>
  </si>
  <si>
    <t>Boliviano</t>
  </si>
  <si>
    <t>Pula</t>
  </si>
  <si>
    <t>Belize Dollar</t>
  </si>
  <si>
    <t>Solomon Islands Dollar</t>
  </si>
  <si>
    <t>Brunei Dollar</t>
  </si>
  <si>
    <t>Kyat</t>
  </si>
  <si>
    <t>Burundi Franc</t>
  </si>
  <si>
    <t>Riel</t>
  </si>
  <si>
    <t>Kanada dolları</t>
  </si>
  <si>
    <t>Cape Verde Escudo</t>
  </si>
  <si>
    <t>Cayman Islands Dollar</t>
  </si>
  <si>
    <t>Sri Lanka Rupee</t>
  </si>
  <si>
    <t>Chilean Peso</t>
  </si>
  <si>
    <t>Çin yuanı</t>
  </si>
  <si>
    <t>Colombian Peso</t>
  </si>
  <si>
    <t>Comoro Franc</t>
  </si>
  <si>
    <t>Costa Rican Colon</t>
  </si>
  <si>
    <t>Croatian Kuna</t>
  </si>
  <si>
    <t>Cuban Peso</t>
  </si>
  <si>
    <t>Çexiya kronu</t>
  </si>
  <si>
    <t>Danimarka kronu</t>
  </si>
  <si>
    <t>Dominican Peso</t>
  </si>
  <si>
    <t>El Salvador Colon</t>
  </si>
  <si>
    <t>Ethiopian Birr</t>
  </si>
  <si>
    <t>Nakfa</t>
  </si>
  <si>
    <t>Falkland Islands Pound</t>
  </si>
  <si>
    <t>Fiji Dollar</t>
  </si>
  <si>
    <t>Djibouti Franc</t>
  </si>
  <si>
    <t>Dalasi</t>
  </si>
  <si>
    <t>Gibraltar Pound</t>
  </si>
  <si>
    <t>Quetzal</t>
  </si>
  <si>
    <t>Guinea Franc</t>
  </si>
  <si>
    <t>Guyana Dollar</t>
  </si>
  <si>
    <t>Gourde</t>
  </si>
  <si>
    <t>Lempira</t>
  </si>
  <si>
    <t>Honq Konq dolları</t>
  </si>
  <si>
    <t>Forint</t>
  </si>
  <si>
    <t>Iceland Krona</t>
  </si>
  <si>
    <t>Hindistan rupisi</t>
  </si>
  <si>
    <t>İndoneziya rupiası</t>
  </si>
  <si>
    <t>İran rialı</t>
  </si>
  <si>
    <t>Iraqi Dinar</t>
  </si>
  <si>
    <t>İsrail şekeli</t>
  </si>
  <si>
    <t>Jamaican Dollar</t>
  </si>
  <si>
    <t>Yapon yeni</t>
  </si>
  <si>
    <t>Qazaxıstan tengəsi</t>
  </si>
  <si>
    <t>Jordanian Dinar</t>
  </si>
  <si>
    <t>Kenyan Shilling</t>
  </si>
  <si>
    <t>North Korean Won</t>
  </si>
  <si>
    <t>Cənubi Korea vonu</t>
  </si>
  <si>
    <t>Küveyt dinarı</t>
  </si>
  <si>
    <t>Qırğız somu</t>
  </si>
  <si>
    <t>Kip</t>
  </si>
  <si>
    <t>Livan funtu</t>
  </si>
  <si>
    <t>Loti</t>
  </si>
  <si>
    <t>Latviya latı</t>
  </si>
  <si>
    <t>Liberian Dollar</t>
  </si>
  <si>
    <t>Libyan Dinar</t>
  </si>
  <si>
    <t>Litva liti</t>
  </si>
  <si>
    <t>Pataca</t>
  </si>
  <si>
    <t>Kwacha</t>
  </si>
  <si>
    <t>Malaysian Ringgit</t>
  </si>
  <si>
    <t>Rufiyaa</t>
  </si>
  <si>
    <t xml:space="preserve">Malta lirəsi </t>
  </si>
  <si>
    <t>Ouguiya</t>
  </si>
  <si>
    <t>Mauritius Rupee</t>
  </si>
  <si>
    <t>Meksika pesosu</t>
  </si>
  <si>
    <t>Tugrik</t>
  </si>
  <si>
    <t>Moldova leyi</t>
  </si>
  <si>
    <t>Moroccan Dirham</t>
  </si>
  <si>
    <t>Mozambik metikali</t>
  </si>
  <si>
    <t>Rial Omani</t>
  </si>
  <si>
    <t>Namibia Dollar</t>
  </si>
  <si>
    <t>Nepalese Rupee</t>
  </si>
  <si>
    <t>Netherlands Antillean Guilder</t>
  </si>
  <si>
    <t>Aruban Florin</t>
  </si>
  <si>
    <t>Vatu</t>
  </si>
  <si>
    <t>Yeni Zelandiya dolları</t>
  </si>
  <si>
    <t>Cordoba Oro</t>
  </si>
  <si>
    <t>Naira</t>
  </si>
  <si>
    <t>Norveç kronu</t>
  </si>
  <si>
    <t>Pakistan Rupee</t>
  </si>
  <si>
    <t>Balboa</t>
  </si>
  <si>
    <t>Kina</t>
  </si>
  <si>
    <t>Guarani</t>
  </si>
  <si>
    <t>Nuevo Sol</t>
  </si>
  <si>
    <t>Philippine Peso</t>
  </si>
  <si>
    <t>Qatari Rial</t>
  </si>
  <si>
    <t>Russian Ruble</t>
  </si>
  <si>
    <t>Rwanda Franc</t>
  </si>
  <si>
    <t>Saint Helena Pound</t>
  </si>
  <si>
    <t>Dobra</t>
  </si>
  <si>
    <t>Səudiyyə Ərəbistanı rialı</t>
  </si>
  <si>
    <t>Seychelles Rupee</t>
  </si>
  <si>
    <t>Leone</t>
  </si>
  <si>
    <t>Sinqapur dolları</t>
  </si>
  <si>
    <t>Dong</t>
  </si>
  <si>
    <t>Somali Shilling</t>
  </si>
  <si>
    <t>Cənubi Afrika randı</t>
  </si>
  <si>
    <t>South Sudanese Pound</t>
  </si>
  <si>
    <t>Lilangeni</t>
  </si>
  <si>
    <t>İsveç kronu</t>
  </si>
  <si>
    <t>İsveçrə frankı</t>
  </si>
  <si>
    <t>Syrian Pound</t>
  </si>
  <si>
    <t>Baht</t>
  </si>
  <si>
    <t>Pa’anga</t>
  </si>
  <si>
    <t>Trinidad and Tobago Dollar</t>
  </si>
  <si>
    <t>BƏƏ Dirhəmi</t>
  </si>
  <si>
    <t>Tunisian Dinar</t>
  </si>
  <si>
    <t>Uganda Shilling</t>
  </si>
  <si>
    <t>Denar</t>
  </si>
  <si>
    <t>Rusiya rubulu</t>
  </si>
  <si>
    <t>Misir funtu</t>
  </si>
  <si>
    <t>İngilis funt sterlinqi</t>
  </si>
  <si>
    <t>Tanzanian Shilling</t>
  </si>
  <si>
    <t>Amerika dolları</t>
  </si>
  <si>
    <t>Peso Uruguayo</t>
  </si>
  <si>
    <t>Özbək somu</t>
  </si>
  <si>
    <t>Tala</t>
  </si>
  <si>
    <t>Yemeni Rial</t>
  </si>
  <si>
    <t>Zambian Kwacha</t>
  </si>
  <si>
    <t>New Taiwan Dollar</t>
  </si>
  <si>
    <t>Belarus rublu</t>
  </si>
  <si>
    <t>Türkmən manatı</t>
  </si>
  <si>
    <t>Bolivar Fuerte</t>
  </si>
  <si>
    <t>Sudanese Pound</t>
  </si>
  <si>
    <t>Serbiya dinarı</t>
  </si>
  <si>
    <t>Milli valyuta</t>
  </si>
  <si>
    <t>Rumıniya levi</t>
  </si>
  <si>
    <t>Turkish Lira</t>
  </si>
  <si>
    <t>CFA Franc BEAC</t>
  </si>
  <si>
    <t>East Caribbean Dollar</t>
  </si>
  <si>
    <t>CFA Franc BCEAO</t>
  </si>
  <si>
    <t>CFP Franc</t>
  </si>
  <si>
    <t>Qızıl</t>
  </si>
  <si>
    <t>Gümüş</t>
  </si>
  <si>
    <t>Palladium</t>
  </si>
  <si>
    <t>Əfqanıstan əfqanisi</t>
  </si>
  <si>
    <t>Somoni</t>
  </si>
  <si>
    <t>Anqola kvanzası</t>
  </si>
  <si>
    <t xml:space="preserve">Bolqarıstan lev </t>
  </si>
  <si>
    <t>Congolese Franc</t>
  </si>
  <si>
    <t>Convertible Mark</t>
  </si>
  <si>
    <t>Avro</t>
  </si>
  <si>
    <t>Mexican Unidad de Inversion (UDI)</t>
  </si>
  <si>
    <t>Hryvnia</t>
  </si>
  <si>
    <t>Gürcü larisi</t>
  </si>
  <si>
    <t>Polşa zlotası</t>
  </si>
  <si>
    <t>Braziliya rialı</t>
  </si>
  <si>
    <t>US Dollar (Next day)</t>
  </si>
  <si>
    <t>US Dollar (Same day)</t>
  </si>
  <si>
    <t>İl</t>
  </si>
  <si>
    <t>Rüb</t>
  </si>
  <si>
    <t>Faiz növünün kodu</t>
  </si>
  <si>
    <t>Qısa balans maddəsi</t>
  </si>
  <si>
    <t>Lisenziya nömrəsi:</t>
  </si>
  <si>
    <t>Fəaliyyət sektoru:</t>
  </si>
  <si>
    <t>İnvestorun payı, 
%-lə</t>
  </si>
  <si>
    <t xml:space="preserve">hesabat dövrünün əvvəlinə 
</t>
  </si>
  <si>
    <t>borcun konversiyası</t>
  </si>
  <si>
    <t>sabit</t>
  </si>
  <si>
    <t>dəyişkən</t>
  </si>
  <si>
    <t>faizsiz</t>
  </si>
  <si>
    <t>STATİSTİKA DEPARTAMENTİ</t>
  </si>
  <si>
    <t>Rüblük</t>
  </si>
  <si>
    <t xml:space="preserve">hesabat dövrünün sonuna 
</t>
  </si>
  <si>
    <t xml:space="preserve">AZƏRBAYCAN RESPUBLİKASININ MƏRKƏZİ BANKI </t>
  </si>
  <si>
    <r>
      <t xml:space="preserve">Adı 
</t>
    </r>
    <r>
      <rPr>
        <i/>
        <sz val="12"/>
        <color indexed="8"/>
        <rFont val="Arial"/>
        <family val="2"/>
      </rPr>
      <t>(xana üzrə siyahıdan seçilməklə)</t>
    </r>
  </si>
  <si>
    <r>
      <t xml:space="preserve">Adı
</t>
    </r>
    <r>
      <rPr>
        <i/>
        <sz val="12"/>
        <color indexed="8"/>
        <rFont val="Arial"/>
        <family val="2"/>
      </rPr>
      <t>(xana üzrə siyahıdan seçilməklə)</t>
    </r>
  </si>
  <si>
    <t>Qeyri-rezidentlə investisiya əlaqə növü</t>
  </si>
  <si>
    <t>Qeyri-rezidentlə investisiya əlaqə növünün kodu</t>
  </si>
  <si>
    <t>kredit xətti</t>
  </si>
  <si>
    <t>akkreditivlər</t>
  </si>
  <si>
    <t>verilmiş qarantiyalar</t>
  </si>
  <si>
    <r>
      <t xml:space="preserve">Adı
</t>
    </r>
    <r>
      <rPr>
        <i/>
        <sz val="12"/>
        <rFont val="Arial"/>
        <family val="2"/>
      </rPr>
      <t>(xana üzrə siyahıdan seçilməklə)</t>
    </r>
  </si>
  <si>
    <t>Şərti öhdəliklərin növü</t>
  </si>
  <si>
    <t>(+)</t>
  </si>
  <si>
    <t>(-)</t>
  </si>
  <si>
    <t xml:space="preserve">Artma </t>
  </si>
  <si>
    <t>Qeyri-rezidentin fəaliyyət sektoru</t>
  </si>
  <si>
    <t>İnvestisiya maddələri</t>
  </si>
  <si>
    <t>Hesabat dövrü ərzində əməliyyatlar</t>
  </si>
  <si>
    <t>Əsas məbləğ</t>
  </si>
  <si>
    <t>19-24ay</t>
  </si>
  <si>
    <t>24aydan artıq</t>
  </si>
  <si>
    <t>(hər bir şərti öhdəlik ayrı-ayrılıqda)</t>
  </si>
  <si>
    <t xml:space="preserve">ondan,
vaxtı keçmiş əsas məbləğ </t>
  </si>
  <si>
    <t>ondan,
vaxtı keçmiş əsas məbləğ 
(artma+/azalma-)</t>
  </si>
  <si>
    <r>
      <t xml:space="preserve">Adı 
</t>
    </r>
    <r>
      <rPr>
        <sz val="12"/>
        <color indexed="8"/>
        <rFont val="Arial"/>
        <family val="2"/>
      </rPr>
      <t>(xana üzrə siyahıdan seçilməklə)</t>
    </r>
  </si>
  <si>
    <t>Əlavə № 1</t>
  </si>
  <si>
    <t>Əlavə № 2</t>
  </si>
  <si>
    <t>Kreditə konvertasiya əmsalı</t>
  </si>
  <si>
    <t>Əlavə № 3</t>
  </si>
  <si>
    <t>(hər bir aktiv ayrı-ayrılıqda)</t>
  </si>
  <si>
    <t>(hər bir öhdəlik ayrı-ayrılıqda)</t>
  </si>
  <si>
    <t xml:space="preserve"> İnvestisiyaların Eyniləşdirmə Nömrəsi (İEN)</t>
  </si>
  <si>
    <t>Şərti Öhdəliklərin Eyniləşdirmə Nömrəsi (ŞEN)</t>
  </si>
  <si>
    <t xml:space="preserve">Şərti Öhdəlik Nömrəsi </t>
  </si>
  <si>
    <t xml:space="preserve">İnvestisiya Nömrəsi </t>
  </si>
  <si>
    <t>Cəmi (29+31)</t>
  </si>
  <si>
    <t>Cəmi (49+51)</t>
  </si>
  <si>
    <t>Birbaşa investor</t>
  </si>
  <si>
    <t>Digər</t>
  </si>
  <si>
    <t>Bank</t>
  </si>
  <si>
    <t>Birbaşa</t>
  </si>
  <si>
    <t>Portfel</t>
  </si>
  <si>
    <t xml:space="preserve">Qeyri-rezident ilə birbaşa investisiya əlaqə növü </t>
  </si>
  <si>
    <t>Heç bir</t>
  </si>
  <si>
    <t>Bank olmayan kredit təşkilatı</t>
  </si>
  <si>
    <t>Sığorta təşkilatı</t>
  </si>
  <si>
    <t>Digər maliyyə müəssisəsi</t>
  </si>
  <si>
    <t>Qeyri-maliyyə müəssisəsi</t>
  </si>
  <si>
    <t>Ev təsərrüfatı</t>
  </si>
  <si>
    <t>Faizlər/dividentlər/ reinvestisiya gəlirləri  
(artma+/azalma-)</t>
  </si>
  <si>
    <t>ondan,
vaxtı keçmiş faizlər</t>
  </si>
  <si>
    <r>
      <t xml:space="preserve">Adı
</t>
    </r>
    <r>
      <rPr>
        <sz val="12"/>
        <color indexed="8"/>
        <rFont val="Arial"/>
        <family val="2"/>
      </rPr>
      <t>(xana üzrə siyahıdan seçilməklə)</t>
    </r>
  </si>
  <si>
    <t>Törəmə maliyyə alətləri</t>
  </si>
  <si>
    <t>A3. Qeyri-rezidentlər üzrə şərti öhdəliklərin statistik hesabatı</t>
  </si>
  <si>
    <t>Qeyri-rezidentin Eyniləşdirmə Nömrəsi (QEN)</t>
  </si>
  <si>
    <t>Valyuta növü</t>
  </si>
  <si>
    <r>
      <t xml:space="preserve">Qeyri-rezident ilə 
</t>
    </r>
    <r>
      <rPr>
        <sz val="12"/>
        <color indexed="8"/>
        <rFont val="Arial"/>
        <family val="2"/>
      </rPr>
      <t xml:space="preserve">birbaşa investisiya əlaqə növü 
</t>
    </r>
    <r>
      <rPr>
        <i/>
        <sz val="12"/>
        <color indexed="8"/>
        <rFont val="Arial"/>
        <family val="2"/>
      </rPr>
      <t xml:space="preserve">(qarantiyada benefisiar ilə) </t>
    </r>
  </si>
  <si>
    <r>
      <t xml:space="preserve">Qeyri-rezidentin </t>
    </r>
    <r>
      <rPr>
        <sz val="12"/>
        <color indexed="8"/>
        <rFont val="Arial"/>
        <family val="2"/>
      </rPr>
      <t xml:space="preserve">fəaliyyət sektoru </t>
    </r>
    <r>
      <rPr>
        <i/>
        <sz val="12"/>
        <color indexed="8"/>
        <rFont val="Arial"/>
        <family val="2"/>
      </rPr>
      <t>(qarantiyada benefisiarın)</t>
    </r>
  </si>
  <si>
    <r>
      <t xml:space="preserve">Qeyri-rezidentin </t>
    </r>
    <r>
      <rPr>
        <sz val="12"/>
        <color indexed="8"/>
        <rFont val="Arial"/>
        <family val="2"/>
      </rPr>
      <t xml:space="preserve">ölkəsi 
</t>
    </r>
    <r>
      <rPr>
        <i/>
        <sz val="12"/>
        <color indexed="8"/>
        <rFont val="Arial"/>
        <family val="2"/>
      </rPr>
      <t>(qarantiyada benefisiarın)</t>
    </r>
  </si>
  <si>
    <r>
      <t xml:space="preserve">Debitorun 
rezidentlik mənsubiyyəti </t>
    </r>
    <r>
      <rPr>
        <i/>
        <sz val="12"/>
        <rFont val="Arial"/>
        <family val="2"/>
      </rPr>
      <t>(qarantiyada prinsipialın)</t>
    </r>
  </si>
  <si>
    <t>Faiz dərəcəsi</t>
  </si>
  <si>
    <t>28a</t>
  </si>
  <si>
    <t>33a</t>
  </si>
  <si>
    <t>37a</t>
  </si>
  <si>
    <t>41a</t>
  </si>
  <si>
    <t>42a</t>
  </si>
  <si>
    <t>48a</t>
  </si>
  <si>
    <t>Qiymətli kağızların sayı</t>
  </si>
  <si>
    <t>Səhmlərin alışı</t>
  </si>
  <si>
    <t>Səhmlərin satışı</t>
  </si>
  <si>
    <t>Faizlər/ dividendlər</t>
  </si>
  <si>
    <t>İnvestisiya bölməsi</t>
  </si>
  <si>
    <t>İnvestisiya maddəsi</t>
  </si>
  <si>
    <t xml:space="preserve">ondan,
vaxtı keçmiş faizlər </t>
  </si>
  <si>
    <t>ondan, 
vaxtı keçmiş faizlər 
(artma+/azalma-)</t>
  </si>
  <si>
    <t xml:space="preserve">ondan,
vaxtı keçmiş faizlər  </t>
  </si>
  <si>
    <t xml:space="preserve">Faiz </t>
  </si>
  <si>
    <t>Cəmi səhmlərin bazar dəyəri</t>
  </si>
  <si>
    <t xml:space="preserve">
1 ədədinin  nominal qiyməti</t>
  </si>
  <si>
    <t>Qiymətli kağızlar</t>
  </si>
  <si>
    <t>sayı</t>
  </si>
  <si>
    <t xml:space="preserve">
1 ədədinin bazar qiyməti</t>
  </si>
  <si>
    <r>
      <t xml:space="preserve">Əsas məbləğ/
 </t>
    </r>
    <r>
      <rPr>
        <sz val="12"/>
        <color indexed="8"/>
        <rFont val="Arial"/>
        <family val="2"/>
      </rPr>
      <t>kapital investisiyası</t>
    </r>
  </si>
  <si>
    <r>
      <t xml:space="preserve">Əsas məbləğ/
 </t>
    </r>
    <r>
      <rPr>
        <sz val="12"/>
        <color indexed="8"/>
        <rFont val="Arial"/>
        <family val="2"/>
      </rPr>
      <t xml:space="preserve"> kapital investisiyası</t>
    </r>
  </si>
  <si>
    <t>Əsas məbləğ/
 kapital investisiyası</t>
  </si>
  <si>
    <t>maliyyə lizinqi (aktiv üzrə)</t>
  </si>
  <si>
    <t>nağd xarici valyuta (aktiv üzrə)</t>
  </si>
  <si>
    <t>kredit (aktiv üzrə)</t>
  </si>
  <si>
    <t>veksellərə investisiya (aktiv üzrə)</t>
  </si>
  <si>
    <t>istiqrazlara investisiya (aktiv üzrə)</t>
  </si>
  <si>
    <t>digər törəmə maliyyə alətlərinə investisiya (aktiv üzrə)</t>
  </si>
  <si>
    <t>forvard tipli müqavilələrə investisiya (aktiv üzrə)</t>
  </si>
  <si>
    <t>opsionlara investisiya (aktiv üzrə)</t>
  </si>
  <si>
    <t>müddətli depozit (aktiv üzrə)</t>
  </si>
  <si>
    <t>mallar üzrə ticari borc (aktiv üzrə)</t>
  </si>
  <si>
    <t>xidmətlər üzrə ticari borc (aktiv üzrə)</t>
  </si>
  <si>
    <t>mallar üzrə avans (aktiv üzrə)</t>
  </si>
  <si>
    <t>xidmətlər üzrə avans (aktiv üzrə)</t>
  </si>
  <si>
    <t>vergi borcu (aktiv üzrə)</t>
  </si>
  <si>
    <t>dividend borcu (aktiv üzrə)</t>
  </si>
  <si>
    <t>digər borc (aktiv üzrə)</t>
  </si>
  <si>
    <t>opsionlara investisiya (öhdəlik üzrə)</t>
  </si>
  <si>
    <t>forvard tipli müqavilələrə investisiya (öhdəlik üzrə)</t>
  </si>
  <si>
    <t>digər törəmə maliyyə alətlərinə investisiya (öhdəlik üzrə)</t>
  </si>
  <si>
    <t>istiqrazlara investisiya (öhdəlik üzrə)</t>
  </si>
  <si>
    <t>veksellərə investisiya (öhdəlik üzrə)</t>
  </si>
  <si>
    <t>digər borc qiymətli kağızlarına investisiya (öhdəlik üzrə)</t>
  </si>
  <si>
    <t>kredit (öhdəlik üzrə)</t>
  </si>
  <si>
    <t>maliyyə lizinqi (öhdəlik üzrə)</t>
  </si>
  <si>
    <t>müddətli depozit (öhdəlik üzrə)</t>
  </si>
  <si>
    <t>mallar üzrə ticari borc (öhdəlik üzrə)</t>
  </si>
  <si>
    <t>xidmətlər üzrə ticari borc (öhdəlik üzrə)</t>
  </si>
  <si>
    <t>mallar üzrə avans (öhdəlik üzrə)</t>
  </si>
  <si>
    <t>xidmətlər üzrə avans (öhdəlik üzrə)</t>
  </si>
  <si>
    <t>vergi borcu (öhdəlik üzrə)</t>
  </si>
  <si>
    <t>dividend borcu (öhdəlik üzrə)</t>
  </si>
  <si>
    <t xml:space="preserve">sığorta və pensiya proqramları üzrə borc (öhdəlik üzrə) </t>
  </si>
  <si>
    <t>digər borc (öhdəlik üzrə)</t>
  </si>
  <si>
    <t>digər borc qiymətli kağızlarına investisiya (aktiv üzrə)</t>
  </si>
  <si>
    <t>Dövlət idarəetmə orqanı</t>
  </si>
  <si>
    <t>Valyuta</t>
  </si>
  <si>
    <t>Valyuta adı</t>
  </si>
  <si>
    <t>borcun bağışlanması və ya ləğvi</t>
  </si>
  <si>
    <t>Mərkəzi bank</t>
  </si>
  <si>
    <t>cəmi kapital investisiyası (aktiv üzrə)</t>
  </si>
  <si>
    <t>cəmi kapital investisiyası (öhdəlik üzrə)</t>
  </si>
  <si>
    <t>Dövlət Zəmanətinə dair qeyd</t>
  </si>
  <si>
    <t>Digər qeydlər</t>
  </si>
  <si>
    <t>Dövlət Zəmanətli</t>
  </si>
  <si>
    <t>Qeyri-rezidentin fəaliyyət sektoru (institutsional)</t>
  </si>
  <si>
    <t>Qeyri-rezidentin fəaliyyət sektorunun kodu</t>
  </si>
  <si>
    <t>Yenidən qiymətləndirmə 
(artma+/azalma-)</t>
  </si>
  <si>
    <t>Faizlər/
dividentlər/ reinvestisiya gəlirləri  
(artma+/azalma-)</t>
  </si>
  <si>
    <t xml:space="preserve"> sonrakı ayın 15 iş günü ərzində Mərkəzi Banka təqdim olunur</t>
  </si>
  <si>
    <r>
      <rPr>
        <sz val="12"/>
        <color indexed="8"/>
        <rFont val="Arial"/>
        <family val="2"/>
      </rPr>
      <t xml:space="preserve">Statistik vahidin kapitalında qeyri-rezidentin payı, %-lə, 
</t>
    </r>
    <r>
      <rPr>
        <i/>
        <sz val="12"/>
        <color indexed="8"/>
        <rFont val="Arial"/>
        <family val="2"/>
      </rPr>
      <t>(qarantiyada benefisiarın)</t>
    </r>
  </si>
  <si>
    <r>
      <t xml:space="preserve">Əsas məbləğ/
 </t>
    </r>
    <r>
      <rPr>
        <sz val="12"/>
        <color indexed="8"/>
        <rFont val="Arial"/>
        <family val="2"/>
      </rPr>
      <t>kapital investisiyası (artma+/azalma-)</t>
    </r>
  </si>
  <si>
    <t>Səhmlər üzrə
(artma+/azalma-)</t>
  </si>
  <si>
    <t>əks-repo əməliyyatı (aktiv üzrə)</t>
  </si>
  <si>
    <t xml:space="preserve">repo əməliyyatı (öhdəlik üzrə) </t>
  </si>
  <si>
    <t>№</t>
  </si>
  <si>
    <t>Kupon dərəcəsi</t>
  </si>
  <si>
    <t xml:space="preserve">Kupon ödənişlərinin dövriliyi </t>
  </si>
  <si>
    <t xml:space="preserve">Kupon ödənişlərinin müddətləri (dövriliyi) </t>
  </si>
  <si>
    <t xml:space="preserve">Kupon dərəcəsi
</t>
  </si>
  <si>
    <t>illik</t>
  </si>
  <si>
    <t>yarımillik</t>
  </si>
  <si>
    <t>rüblük</t>
  </si>
  <si>
    <t>sıfır</t>
  </si>
  <si>
    <t>ildə üç dəfə</t>
  </si>
  <si>
    <t>ildə altı dəfə</t>
  </si>
  <si>
    <t>aylıq</t>
  </si>
  <si>
    <t>Dərhal ödənilməli</t>
  </si>
  <si>
    <t>F/S kodu</t>
  </si>
  <si>
    <t>01111</t>
  </si>
  <si>
    <t>01112</t>
  </si>
  <si>
    <t>01113</t>
  </si>
  <si>
    <t>01120</t>
  </si>
  <si>
    <t>01131</t>
  </si>
  <si>
    <t>01132</t>
  </si>
  <si>
    <t>01133</t>
  </si>
  <si>
    <t>01134</t>
  </si>
  <si>
    <t>01140</t>
  </si>
  <si>
    <t>01150</t>
  </si>
  <si>
    <t>01161</t>
  </si>
  <si>
    <t>01162</t>
  </si>
  <si>
    <t>01191</t>
  </si>
  <si>
    <t>01192</t>
  </si>
  <si>
    <t>01193</t>
  </si>
  <si>
    <t>01199</t>
  </si>
  <si>
    <t>01210</t>
  </si>
  <si>
    <t>01220</t>
  </si>
  <si>
    <t>01230</t>
  </si>
  <si>
    <t>01241</t>
  </si>
  <si>
    <t>01242</t>
  </si>
  <si>
    <t>01250</t>
  </si>
  <si>
    <t>01260</t>
  </si>
  <si>
    <t>01271</t>
  </si>
  <si>
    <t>01272</t>
  </si>
  <si>
    <t>01280</t>
  </si>
  <si>
    <t>01290</t>
  </si>
  <si>
    <t>01300</t>
  </si>
  <si>
    <t>01410</t>
  </si>
  <si>
    <t>01420</t>
  </si>
  <si>
    <t>01430</t>
  </si>
  <si>
    <t>01440</t>
  </si>
  <si>
    <t>01450</t>
  </si>
  <si>
    <t>01460</t>
  </si>
  <si>
    <t>01471</t>
  </si>
  <si>
    <t>01472</t>
  </si>
  <si>
    <t>01491</t>
  </si>
  <si>
    <t>01492</t>
  </si>
  <si>
    <t>01493</t>
  </si>
  <si>
    <t>01499</t>
  </si>
  <si>
    <t>01500</t>
  </si>
  <si>
    <t>01611</t>
  </si>
  <si>
    <t>01612</t>
  </si>
  <si>
    <t>01613</t>
  </si>
  <si>
    <t>01620</t>
  </si>
  <si>
    <t>01630</t>
  </si>
  <si>
    <t>01640</t>
  </si>
  <si>
    <t>01700</t>
  </si>
  <si>
    <t>02100</t>
  </si>
  <si>
    <t>02200</t>
  </si>
  <si>
    <t>02301</t>
  </si>
  <si>
    <t>02302</t>
  </si>
  <si>
    <t>02309</t>
  </si>
  <si>
    <t>02400</t>
  </si>
  <si>
    <t>03110</t>
  </si>
  <si>
    <t>03120</t>
  </si>
  <si>
    <t>03210</t>
  </si>
  <si>
    <t>03220</t>
  </si>
  <si>
    <t>05100</t>
  </si>
  <si>
    <t>05200</t>
  </si>
  <si>
    <t>06100</t>
  </si>
  <si>
    <t>06200</t>
  </si>
  <si>
    <t>07100</t>
  </si>
  <si>
    <t>07210</t>
  </si>
  <si>
    <t>07291</t>
  </si>
  <si>
    <t>07299</t>
  </si>
  <si>
    <t>08111</t>
  </si>
  <si>
    <t>08112</t>
  </si>
  <si>
    <t>08113</t>
  </si>
  <si>
    <t>08114</t>
  </si>
  <si>
    <t>08121</t>
  </si>
  <si>
    <t>08122</t>
  </si>
  <si>
    <t>08910</t>
  </si>
  <si>
    <t>08920</t>
  </si>
  <si>
    <t>08930</t>
  </si>
  <si>
    <t>08991</t>
  </si>
  <si>
    <t>08992</t>
  </si>
  <si>
    <t>09101</t>
  </si>
  <si>
    <t>09102</t>
  </si>
  <si>
    <t>09900</t>
  </si>
  <si>
    <t>10110</t>
  </si>
  <si>
    <t>10120</t>
  </si>
  <si>
    <t>10131</t>
  </si>
  <si>
    <t>10132</t>
  </si>
  <si>
    <t>10201</t>
  </si>
  <si>
    <t>10202</t>
  </si>
  <si>
    <t>10311</t>
  </si>
  <si>
    <t>10312</t>
  </si>
  <si>
    <t>10320</t>
  </si>
  <si>
    <t>10391</t>
  </si>
  <si>
    <t>10392</t>
  </si>
  <si>
    <t>10393</t>
  </si>
  <si>
    <t>10411</t>
  </si>
  <si>
    <t>10412</t>
  </si>
  <si>
    <t>10420</t>
  </si>
  <si>
    <t>10511</t>
  </si>
  <si>
    <t>10512</t>
  </si>
  <si>
    <t>10520</t>
  </si>
  <si>
    <t>10611</t>
  </si>
  <si>
    <t>10612</t>
  </si>
  <si>
    <t>10620</t>
  </si>
  <si>
    <t>10710</t>
  </si>
  <si>
    <t>10720</t>
  </si>
  <si>
    <t>10730</t>
  </si>
  <si>
    <t>10810</t>
  </si>
  <si>
    <t>10820</t>
  </si>
  <si>
    <t>10830</t>
  </si>
  <si>
    <t>10840</t>
  </si>
  <si>
    <t>10850</t>
  </si>
  <si>
    <t>10860</t>
  </si>
  <si>
    <t>10890</t>
  </si>
  <si>
    <t>10910</t>
  </si>
  <si>
    <t>10920</t>
  </si>
  <si>
    <t>11011</t>
  </si>
  <si>
    <t>11012</t>
  </si>
  <si>
    <t>11020</t>
  </si>
  <si>
    <t>11030</t>
  </si>
  <si>
    <t>11040</t>
  </si>
  <si>
    <t>11050</t>
  </si>
  <si>
    <t>11060</t>
  </si>
  <si>
    <t>11071</t>
  </si>
  <si>
    <t>11072</t>
  </si>
  <si>
    <t>12000</t>
  </si>
  <si>
    <t>13101</t>
  </si>
  <si>
    <t>13102</t>
  </si>
  <si>
    <t>13103</t>
  </si>
  <si>
    <t>13104</t>
  </si>
  <si>
    <t>13105</t>
  </si>
  <si>
    <t>13106</t>
  </si>
  <si>
    <t>13107</t>
  </si>
  <si>
    <t>13108</t>
  </si>
  <si>
    <t>13201</t>
  </si>
  <si>
    <t>13202</t>
  </si>
  <si>
    <t>13203</t>
  </si>
  <si>
    <t>13204</t>
  </si>
  <si>
    <t>13300</t>
  </si>
  <si>
    <t>13910</t>
  </si>
  <si>
    <t>13921</t>
  </si>
  <si>
    <t>13922</t>
  </si>
  <si>
    <t>13930</t>
  </si>
  <si>
    <t>13940</t>
  </si>
  <si>
    <t>13950</t>
  </si>
  <si>
    <t>13960</t>
  </si>
  <si>
    <t>13990</t>
  </si>
  <si>
    <t>14110</t>
  </si>
  <si>
    <t>14120</t>
  </si>
  <si>
    <t>14130</t>
  </si>
  <si>
    <t>14140</t>
  </si>
  <si>
    <t>14191</t>
  </si>
  <si>
    <t>14199</t>
  </si>
  <si>
    <t>14200</t>
  </si>
  <si>
    <t>14311</t>
  </si>
  <si>
    <t>14312</t>
  </si>
  <si>
    <t>14390</t>
  </si>
  <si>
    <t>15110</t>
  </si>
  <si>
    <t>15120</t>
  </si>
  <si>
    <t>15201</t>
  </si>
  <si>
    <t>15202</t>
  </si>
  <si>
    <t>16100</t>
  </si>
  <si>
    <t>16210</t>
  </si>
  <si>
    <t>16220</t>
  </si>
  <si>
    <t>16230</t>
  </si>
  <si>
    <t>16240</t>
  </si>
  <si>
    <t>16290</t>
  </si>
  <si>
    <t>17110</t>
  </si>
  <si>
    <t>17120</t>
  </si>
  <si>
    <t>17210</t>
  </si>
  <si>
    <t>17220</t>
  </si>
  <si>
    <t>17230</t>
  </si>
  <si>
    <t>17240</t>
  </si>
  <si>
    <t>17290</t>
  </si>
  <si>
    <t>18110</t>
  </si>
  <si>
    <t>18121</t>
  </si>
  <si>
    <t>18122</t>
  </si>
  <si>
    <t>18123</t>
  </si>
  <si>
    <t>18124</t>
  </si>
  <si>
    <t>18130</t>
  </si>
  <si>
    <t>18140</t>
  </si>
  <si>
    <t>18201</t>
  </si>
  <si>
    <t>18202</t>
  </si>
  <si>
    <t>18203</t>
  </si>
  <si>
    <t>19100</t>
  </si>
  <si>
    <t>19200</t>
  </si>
  <si>
    <t>20110</t>
  </si>
  <si>
    <t>20120</t>
  </si>
  <si>
    <t>20130</t>
  </si>
  <si>
    <t>20140</t>
  </si>
  <si>
    <t>20150</t>
  </si>
  <si>
    <t>20160</t>
  </si>
  <si>
    <t>20170</t>
  </si>
  <si>
    <t>20200</t>
  </si>
  <si>
    <t>20300</t>
  </si>
  <si>
    <t>20410</t>
  </si>
  <si>
    <t>20420</t>
  </si>
  <si>
    <t>20510</t>
  </si>
  <si>
    <t>20520</t>
  </si>
  <si>
    <t>20530</t>
  </si>
  <si>
    <t>20591</t>
  </si>
  <si>
    <t>20599</t>
  </si>
  <si>
    <t>20600</t>
  </si>
  <si>
    <t>21100</t>
  </si>
  <si>
    <t>21200</t>
  </si>
  <si>
    <t>22110</t>
  </si>
  <si>
    <t>22191</t>
  </si>
  <si>
    <t>22192</t>
  </si>
  <si>
    <t>22193</t>
  </si>
  <si>
    <t>22210</t>
  </si>
  <si>
    <t>22220</t>
  </si>
  <si>
    <t>22230</t>
  </si>
  <si>
    <t>22290</t>
  </si>
  <si>
    <t>23110</t>
  </si>
  <si>
    <t>23120</t>
  </si>
  <si>
    <t>23130</t>
  </si>
  <si>
    <t>23140</t>
  </si>
  <si>
    <t>23190</t>
  </si>
  <si>
    <t>23200</t>
  </si>
  <si>
    <t>23310</t>
  </si>
  <si>
    <t>23320</t>
  </si>
  <si>
    <t>23410</t>
  </si>
  <si>
    <t>23420</t>
  </si>
  <si>
    <t>23430</t>
  </si>
  <si>
    <t>23440</t>
  </si>
  <si>
    <t>23490</t>
  </si>
  <si>
    <t>23510</t>
  </si>
  <si>
    <t>23520</t>
  </si>
  <si>
    <t>23610</t>
  </si>
  <si>
    <t>23620</t>
  </si>
  <si>
    <t>23630</t>
  </si>
  <si>
    <t>23640</t>
  </si>
  <si>
    <t>23650</t>
  </si>
  <si>
    <t>23690</t>
  </si>
  <si>
    <t>23700</t>
  </si>
  <si>
    <t>23910</t>
  </si>
  <si>
    <t>23990</t>
  </si>
  <si>
    <t>24100</t>
  </si>
  <si>
    <t>24200</t>
  </si>
  <si>
    <t>24310</t>
  </si>
  <si>
    <t>24320</t>
  </si>
  <si>
    <t>24330</t>
  </si>
  <si>
    <t>24340</t>
  </si>
  <si>
    <t>24410</t>
  </si>
  <si>
    <t>24420</t>
  </si>
  <si>
    <t>24430</t>
  </si>
  <si>
    <t>24440</t>
  </si>
  <si>
    <t>24450</t>
  </si>
  <si>
    <t>24460</t>
  </si>
  <si>
    <t>24510</t>
  </si>
  <si>
    <t>24520</t>
  </si>
  <si>
    <t>24530</t>
  </si>
  <si>
    <t>24540</t>
  </si>
  <si>
    <t>25110</t>
  </si>
  <si>
    <t>25120</t>
  </si>
  <si>
    <t>25210</t>
  </si>
  <si>
    <t>25290</t>
  </si>
  <si>
    <t>25300</t>
  </si>
  <si>
    <t>25400</t>
  </si>
  <si>
    <t>25500</t>
  </si>
  <si>
    <t>25610</t>
  </si>
  <si>
    <t>25620</t>
  </si>
  <si>
    <t>25710</t>
  </si>
  <si>
    <t>25720</t>
  </si>
  <si>
    <t>25730</t>
  </si>
  <si>
    <t>25910</t>
  </si>
  <si>
    <t>25920</t>
  </si>
  <si>
    <t>25930</t>
  </si>
  <si>
    <t>25940</t>
  </si>
  <si>
    <t>25990</t>
  </si>
  <si>
    <t>26110</t>
  </si>
  <si>
    <t>26120</t>
  </si>
  <si>
    <t>26200</t>
  </si>
  <si>
    <t>26301</t>
  </si>
  <si>
    <t>26302</t>
  </si>
  <si>
    <t>26303</t>
  </si>
  <si>
    <t>26304</t>
  </si>
  <si>
    <t>26400</t>
  </si>
  <si>
    <t>26510</t>
  </si>
  <si>
    <t>26520</t>
  </si>
  <si>
    <t>26600</t>
  </si>
  <si>
    <t>26700</t>
  </si>
  <si>
    <t>26800</t>
  </si>
  <si>
    <t>27111</t>
  </si>
  <si>
    <t>27112</t>
  </si>
  <si>
    <t>27120</t>
  </si>
  <si>
    <t>27200</t>
  </si>
  <si>
    <t>27310</t>
  </si>
  <si>
    <t>27320</t>
  </si>
  <si>
    <t>27330</t>
  </si>
  <si>
    <t>27400</t>
  </si>
  <si>
    <t>27511</t>
  </si>
  <si>
    <t>27512</t>
  </si>
  <si>
    <t>27520</t>
  </si>
  <si>
    <t>27900</t>
  </si>
  <si>
    <t>28110</t>
  </si>
  <si>
    <t>28120</t>
  </si>
  <si>
    <t>28130</t>
  </si>
  <si>
    <t>28140</t>
  </si>
  <si>
    <t>28150</t>
  </si>
  <si>
    <t>28210</t>
  </si>
  <si>
    <t>28220</t>
  </si>
  <si>
    <t>28230</t>
  </si>
  <si>
    <t>28240</t>
  </si>
  <si>
    <t>28250</t>
  </si>
  <si>
    <t>28290</t>
  </si>
  <si>
    <t>28301</t>
  </si>
  <si>
    <t>28302</t>
  </si>
  <si>
    <t>28410</t>
  </si>
  <si>
    <t>28490</t>
  </si>
  <si>
    <t>28911</t>
  </si>
  <si>
    <t>28912</t>
  </si>
  <si>
    <t>28920</t>
  </si>
  <si>
    <t>28930</t>
  </si>
  <si>
    <t>28940</t>
  </si>
  <si>
    <t>28950</t>
  </si>
  <si>
    <t>28960</t>
  </si>
  <si>
    <t>28991</t>
  </si>
  <si>
    <t>28992</t>
  </si>
  <si>
    <t>29101</t>
  </si>
  <si>
    <t>29102</t>
  </si>
  <si>
    <t>29103</t>
  </si>
  <si>
    <t>29200</t>
  </si>
  <si>
    <t>29310</t>
  </si>
  <si>
    <t>29320</t>
  </si>
  <si>
    <t>30110</t>
  </si>
  <si>
    <t>30120</t>
  </si>
  <si>
    <t>30200</t>
  </si>
  <si>
    <t>30300</t>
  </si>
  <si>
    <t>30400</t>
  </si>
  <si>
    <t>30910</t>
  </si>
  <si>
    <t>30920</t>
  </si>
  <si>
    <t>30990</t>
  </si>
  <si>
    <t>31010</t>
  </si>
  <si>
    <t>31020</t>
  </si>
  <si>
    <t>31030</t>
  </si>
  <si>
    <t>31090</t>
  </si>
  <si>
    <t>32110</t>
  </si>
  <si>
    <t>32120</t>
  </si>
  <si>
    <t>32130</t>
  </si>
  <si>
    <t>32200</t>
  </si>
  <si>
    <t>32300</t>
  </si>
  <si>
    <t>32400</t>
  </si>
  <si>
    <t>32500</t>
  </si>
  <si>
    <t>32910</t>
  </si>
  <si>
    <t>32990</t>
  </si>
  <si>
    <t>33110</t>
  </si>
  <si>
    <t>33120</t>
  </si>
  <si>
    <t>33130</t>
  </si>
  <si>
    <t>33140</t>
  </si>
  <si>
    <t>33150</t>
  </si>
  <si>
    <t>33160</t>
  </si>
  <si>
    <t>33170</t>
  </si>
  <si>
    <t>33190</t>
  </si>
  <si>
    <t>33200</t>
  </si>
  <si>
    <t>35110</t>
  </si>
  <si>
    <t>35120</t>
  </si>
  <si>
    <t>35130</t>
  </si>
  <si>
    <t>35140</t>
  </si>
  <si>
    <t>35210</t>
  </si>
  <si>
    <t>35220</t>
  </si>
  <si>
    <t>35231</t>
  </si>
  <si>
    <t>35232</t>
  </si>
  <si>
    <t>35300</t>
  </si>
  <si>
    <t>36000</t>
  </si>
  <si>
    <t>37000</t>
  </si>
  <si>
    <t>38110</t>
  </si>
  <si>
    <t>38120</t>
  </si>
  <si>
    <t>38210</t>
  </si>
  <si>
    <t>38220</t>
  </si>
  <si>
    <t>38310</t>
  </si>
  <si>
    <t>38320</t>
  </si>
  <si>
    <t>39001</t>
  </si>
  <si>
    <t>39002</t>
  </si>
  <si>
    <t>39003</t>
  </si>
  <si>
    <t>39004</t>
  </si>
  <si>
    <t>39005</t>
  </si>
  <si>
    <t>41100</t>
  </si>
  <si>
    <t>41200</t>
  </si>
  <si>
    <t>41202</t>
  </si>
  <si>
    <t>42110</t>
  </si>
  <si>
    <t>42120</t>
  </si>
  <si>
    <t>42131</t>
  </si>
  <si>
    <t>42132</t>
  </si>
  <si>
    <t>42133</t>
  </si>
  <si>
    <t>42134</t>
  </si>
  <si>
    <t>42210</t>
  </si>
  <si>
    <t>42220</t>
  </si>
  <si>
    <t>42910</t>
  </si>
  <si>
    <t>42990</t>
  </si>
  <si>
    <t>43111</t>
  </si>
  <si>
    <t>43112</t>
  </si>
  <si>
    <t>43120</t>
  </si>
  <si>
    <t>43130</t>
  </si>
  <si>
    <t>43211</t>
  </si>
  <si>
    <t>43212</t>
  </si>
  <si>
    <t>43213</t>
  </si>
  <si>
    <t>43221</t>
  </si>
  <si>
    <t>43222</t>
  </si>
  <si>
    <t>43290</t>
  </si>
  <si>
    <t>43310</t>
  </si>
  <si>
    <t>43320</t>
  </si>
  <si>
    <t>43330</t>
  </si>
  <si>
    <t>43340</t>
  </si>
  <si>
    <t>43390</t>
  </si>
  <si>
    <t>43910</t>
  </si>
  <si>
    <t>43990</t>
  </si>
  <si>
    <t>45111</t>
  </si>
  <si>
    <t>45112</t>
  </si>
  <si>
    <t>45190</t>
  </si>
  <si>
    <t>45200</t>
  </si>
  <si>
    <t>45310</t>
  </si>
  <si>
    <t>45320</t>
  </si>
  <si>
    <t>45400</t>
  </si>
  <si>
    <t>46110</t>
  </si>
  <si>
    <t>46120</t>
  </si>
  <si>
    <t>46130</t>
  </si>
  <si>
    <t>46140</t>
  </si>
  <si>
    <t>46150</t>
  </si>
  <si>
    <t>46160</t>
  </si>
  <si>
    <t>46171</t>
  </si>
  <si>
    <t>46172</t>
  </si>
  <si>
    <t>46173</t>
  </si>
  <si>
    <t>46174</t>
  </si>
  <si>
    <t>46175</t>
  </si>
  <si>
    <t>46180</t>
  </si>
  <si>
    <t>46190</t>
  </si>
  <si>
    <t>46210</t>
  </si>
  <si>
    <t>46220</t>
  </si>
  <si>
    <t>46230</t>
  </si>
  <si>
    <t>46240</t>
  </si>
  <si>
    <t>46310</t>
  </si>
  <si>
    <t>46320</t>
  </si>
  <si>
    <t>46330</t>
  </si>
  <si>
    <t>46340</t>
  </si>
  <si>
    <t>46350</t>
  </si>
  <si>
    <t>46360</t>
  </si>
  <si>
    <t>46370</t>
  </si>
  <si>
    <t>46380</t>
  </si>
  <si>
    <t>46390</t>
  </si>
  <si>
    <t>46410</t>
  </si>
  <si>
    <t>46420</t>
  </si>
  <si>
    <t>46430</t>
  </si>
  <si>
    <t>46440</t>
  </si>
  <si>
    <t>46450</t>
  </si>
  <si>
    <t>46460</t>
  </si>
  <si>
    <t>46470</t>
  </si>
  <si>
    <t>46480</t>
  </si>
  <si>
    <t>46491</t>
  </si>
  <si>
    <t>46492</t>
  </si>
  <si>
    <t>46510</t>
  </si>
  <si>
    <t>46521</t>
  </si>
  <si>
    <t>46522</t>
  </si>
  <si>
    <t>46523</t>
  </si>
  <si>
    <t>46610</t>
  </si>
  <si>
    <t>46620</t>
  </si>
  <si>
    <t>46630</t>
  </si>
  <si>
    <t>46640</t>
  </si>
  <si>
    <t>46650</t>
  </si>
  <si>
    <t>46660</t>
  </si>
  <si>
    <t>46690</t>
  </si>
  <si>
    <t>46711</t>
  </si>
  <si>
    <t>46712</t>
  </si>
  <si>
    <t>46720</t>
  </si>
  <si>
    <t>46730</t>
  </si>
  <si>
    <t>46740</t>
  </si>
  <si>
    <t>46750</t>
  </si>
  <si>
    <t>46752</t>
  </si>
  <si>
    <t>46760</t>
  </si>
  <si>
    <t>46770</t>
  </si>
  <si>
    <t>46901</t>
  </si>
  <si>
    <t>46902</t>
  </si>
  <si>
    <t>47111</t>
  </si>
  <si>
    <t>47112</t>
  </si>
  <si>
    <t>47113</t>
  </si>
  <si>
    <t>47191</t>
  </si>
  <si>
    <t>47192</t>
  </si>
  <si>
    <t>47210</t>
  </si>
  <si>
    <t>47220</t>
  </si>
  <si>
    <t>47230</t>
  </si>
  <si>
    <t>47240</t>
  </si>
  <si>
    <t>47250</t>
  </si>
  <si>
    <t>47260</t>
  </si>
  <si>
    <t>47290</t>
  </si>
  <si>
    <t>47301</t>
  </si>
  <si>
    <t>47302</t>
  </si>
  <si>
    <t>47411</t>
  </si>
  <si>
    <t>47412</t>
  </si>
  <si>
    <t>47420</t>
  </si>
  <si>
    <t>47430</t>
  </si>
  <si>
    <t>47510</t>
  </si>
  <si>
    <t>47520</t>
  </si>
  <si>
    <t>47530</t>
  </si>
  <si>
    <t>47541</t>
  </si>
  <si>
    <t>47542</t>
  </si>
  <si>
    <t>47590</t>
  </si>
  <si>
    <t>47610</t>
  </si>
  <si>
    <t>47620</t>
  </si>
  <si>
    <t>47630</t>
  </si>
  <si>
    <t>47640</t>
  </si>
  <si>
    <t>47650</t>
  </si>
  <si>
    <t>47711</t>
  </si>
  <si>
    <t>47712</t>
  </si>
  <si>
    <t>47720</t>
  </si>
  <si>
    <t>47730</t>
  </si>
  <si>
    <t>47740</t>
  </si>
  <si>
    <t>47750</t>
  </si>
  <si>
    <t>47760</t>
  </si>
  <si>
    <t>47770</t>
  </si>
  <si>
    <t>47780</t>
  </si>
  <si>
    <t>47790</t>
  </si>
  <si>
    <t>47810</t>
  </si>
  <si>
    <t>47820</t>
  </si>
  <si>
    <t>47890</t>
  </si>
  <si>
    <t>47910</t>
  </si>
  <si>
    <t>47990</t>
  </si>
  <si>
    <t>49100</t>
  </si>
  <si>
    <t>49201</t>
  </si>
  <si>
    <t>49202</t>
  </si>
  <si>
    <t>49310</t>
  </si>
  <si>
    <t>49320</t>
  </si>
  <si>
    <t>49391</t>
  </si>
  <si>
    <t>49392</t>
  </si>
  <si>
    <t>49411</t>
  </si>
  <si>
    <t>49412</t>
  </si>
  <si>
    <t>49413</t>
  </si>
  <si>
    <t>49420</t>
  </si>
  <si>
    <t>49501</t>
  </si>
  <si>
    <t>49502</t>
  </si>
  <si>
    <t>49503</t>
  </si>
  <si>
    <t>50101</t>
  </si>
  <si>
    <t>50102</t>
  </si>
  <si>
    <t>50201</t>
  </si>
  <si>
    <t>50202</t>
  </si>
  <si>
    <t>50300</t>
  </si>
  <si>
    <t>50401</t>
  </si>
  <si>
    <t>50402</t>
  </si>
  <si>
    <t>51100</t>
  </si>
  <si>
    <t>51211</t>
  </si>
  <si>
    <t>51212</t>
  </si>
  <si>
    <t>51221</t>
  </si>
  <si>
    <t>51222</t>
  </si>
  <si>
    <t>52101</t>
  </si>
  <si>
    <t>52102</t>
  </si>
  <si>
    <t>52210</t>
  </si>
  <si>
    <t>52220</t>
  </si>
  <si>
    <t>52230</t>
  </si>
  <si>
    <t>52240</t>
  </si>
  <si>
    <t>52290</t>
  </si>
  <si>
    <t>52292</t>
  </si>
  <si>
    <t>53101</t>
  </si>
  <si>
    <t>53102</t>
  </si>
  <si>
    <t>53200</t>
  </si>
  <si>
    <t>55100</t>
  </si>
  <si>
    <t>55200</t>
  </si>
  <si>
    <t>55300</t>
  </si>
  <si>
    <t>55900</t>
  </si>
  <si>
    <t>56100</t>
  </si>
  <si>
    <t>56102</t>
  </si>
  <si>
    <t>56210</t>
  </si>
  <si>
    <t>56290</t>
  </si>
  <si>
    <t>56300</t>
  </si>
  <si>
    <t>58110</t>
  </si>
  <si>
    <t>58120</t>
  </si>
  <si>
    <t>58130</t>
  </si>
  <si>
    <t>58140</t>
  </si>
  <si>
    <t>58190</t>
  </si>
  <si>
    <t>58210</t>
  </si>
  <si>
    <t>58290</t>
  </si>
  <si>
    <t>59110</t>
  </si>
  <si>
    <t>59120</t>
  </si>
  <si>
    <t>59130</t>
  </si>
  <si>
    <t>59140</t>
  </si>
  <si>
    <t>59200</t>
  </si>
  <si>
    <t>60100</t>
  </si>
  <si>
    <t>60200</t>
  </si>
  <si>
    <t>61101</t>
  </si>
  <si>
    <t>61102</t>
  </si>
  <si>
    <t>61103</t>
  </si>
  <si>
    <t>61104</t>
  </si>
  <si>
    <t>61201</t>
  </si>
  <si>
    <t>61202</t>
  </si>
  <si>
    <t>61300</t>
  </si>
  <si>
    <t>61900</t>
  </si>
  <si>
    <t>61902</t>
  </si>
  <si>
    <t>62010</t>
  </si>
  <si>
    <t>62021</t>
  </si>
  <si>
    <t>62022</t>
  </si>
  <si>
    <t>62023</t>
  </si>
  <si>
    <t>62030</t>
  </si>
  <si>
    <t>62090</t>
  </si>
  <si>
    <t>63110</t>
  </si>
  <si>
    <t>63120</t>
  </si>
  <si>
    <t>63910</t>
  </si>
  <si>
    <t>63991</t>
  </si>
  <si>
    <t>63992</t>
  </si>
  <si>
    <t>64110</t>
  </si>
  <si>
    <t>64190</t>
  </si>
  <si>
    <t>64200</t>
  </si>
  <si>
    <t>64300</t>
  </si>
  <si>
    <t>64910</t>
  </si>
  <si>
    <t>64920</t>
  </si>
  <si>
    <t>64991</t>
  </si>
  <si>
    <t>64992</t>
  </si>
  <si>
    <t>65110</t>
  </si>
  <si>
    <t>65120</t>
  </si>
  <si>
    <t>65200</t>
  </si>
  <si>
    <t>65300</t>
  </si>
  <si>
    <t>66110</t>
  </si>
  <si>
    <t>66121</t>
  </si>
  <si>
    <t>66122</t>
  </si>
  <si>
    <t>66190</t>
  </si>
  <si>
    <t>66210</t>
  </si>
  <si>
    <t>66220</t>
  </si>
  <si>
    <t>66291</t>
  </si>
  <si>
    <t>66292</t>
  </si>
  <si>
    <t>66300</t>
  </si>
  <si>
    <t>68100</t>
  </si>
  <si>
    <t>68200</t>
  </si>
  <si>
    <t>68310</t>
  </si>
  <si>
    <t>68320</t>
  </si>
  <si>
    <t>69100</t>
  </si>
  <si>
    <t>69201</t>
  </si>
  <si>
    <t>69202</t>
  </si>
  <si>
    <t>70100</t>
  </si>
  <si>
    <t>70210</t>
  </si>
  <si>
    <t>70220</t>
  </si>
  <si>
    <t>71111</t>
  </si>
  <si>
    <t>71112</t>
  </si>
  <si>
    <t>71113</t>
  </si>
  <si>
    <t>71114</t>
  </si>
  <si>
    <t>71115</t>
  </si>
  <si>
    <t>71120</t>
  </si>
  <si>
    <t>71201</t>
  </si>
  <si>
    <t>71202</t>
  </si>
  <si>
    <t>72110</t>
  </si>
  <si>
    <t>72190</t>
  </si>
  <si>
    <t>72200</t>
  </si>
  <si>
    <t>73110</t>
  </si>
  <si>
    <t>73120</t>
  </si>
  <si>
    <t>73200</t>
  </si>
  <si>
    <t>74100</t>
  </si>
  <si>
    <t>74200</t>
  </si>
  <si>
    <t>74300</t>
  </si>
  <si>
    <t>74900</t>
  </si>
  <si>
    <t>75000</t>
  </si>
  <si>
    <t>77110</t>
  </si>
  <si>
    <t>77120</t>
  </si>
  <si>
    <t>77210</t>
  </si>
  <si>
    <t>77220</t>
  </si>
  <si>
    <t>77290</t>
  </si>
  <si>
    <t>77310</t>
  </si>
  <si>
    <t>77320</t>
  </si>
  <si>
    <t>77330</t>
  </si>
  <si>
    <t>77340</t>
  </si>
  <si>
    <t>77350</t>
  </si>
  <si>
    <t>77390</t>
  </si>
  <si>
    <t>77400</t>
  </si>
  <si>
    <t>78100</t>
  </si>
  <si>
    <t>78102</t>
  </si>
  <si>
    <t>78200</t>
  </si>
  <si>
    <t>78300</t>
  </si>
  <si>
    <t>79110</t>
  </si>
  <si>
    <t>79120</t>
  </si>
  <si>
    <t>79900</t>
  </si>
  <si>
    <t>80100</t>
  </si>
  <si>
    <t>80200</t>
  </si>
  <si>
    <t>80300</t>
  </si>
  <si>
    <t>81100</t>
  </si>
  <si>
    <t>81210</t>
  </si>
  <si>
    <t>81220</t>
  </si>
  <si>
    <t>81290</t>
  </si>
  <si>
    <t>81300</t>
  </si>
  <si>
    <t>82110</t>
  </si>
  <si>
    <t>82190</t>
  </si>
  <si>
    <t>82200</t>
  </si>
  <si>
    <t>82300</t>
  </si>
  <si>
    <t>82910</t>
  </si>
  <si>
    <t>82920</t>
  </si>
  <si>
    <t>82990</t>
  </si>
  <si>
    <t>84111</t>
  </si>
  <si>
    <t>84112</t>
  </si>
  <si>
    <t>84120</t>
  </si>
  <si>
    <t>84130</t>
  </si>
  <si>
    <t>84210</t>
  </si>
  <si>
    <t>84220</t>
  </si>
  <si>
    <t>84230</t>
  </si>
  <si>
    <t>84240</t>
  </si>
  <si>
    <t>84251</t>
  </si>
  <si>
    <t>84252</t>
  </si>
  <si>
    <t>84300</t>
  </si>
  <si>
    <t>85100</t>
  </si>
  <si>
    <t>85200</t>
  </si>
  <si>
    <t>85311</t>
  </si>
  <si>
    <t>85312</t>
  </si>
  <si>
    <t>85320</t>
  </si>
  <si>
    <t>85410</t>
  </si>
  <si>
    <t>85420</t>
  </si>
  <si>
    <t>85510</t>
  </si>
  <si>
    <t>85520</t>
  </si>
  <si>
    <t>85530</t>
  </si>
  <si>
    <t>85590</t>
  </si>
  <si>
    <t>85600</t>
  </si>
  <si>
    <t>86100</t>
  </si>
  <si>
    <t>86210</t>
  </si>
  <si>
    <t>86220</t>
  </si>
  <si>
    <t>86230</t>
  </si>
  <si>
    <t>86900</t>
  </si>
  <si>
    <t>87100</t>
  </si>
  <si>
    <t>87200</t>
  </si>
  <si>
    <t>87300</t>
  </si>
  <si>
    <t>87900</t>
  </si>
  <si>
    <t>88100</t>
  </si>
  <si>
    <t>88910</t>
  </si>
  <si>
    <t>88990</t>
  </si>
  <si>
    <t>90010</t>
  </si>
  <si>
    <t>90012</t>
  </si>
  <si>
    <t>90020</t>
  </si>
  <si>
    <t>90030</t>
  </si>
  <si>
    <t>90040</t>
  </si>
  <si>
    <t>91010</t>
  </si>
  <si>
    <t>91020</t>
  </si>
  <si>
    <t>91030</t>
  </si>
  <si>
    <t>91040</t>
  </si>
  <si>
    <t>92000</t>
  </si>
  <si>
    <t>93110</t>
  </si>
  <si>
    <t>93120</t>
  </si>
  <si>
    <t>93130</t>
  </si>
  <si>
    <t>93190</t>
  </si>
  <si>
    <t>93210</t>
  </si>
  <si>
    <t>93290</t>
  </si>
  <si>
    <t>94110</t>
  </si>
  <si>
    <t>94120</t>
  </si>
  <si>
    <t>94200</t>
  </si>
  <si>
    <t>94910</t>
  </si>
  <si>
    <t>94920</t>
  </si>
  <si>
    <t>94990</t>
  </si>
  <si>
    <t>95110</t>
  </si>
  <si>
    <t>95120</t>
  </si>
  <si>
    <t>95210</t>
  </si>
  <si>
    <t>95220</t>
  </si>
  <si>
    <t>95230</t>
  </si>
  <si>
    <t>95240</t>
  </si>
  <si>
    <t>95251</t>
  </si>
  <si>
    <t>95252</t>
  </si>
  <si>
    <t>95290</t>
  </si>
  <si>
    <t>96010</t>
  </si>
  <si>
    <t>96020</t>
  </si>
  <si>
    <t>96030</t>
  </si>
  <si>
    <t>96040</t>
  </si>
  <si>
    <t>96090</t>
  </si>
  <si>
    <t>97000</t>
  </si>
  <si>
    <t>97002</t>
  </si>
  <si>
    <t>98100</t>
  </si>
  <si>
    <t>98200</t>
  </si>
  <si>
    <t>99000</t>
  </si>
  <si>
    <t>Fəaliyyət  növünün  adı (mənbə: https://www.azstat.org/tesnifat/cedeveller/ifnt.jsp?parm=ifnt)</t>
  </si>
  <si>
    <t>DƏNLİ (ÇƏLTİK İSTİSNA OLMAQLA) BİTKİLƏRİN BECƏRİLMƏSİ </t>
  </si>
  <si>
    <t>PAXLALI BİTKİLƏRİN BECƏRİLMƏSİ </t>
  </si>
  <si>
    <t>YAĞLI BİTKİLƏRİN VƏ ONLARIN TOXUMLARININ BECƏRİLMƏSİ </t>
  </si>
  <si>
    <t>ÇƏLTİYİN BECƏRİLMƏSİ </t>
  </si>
  <si>
    <t>TƏRƏVƏZ, BOSTAN, KÖKÜMEYVƏLİ VƏ KÖKÜYUMRULARIN BECƏRİLMƏSİ </t>
  </si>
  <si>
    <t>ŞƏKƏR ÇUĞUNDURUNUN VƏ ONUN TOXUMUNUN BECƏRİLMƏSİ </t>
  </si>
  <si>
    <t>GÖBƏLƏYİN VƏ YERDOMBALANIN BECƏRİLMƏSİ </t>
  </si>
  <si>
    <t>KARTOFUN BECƏRİLMƏSİ </t>
  </si>
  <si>
    <t>ŞƏKƏR QAMIŞININ BECƏRİLMƏSİ </t>
  </si>
  <si>
    <t>TÜTÜNÜN BECƏRİLMƏSİ </t>
  </si>
  <si>
    <t>LİFLİ BİTKİLƏRİN BECƏRİLMƏSİ </t>
  </si>
  <si>
    <t>PAMBIĞIN BECƏRİLMƏSİ </t>
  </si>
  <si>
    <t>YEM BİTKİLƏRİNİN VƏ ONLARIN TOXUMLARININ BECƏRİLMƏSİ  </t>
  </si>
  <si>
    <t>YABANI DƏRMAN BİTKİLƏRİ XAMMALININ YIĞILMASI </t>
  </si>
  <si>
    <t>GÜLLƏRİN VƏ ONLARIN TOXUMLARININ BECƏRİLMƏSİ </t>
  </si>
  <si>
    <t>DİGƏR BİRİLLİK BİTKİLƏRİN BECƏRİLMƏSİ </t>
  </si>
  <si>
    <t>ÜZÜMÜN BECƏRİLMƏSİ </t>
  </si>
  <si>
    <t>TROPİK VƏ SUBTROPİK MEYVƏLƏRİN BECƏRİLMƏSİ </t>
  </si>
  <si>
    <t>SİTRUS MEYVƏLƏRİN BECƏRİLMƏSİ </t>
  </si>
  <si>
    <t>TUMLU VƏ ÇƏYİRDƏKLİ MEYVƏLƏRİN BECƏRİLMƏSİ </t>
  </si>
  <si>
    <t>QOZ-FINDIQ VƏ SAİR GİLƏMEYVƏ MƏHSULLARININ BECƏRİLMƏSİ </t>
  </si>
  <si>
    <t>DİGƏR AĞACLARIN, KOL BİTKİLƏRİNİN VƏ QƏRZƏKLİ MEYVƏLƏRİN BECƏRİLMƏSİ </t>
  </si>
  <si>
    <t>YAĞLI MEYVƏLƏRİN BECƏRİLMƏSİ </t>
  </si>
  <si>
    <t>İÇKİ İSTEHSALI ÜÇÜN BİTKİLƏRİN BECƏRİLMƏSİ </t>
  </si>
  <si>
    <t>ÇAY YARPAĞININ BECƏRİLMƏSİ </t>
  </si>
  <si>
    <t>ƏDVİYYAT, ƏTRİYYAT VƏ DƏRMAN BİTKİLƏRİNİN BECƏRİLMƏSİ </t>
  </si>
  <si>
    <t>DİGƏR ÇOXİLLİK BİTKİLƏRİN BECƏRİLMƏSİ </t>
  </si>
  <si>
    <t>BİTKİLƏRİN ÇOXALDILMASI (ƏKİLMƏSİ)  </t>
  </si>
  <si>
    <t>SÜDLÜK İRİBUYNUZLU MAL-QARANIN YETİŞDİRİLMƏSİ </t>
  </si>
  <si>
    <t>DİGƏR İRİBUYNUZLU MAL-QARANIN VƏ CAMIŞLARIN YETİŞDİRİLMƏSİ </t>
  </si>
  <si>
    <t>AT, EŞŞƏK VƏ QATIRLARIN YETİŞDİRİLMƏSİ </t>
  </si>
  <si>
    <t>DƏVƏLƏRİN VƏ MAYALARIN YETİŞDİRİLMƏSİ </t>
  </si>
  <si>
    <t>QOYUN VƏ KEÇİLƏRİN YETİŞDİRİLMƏSİ </t>
  </si>
  <si>
    <t>DONUZLARIN YETİŞDİRİLMƏSİ </t>
  </si>
  <si>
    <t>EV (KƏND TƏSƏRRÜFATI) QUŞLARININ YETİŞDİRİLMƏSİ </t>
  </si>
  <si>
    <t>YUMURTA İSTEHSALI </t>
  </si>
  <si>
    <t>ARILARIN BECƏRİLMƏSİ, ARI BALININ VƏ ARI MUMUNUN İSTEHSALI </t>
  </si>
  <si>
    <t>BARAMA QURDUNUN YETİŞDİRİLMƏSİ VƏ BARAMA İSTEHSALI </t>
  </si>
  <si>
    <t>XƏZ DƏRİLİ HEYVANLARIN YETİŞDİRİLMƏSİ VƏ XƏZ DƏRİ İSTEHSALI </t>
  </si>
  <si>
    <t>DİGƏR HEYVANLARIN YETİŞDİRİLMƏSİ </t>
  </si>
  <si>
    <t>HEYVANDARLIQLA ƏLAQƏLİ BİTKİÇİLİK </t>
  </si>
  <si>
    <t>BİTKİÇİLİK SAHƏSİNDƏ XİDMƏT GÖSTƏRİLMƏSİ </t>
  </si>
  <si>
    <t>İRRİQASİYA SİSTEMİNİN İSTİSMARI </t>
  </si>
  <si>
    <t>BİTKİÇİLİK SAHƏSİNDƏ DİGƏR XİDMƏTLƏRİN GÖSTƏRİLMƏSİ </t>
  </si>
  <si>
    <t>HEYVANDARLIQ SAHƏSİNDƏ XİDMƏTİN GÖSTƏRİLMƏSİ </t>
  </si>
  <si>
    <t>KƏND TƏSƏRRÜFATI BİTKİLƏRİ MƏHSULLARININ EMALI ÜZRƏ XİDMƏTLƏRİN GÖSTƏRİLMƏSİ </t>
  </si>
  <si>
    <t>ƏKİLMƏYƏ (TOXUM FONDUNUN FORMALAŞDIRILMASINA) HAZIRLIQ ÜZRƏ XİDMƏTLƏRİN GÖSTƏRİLMƏSİ </t>
  </si>
  <si>
    <t>OVÇULUQ VƏ VƏHŞİ HEYVANLARIN YETİŞDİRİLMƏSİ VƏ BU SAHƏLƏRDƏ XİDMƏTİN GÖSTƏRİLMƏSİ </t>
  </si>
  <si>
    <t>MEŞƏÇİLİK VƏ MEŞƏ TƏSƏRRÜFATI İLƏ BAĞLI SAİR FƏALİYYƏT </t>
  </si>
  <si>
    <t>AĞAC TƏDARÜKÜ </t>
  </si>
  <si>
    <t>YABANI BİTƏN QEYRİ-AĞAC MƏHSULLARININ YIĞILMASI </t>
  </si>
  <si>
    <t>YABANI BİTƏN MEŞƏ GÖBƏLƏKLƏRİNİN VƏ YERDOMBALANLARININ, MEYVƏLƏRİNİN, GİLƏMEYVƏLƏRİN, QOZLARIN VƏ DİGƏR YEYİLƏN MEŞƏ MƏHSULLARININ YIĞILMASI </t>
  </si>
  <si>
    <t>YABANI BİTƏN DİGƏR QEYRİ-AĞAC MEŞƏ MƏHSULLARININ YIĞILMASI </t>
  </si>
  <si>
    <t>MEŞƏ TƏSƏRRÜFATI (MEŞƏ BECƏRMƏ VƏ AĞAC TƏDARÜKÜ) SAHƏSİNDƏ XİDMƏTLƏRİN GÖSTƏRİLMƏSİ  </t>
  </si>
  <si>
    <t>DƏNİZ BALIQÇILIĞI </t>
  </si>
  <si>
    <t>ÇAYLARDA, GÖLLƏRDƏ, SU ANBARLARINDA (ŞİRİN SULARDA) BALIQÇILIQ </t>
  </si>
  <si>
    <t>DƏNİZ BALIQYETİŞDİRİLMƏSİ </t>
  </si>
  <si>
    <t>ŞİRİN SU HÖVZƏLƏRİNDƏ BALIQYETİŞDİRMƏ </t>
  </si>
  <si>
    <t>DAŞ KÖMÜRÜN HASİLATI </t>
  </si>
  <si>
    <t>LİQNİTİN HASİLATI </t>
  </si>
  <si>
    <t>XAM NEFT HASİLATI </t>
  </si>
  <si>
    <t>TƏBİİ (YANAR) QAZ HASİLATI </t>
  </si>
  <si>
    <t>DƏMİR FİLİZİNİN HASİLATI </t>
  </si>
  <si>
    <t>URAN VƏ TORİUM FİLİZLƏRİNİN HASİLATI </t>
  </si>
  <si>
    <t>QİYMƏTLİ METALLARIN VƏ QİYMƏTLİ DAŞLARIN İSTEHSALI (QİYMƏTLİ METALLARIN FİLİZLƏRDƏN, KONSENTRATLARDAN ALINMASI) </t>
  </si>
  <si>
    <t>QİYMƏTLİ METALLARIN VƏ QİYMƏTLİ DAŞLARIN İSTEHSALI  </t>
  </si>
  <si>
    <t>DİGƏR ƏLVAN METAL FİLİZLƏRİNİN HASİLATI </t>
  </si>
  <si>
    <t>DEKORATİV VƏ TİKİNTİ DAŞLARININ HASİLATI </t>
  </si>
  <si>
    <t>ƏHƏNG DAŞININ VƏ GİPSİN HASİLATI </t>
  </si>
  <si>
    <t>TƏBAŞİR VƏ SUSUZLAŞDIRILMAMIŞ DELOMİTİN HASİLATI </t>
  </si>
  <si>
    <t>ŞİST HASİLATI </t>
  </si>
  <si>
    <t>ÇINQIL VƏ QUMUN HASİLATI </t>
  </si>
  <si>
    <t>GİL VƏ KAOLİN HASİLATI </t>
  </si>
  <si>
    <t>KİMYA SƏNAYESİ VƏ GÜBRƏ İSTEHSALI ÜÇÜN MİNERAL XAMMAL HASİLATI  </t>
  </si>
  <si>
    <t>TORF HASİLATI </t>
  </si>
  <si>
    <t>DUZ HASİLATI </t>
  </si>
  <si>
    <t>MƏDƏNÇIXARMA SƏNAYESİNİN DİGƏR QRUPLARINA DAXİL EDİLMƏYƏN SAİR SAHƏLƏRİ </t>
  </si>
  <si>
    <t>TƏBİİ ASFALT VƏ BİTUM HASİLATI </t>
  </si>
  <si>
    <t>NEFT VƏ TƏBİİ QAZ HASİLATI SAHƏSİNDƏ XİDMƏTLƏRİN GÖSTƏRİLMƏSİ  </t>
  </si>
  <si>
    <t>NEFT VƏ TƏBİİ QAZIN HASİLATI ÜÇÜN QUYULARIN QAZILMASI </t>
  </si>
  <si>
    <t>MƏDƏNÇIXARMA SƏNAYESİNİN DİGƏR SAHƏLƏRİNDƏ XİDMƏTLƏRİN GÖSTƏRİLMƏSİ </t>
  </si>
  <si>
    <t>ƏT İSTEHSALI VƏ KONSERVLƏŞDİRİLMƏSİ (QUŞ ƏTİNDƏN BAŞQA) </t>
  </si>
  <si>
    <t>EV QUŞLARI VƏ DOVŞAN ƏTİNİN EMALI VƏ KONSERVLƏŞDİRİLMƏSİ </t>
  </si>
  <si>
    <t>KOLBASA, SOSİSKA, SALYAMİ, PAŞTET, BEKON VƏ SAİR ƏT MƏMULATLARININ İSTEHSALI </t>
  </si>
  <si>
    <t>ƏT QUŞ VƏ EV DOŞANLARININ ƏTİNDƏN DİGƏR MƏMULATLARIN İSTEHSALI </t>
  </si>
  <si>
    <t>BALIQ MƏHSULLARININ İSTEHSALI </t>
  </si>
  <si>
    <t>BALIĞIN, XƏRÇƏNGKİMİLƏRİN VƏ MOLYUSKALARIN EMALI VƏ KONSERVLƏŞDİRİLMƏSİ </t>
  </si>
  <si>
    <t>KARTOFUN EMALI VƏ KONSERVLƏŞDİRİLMƏSİ </t>
  </si>
  <si>
    <t>KARTOF UNUNUN İSTEHSALI </t>
  </si>
  <si>
    <t>MEYVƏ VƏ TƏRƏVƏZ ŞİRƏLƏRİNİN İSTEHSALI </t>
  </si>
  <si>
    <t>DİGƏR QRUPLARA DAXİL EDİLMƏYƏN MEYVƏ VƏ TƏRƏVƏZLƏRİN KONSERVLƏŞDİRİLMƏSİ </t>
  </si>
  <si>
    <t>MEYVƏ VƏ YA TƏRƏVƏZDƏN YEYİNTİ MƏHSULLARININ İSTEHSALI </t>
  </si>
  <si>
    <t>CEM, MARMELAD VƏ JELENİN İSTEHSALI </t>
  </si>
  <si>
    <t>TƏMİZLƏNMƏMİŞ YAĞ VƏ PİYLƏRİN İSTEHSALI </t>
  </si>
  <si>
    <t>TƏMİZLƏNMİŞ YAĞ VƏ PİYLƏRİN İSTEHSALI </t>
  </si>
  <si>
    <t>MARQARİN VƏ QARIŞDIRILMIŞ YEYİNTİ PİYLƏRİNİN İSTEHSALI </t>
  </si>
  <si>
    <t>SÜD VƏ SÜD MƏHSULLARININ İSTEHSALI </t>
  </si>
  <si>
    <t>PENDİR VƏ KƏSMİK İSTEHSALI </t>
  </si>
  <si>
    <t>DONDURMA İSTEHSALI </t>
  </si>
  <si>
    <t>BUĞDA EMALI SƏNAYESİ MƏHSULLARININ İSTEHSALI </t>
  </si>
  <si>
    <t>DƏNLİ BİTKİLƏRDƏN UN VƏ YARMA İSTEHSALI </t>
  </si>
  <si>
    <t>NİŞASTA VƏ NİŞASTA MƏHSULLARININ İSTEHSALI </t>
  </si>
  <si>
    <t>ÇÖRƏK İSTEHSALI; UZUN MÜDDƏT SAXLANILA BİLMƏYƏN UNLU QƏNNADI MƏMULATLARININ İSTEHSALI </t>
  </si>
  <si>
    <t>SUXARI VƏ PEÇENYE İSTEHSALI, UZUN MÜDDƏT SAXLANILA BİLƏN UNLU QƏNNADI MƏMULATLARININ İSTEHSALI  </t>
  </si>
  <si>
    <t>MAKARON, ƏRİŞTƏ VƏ OXŞAR MƏMULATLARIN İSTEHSALI </t>
  </si>
  <si>
    <t>ŞƏKƏR (QƏND) İSTEHSALI </t>
  </si>
  <si>
    <t>KAKAO, ŞOKOLAD VƏ ŞƏKƏRDƏN QƏNNADI MƏMULATLARININ İSTEHSALI </t>
  </si>
  <si>
    <t>ÇAY VƏ KOFE İSTEHSALI (EMALI) </t>
  </si>
  <si>
    <t>ƏDVİYYAT VƏ ŞİRƏLƏRİN İSTEHSALI </t>
  </si>
  <si>
    <t>HAZIR YEMƏKLƏRİN İSTEHSALI </t>
  </si>
  <si>
    <t>UŞAQ QİDALARININ VƏ PƏHRİZ ƏRZAQ MƏHSULLARININ İSTEHSALI </t>
  </si>
  <si>
    <t>DİGƏR QRUPLARA DAXİL EDİLMƏYƏN SAİR QİDA MƏHSULLARININ İSTEHSALI  </t>
  </si>
  <si>
    <t>FERMALARDA SAXLANAN HEYVANLAR ÜÇÜN HAZIR YEMLƏRİN İSTEHSALI </t>
  </si>
  <si>
    <t>EV HEYVANLARI ÜÇÜN HAZIR YEMLƏRİN İSTEHSALI </t>
  </si>
  <si>
    <t>DİSTİLLƏ EDİLMİŞ VƏ TƏMİZLƏNMİŞ SPİRTLİ İÇKİLƏRİN İSTEHSALI </t>
  </si>
  <si>
    <t>QICQIRMA MATERİALLARINDAN ETİL SPİRTİNİN İSTEHSALI </t>
  </si>
  <si>
    <t>ÜZÜMDƏN ŞƏRAB İSTEHSALI </t>
  </si>
  <si>
    <t>SİDR VƏ BAŞQA GİLƏMEYVƏ ŞƏRABLARININ İSTEHSALI </t>
  </si>
  <si>
    <t>QICQIRMA MATERİALLARINDAN DİSTİLLƏ EDİLMƏMİŞ SAİR İÇKİLƏRİN İSTEHSALI </t>
  </si>
  <si>
    <t>PİVƏ İSTEHSALI </t>
  </si>
  <si>
    <t>SƏMƏNİ PİVƏSİNİN İSTEHSALI </t>
  </si>
  <si>
    <t>MİNERAL SULAR VƏ DİGƏR SULARIN BUTULKALARDA İSTEHSALI </t>
  </si>
  <si>
    <t>DİGƏR ALKOQOLSUZ İÇKİLƏRİN İSTEHSALI </t>
  </si>
  <si>
    <t>TÜTÜN MƏMULATLARININ İSTEHSALI </t>
  </si>
  <si>
    <t>PAMBIĞIN İLKİN EMALI </t>
  </si>
  <si>
    <t>PAMBIQ PARÇA LİFİNİN ƏYİRİLMƏSİ </t>
  </si>
  <si>
    <t>DARAMA MAŞININDA YUN LİFİNİN ƏYİRİLMƏSİ </t>
  </si>
  <si>
    <t>KAMVOL YUN LİFİNİN ƏYİRİLMƏSİ </t>
  </si>
  <si>
    <t>KƏTAN LİFİNİN ƏYİRİLMƏSİ </t>
  </si>
  <si>
    <t>TƏBİİ İPƏK, SÜNİ VƏ SİNTETİK LİFLƏRİN HAZIRLANMASI </t>
  </si>
  <si>
    <t>TİKİŞ SAPLARININ İSTEHSALI </t>
  </si>
  <si>
    <t>SAİR TOXUCULUQ LİFLƏRİNİN HAZIRLANMASI VƏ ƏYİRİLMƏSİ </t>
  </si>
  <si>
    <t>PAMBIQ PARÇALARIN İSTEHSALI </t>
  </si>
  <si>
    <t>MAŞINLA DARANIB ƏYRİLMİŞ LİFLƏRDƏN YUN PARÇALARIN İSTEHSALI </t>
  </si>
  <si>
    <t>EVDƏ DARANIB ƏYRİLMİŞ LİFLƏRDƏN YUN PARÇALARIN İSTEHSALI </t>
  </si>
  <si>
    <t>İPƏK PARÇALARIN İSTEHSALI </t>
  </si>
  <si>
    <t>PARÇALARIN BƏZƏDİLMƏSİ </t>
  </si>
  <si>
    <t>TOXUCULUQ KƏTANLARININ İSTEHSALI </t>
  </si>
  <si>
    <t>GEYİMDƏN BAŞQA HAZIR TOXUCULUQ MƏMULATLARININ İSTEHSALI </t>
  </si>
  <si>
    <t>YATAQ, YEMƏK OTAĞI, TUALET VƏ MƏTBƏX AĞLARININ İSTEHSALI </t>
  </si>
  <si>
    <t>XALÇA VƏ XALÇA MƏMULATLARININ İSTEHSALI </t>
  </si>
  <si>
    <t>KANAT (BURAZ), KƏNDİR, İP VƏ TOR İSTEHSALI </t>
  </si>
  <si>
    <t>TOXUNULMAYAN TOXUCULUQ MATERİALLARI VƏ ONLARDAN MƏMULATLARIN İSTEHSALI </t>
  </si>
  <si>
    <t>TEXNİKİ ÜSULLA HAZIRLANAN DİGƏR TOXUCULUQ MƏMULATLARININ İSTEHSALI </t>
  </si>
  <si>
    <t>DİGƏR QRUPLARA DAXİL EDİLMƏYƏN SAİR TOXUCULUQ MƏMULATLARININ İSTEHSALI </t>
  </si>
  <si>
    <t>DƏRİDƏN GEYİM İSTEHSALI </t>
  </si>
  <si>
    <t>XÜSUSİ (İŞ) GEYİMİN İSTEHSALI </t>
  </si>
  <si>
    <t>ÜST GEYİMİN İSTEHSALI </t>
  </si>
  <si>
    <t>ALT PALTARI İSTEHSALI </t>
  </si>
  <si>
    <t>BAŞ GEYİMLƏRİNİN İSTEHSALI </t>
  </si>
  <si>
    <t>SAİR GEYİM VƏ AKSESUARLARIN İSTEHSALI </t>
  </si>
  <si>
    <t>XƏZ MƏMULATLARININ İSTEHSALI </t>
  </si>
  <si>
    <t>TRİKOTAJ CORAB MƏMULATLARININ İSTEHSALI </t>
  </si>
  <si>
    <t>TRİKOTAJ PULOVERLƏRİN, CEMPERLƏRİN VƏ BUNA BƏNZƏR MƏMULATLARIN İSTEHSALI </t>
  </si>
  <si>
    <t>DİGƏR TRİKOTAJ MƏMULATLARININ İSTEHSALI </t>
  </si>
  <si>
    <t>DƏRİNİN AŞILANMASI, RƏNGLƏNMƏSİ VƏ HAZIRLANMASI </t>
  </si>
  <si>
    <t>DƏRİDƏN ÇAMADAN, ÇANTA VƏ DİGƏR MƏMULATLARIN İSTEHSALI </t>
  </si>
  <si>
    <t>GÖN-DƏRİ AYAQQABILARIN İSTEHSALI </t>
  </si>
  <si>
    <t>DİGƏR MATERİALLARDAN OLAN AYAQQABILARIN İSTEHSALI </t>
  </si>
  <si>
    <t>TAXTA-ŞALBANIN KƏSİLMƏSİ VƏ YONULMASI, ODUNCAĞIN HOPDURULMASI </t>
  </si>
  <si>
    <t>ŞPON, FANER VƏ AĞAC LÖVHƏLƏRİN İSTEHSALI </t>
  </si>
  <si>
    <t>YIĞMA PARKET DÖŞƏMƏLƏRİN İSTEHSALI </t>
  </si>
  <si>
    <t>AĞAC TİKİNTİ KONSTRUKSİYALARI VƏ XARRATLIQ MƏMULATLARININ İSTEHSALI </t>
  </si>
  <si>
    <t>TAXTA TARALARIN İSTEHSALI </t>
  </si>
  <si>
    <t>AĞAC VƏ MANTARDAN, NAZİK YONQARLARDAN VƏ HÖRMƏ ÜÇÜN MATERİALLARDAN SAİR MƏMULATLARIN İSTEHSALI </t>
  </si>
  <si>
    <t>KAĞIZ KÜTLƏSİ (SELLÜLOZ ) İSTEHSALI </t>
  </si>
  <si>
    <t>KAĞIZ VƏ KARTON İSTEHSALI </t>
  </si>
  <si>
    <t>BÜZMƏLƏNMİŞ KARTON VƏ KAĞIZ, KARTON VƏ KAĞIZ TARALARIN İSTEHSALI </t>
  </si>
  <si>
    <t>TƏSƏRRÜFAT-MƏİŞƏT VƏ SANİTAR-GİGİYENİYA TƏYİNATLI KAĞIZ MƏMULATLARININ İSTEHSALI </t>
  </si>
  <si>
    <t>DƏFTƏRXANA, KAĞIZ MƏMULATLARININ İSTEHSALI </t>
  </si>
  <si>
    <t>DİVAR KAĞIZLARININ İSTEHSALI </t>
  </si>
  <si>
    <t>KAĞIZ VƏ KARTONDAN SAİR MƏMULATLARIN İSTEHSALI </t>
  </si>
  <si>
    <t>QƏZETLƏRİN ÇAP EDİLMƏSİ </t>
  </si>
  <si>
    <t>DİGƏR POLİQRAFİYA MƏHSULLARININ (QƏZETLƏRDƏN ƏLAVƏ) ÇAP EDİLMƏSİ </t>
  </si>
  <si>
    <t>ÇAP İŞLƏRİNİN YERİNƏ YETİRİLMƏSİ İLƏ ƏLAQƏDAR XİDMƏTLƏR </t>
  </si>
  <si>
    <t>BÜTÜN NÖV QİYMƏTLİ KAĞIZ BLANKLARININ HAZIRLANMASI VƏ SATIŞI ÜZRƏ FƏALİYYƏT </t>
  </si>
  <si>
    <t>CİDDİ HESABAT BLANKLARININ HAZIRLANMASI </t>
  </si>
  <si>
    <t>ÇAP İŞLƏRİNİN HAZIRLANMASI </t>
  </si>
  <si>
    <t>CİLDLƏMƏ VƏ BƏZƏK İŞLƏRİ </t>
  </si>
  <si>
    <t>SƏS YAZILARININ SURƏTİNİN ÇIXARILMASI </t>
  </si>
  <si>
    <t>VİDEOYAZILARIN SURƏTİNİN ÇIXARILMASI </t>
  </si>
  <si>
    <t>MAŞIN DAŞIYICILARININ MƏLUMATLARININ SURƏTİNİN ÇIXARILMASI </t>
  </si>
  <si>
    <t>KOKS İSTEHSALI </t>
  </si>
  <si>
    <t>TƏMİZLƏNMİŞ NEFT MƏHSULLARININ İSTEHSALI, O CÜMLƏDƏN NEFT MƏHSULLARINDAN BRİKETLƏR </t>
  </si>
  <si>
    <t>SƏNAYE QAZLARININ İSTEHSALI </t>
  </si>
  <si>
    <t>BOYAQ MADDƏLƏRİ VƏ PİQMENTLƏRİN İSTEHSALI </t>
  </si>
  <si>
    <t>SAİR ƏSAS QEYRİ-ÜZVİ KİMYƏVİ MADDƏLƏRİN İSTEHSALI </t>
  </si>
  <si>
    <t>SAİR ƏSAS ÜZVİ KİMYƏVİ MADDƏLƏRİN İSTEHSALI </t>
  </si>
  <si>
    <t>GÜBRƏ VƏ AZOT BİRLƏŞMƏLƏRİNİN İSTEHSALI </t>
  </si>
  <si>
    <t>İLKİN FORMALARDA PLASTİK KÜTLƏ İSTEHSALI </t>
  </si>
  <si>
    <t>İLKİN FORMADA SİNTETİK KAUÇUK İSTEHSALI </t>
  </si>
  <si>
    <t>AQROKİMYƏVİ MƏHSULLARIN İSTEHSALI </t>
  </si>
  <si>
    <t>BOYA, LAK VƏ BUNA BƏNZƏR ÖRTÜKLƏRİN, MƏTBƏƏ BOYALARININ VƏ MASTİKALARIN İSTEHSALI </t>
  </si>
  <si>
    <t>SABUN VƏ YUYUCU TOZLARIN, TƏMİZLƏYİCİ VƏ CİLALAYICI VASİTƏLƏRİN İSTEHSALI </t>
  </si>
  <si>
    <t>ƏTRİYYAT VƏ KOSMETİKA VASİTƏLƏRİNİN İSTEHSALI </t>
  </si>
  <si>
    <t>PARTLAYICI MADDƏLƏRİN İSTEHSALI </t>
  </si>
  <si>
    <t>YAPIŞQAN İSTEHSALI </t>
  </si>
  <si>
    <t>EFİR YAĞLARININ İSTEHSALI </t>
  </si>
  <si>
    <t>FOTOMATERİALLARIN İSTEHSALI </t>
  </si>
  <si>
    <t>DİGƏR QRUPLARA DAXİL EDİLMƏMİŞ SAİR KİMYƏVİ MƏHSULLARIN İSTEHSALI </t>
  </si>
  <si>
    <t>SÜNİ VƏ SİNTETİK KİMYƏVİ LİFLƏRİN İSTEHSALI </t>
  </si>
  <si>
    <t>ƏSAS ƏCZAÇILIQ MƏHSULLARININ İSTEHSALI </t>
  </si>
  <si>
    <t>ƏCZAÇILIQ PREPARATLARININ VƏ MATERİALLARININ İSTEHSALI </t>
  </si>
  <si>
    <t>REZİN ŞİN TƏKƏR VƏ KAMERALARIN İSTEHSALI VƏ BƏRPASI </t>
  </si>
  <si>
    <t>REZİNDƏN SƏNAYE TƏYİNATLI MƏHSULLARIN VƏ YARIMFABRİKATLARIN İSTEHSALI </t>
  </si>
  <si>
    <t>REZİN MƏMULATLARIN İSTEHSALI </t>
  </si>
  <si>
    <t>MÜXTƏLİF NÖV MÖHÜRLƏRİN VƏ ŞTAMPLARIN HAZIRLANMASI </t>
  </si>
  <si>
    <t>PLASTİK LÖVHƏLƏRİN, ZOLAQLARIN, BORULARIN, PROFİLLƏRİN İSTEHSALI </t>
  </si>
  <si>
    <t>ƏMTƏƏLƏRİN QABLAŞDIRILMASI ÜÇÜN PLASTİK MƏMULATLARIN İSTEHSALI </t>
  </si>
  <si>
    <t>TİKİNTİDƏ İSTİFADƏ EDİLƏN PLASTİK KÜTLƏDƏN MƏMULATLARIN İSTEHSALI </t>
  </si>
  <si>
    <t>SAİR PLASTİK MƏMULATLARIN İSTEHSALI </t>
  </si>
  <si>
    <t>ŞÜŞƏ TƏBƏQƏSİNİN İSTEHSALI </t>
  </si>
  <si>
    <t>ŞÜŞƏ TƏBƏQƏSİNİN FORMALAŞDIRILMASI VƏ EMALI </t>
  </si>
  <si>
    <t>İÇİBOŞ ŞÜŞƏ MƏMULATLARININ İSTEHSALI </t>
  </si>
  <si>
    <t>ŞÜŞƏ LİFİN İSTEHSALI </t>
  </si>
  <si>
    <t>TEXNİKİ ŞÜŞƏ MƏMULATLARI DAXİL OLMAQLA SAİR ŞÜŞƏ MƏMULATLARIN İSTEHSALI VƏ EMALI </t>
  </si>
  <si>
    <t>ODADAVAMLI MƏMULATLARIN İSTEHSALI </t>
  </si>
  <si>
    <t>SAXSI LÖVHƏCİKLƏRİN VƏ LÖVHƏLƏRİN İSTEHSALI </t>
  </si>
  <si>
    <t>KƏRPİC, KİRƏMİT VƏ YANDIRILMIŞ GİLDƏN SAİR TİKİNTİ MƏMULATLARININ İSTEHSALI </t>
  </si>
  <si>
    <t>TƏSƏRRÜFAT VƏ DEKORATİV SAXSI MƏMULATLARIN IN İSTEHSALI </t>
  </si>
  <si>
    <t>SAXSI SANİTAR -TEXNİKİ MƏMULATLARIN İSTEHSALI </t>
  </si>
  <si>
    <t>SAXSI İZOLYATORLARIN VƏ SAXSI İZOLYASİYA ARMATURUNUN İSTEHSALI </t>
  </si>
  <si>
    <t>SAİR TEXNİKİ SAXSI MƏMULATLARIN İSTEHSALI </t>
  </si>
  <si>
    <t>SAİR SAXSI MƏMULATLARIN İSTEHSALI </t>
  </si>
  <si>
    <t>SEMENT İSTEHSALI </t>
  </si>
  <si>
    <t>ƏHƏNG VƏ GİPS İSTEHSALI </t>
  </si>
  <si>
    <t>TİKİNTİDƏ İSTİFADƏ ETMƏK ÜÇÜN BETONDAN MƏMULATLARIN İSTEHSALI </t>
  </si>
  <si>
    <t>TİKİNTİDƏ İSTİFADƏ ETMƏK ÜÇÜN GİPS MƏMULATLARININ İSTEHSALI </t>
  </si>
  <si>
    <t>ƏMTƏƏ BETONUNUN İSTEHSALI (HAZIR BETON QARIŞIĞI) </t>
  </si>
  <si>
    <t>QURU BETON QATIŞIĞININ İSTEHSALI </t>
  </si>
  <si>
    <t>LİFLİ SEMENTDƏN (AZBESTSEMENTDƏN) MƏMULATLARIN İSTEHSALI </t>
  </si>
  <si>
    <t>BETON, GİPS VƏ SEMENTDƏN SAİR MƏMULATLARIN İSTEHSALI </t>
  </si>
  <si>
    <t>DEKORATİV VƏ TİKİNTİ DAŞLARININ KƏSİLMƏSİ, EMALI VƏ NAXIŞLANMASI </t>
  </si>
  <si>
    <t>ABRAZİV MƏMULATLARIN İSTEHSALI </t>
  </si>
  <si>
    <t>DİGƏR QRUPLARA DAXİL EDİLMƏYƏN SAİR QEYRİ-METAL MİNERAL MƏHSULLARIN İSTEHSALI </t>
  </si>
  <si>
    <t>ÇUQUN, POLAD VƏ FERROƏRİNTİ İSTEHSALI </t>
  </si>
  <si>
    <t>POLADDAN BORU, İÇİ BOŞ PROFİLLƏR VƏ BİRLƏŞDİRİCİ HİSSƏLƏRİN İSTEHSALI </t>
  </si>
  <si>
    <t>SOYUQ DARTMA </t>
  </si>
  <si>
    <t>ENSİZ ZOLAQLARIN VƏ LENTLƏRİN SOYUQ YAYILMASI </t>
  </si>
  <si>
    <t>MƏHSULLARIN SOYUQ ŞƏKİLDƏ ŞTAMPLANMASI VƏ ƏYİLMƏSİ </t>
  </si>
  <si>
    <t>MƏFTİL İSTEHSALI </t>
  </si>
  <si>
    <t>NƏCİB (QİYMƏTLİ) METALLARIN İSTEHSALI </t>
  </si>
  <si>
    <t>ALÜMİNİUM İSTEHSALI </t>
  </si>
  <si>
    <t>QURĞUŞUN, SİNK VƏ QALAY İSTEHSALI </t>
  </si>
  <si>
    <t>MİS İSTEHSALI </t>
  </si>
  <si>
    <t>SAİR ƏLVAN METALLARIN İSTEHSALI </t>
  </si>
  <si>
    <t>NÜVƏ YANACAĞININ EMALI </t>
  </si>
  <si>
    <t>ÇUQUN TÖKMƏ </t>
  </si>
  <si>
    <t>POLAD TÖKMƏ </t>
  </si>
  <si>
    <t>YÜNGÜL METALLARIN TÖKÜLMƏSİ </t>
  </si>
  <si>
    <t>SAİR ƏLVAN METALLARIN TÖKÜLMƏSİ </t>
  </si>
  <si>
    <t>METALDAN TİKİNTİ KONSTRUKSİYALARI VƏ ONLARIN HİSSƏLƏRİNİN İSTEHSALI </t>
  </si>
  <si>
    <t>METAL QAPI VƏ PƏNCƏRƏLƏRİN İSTEHSALI </t>
  </si>
  <si>
    <t>MƏRKƏZİ İSTİLİK RADİATORLARININ VƏ QAZANLARININ İSTEHSALI </t>
  </si>
  <si>
    <t>METALDAN SAİR SİSTERNLƏRİN, ÇƏNLƏRİN VƏ KONTEYNERLƏRİN İSTEHSALI </t>
  </si>
  <si>
    <t>MƏRKƏZİ İSTİLİK QAZANLARINDAN BAŞQA BUXAR QAZANLARININ İSTEHSALI </t>
  </si>
  <si>
    <t>SİLAH VƏ HƏRBİ SURSAT İSTEHSALI </t>
  </si>
  <si>
    <t>METALIN DÖYÜLMƏSİ, PRESLƏNMƏSİ, ŞTAMPLANMASI VƏ PROFİLLƏNMƏSİ, TOZ METALLURGİYASI </t>
  </si>
  <si>
    <t>METALLARIN EMALI VƏ METALLARA ÖRTÜK ÇƏKİLMƏSİ </t>
  </si>
  <si>
    <t>MAŞINQAYIRMANIN ƏSAS TEXNOLOJİ PROSESLƏRİ </t>
  </si>
  <si>
    <t>BIÇAQ MƏMULATLARININ İSTEHSALI </t>
  </si>
  <si>
    <t>QIFIL VƏ HƏNCAMA İSTEHSALI </t>
  </si>
  <si>
    <t>ALƏTLƏRİN İSTEHSALI </t>
  </si>
  <si>
    <t>METAL ÇƏLLƏKLƏRİN VƏ BUNA BƏNZƏR TUTUMLULARIN İSTEHSALI </t>
  </si>
  <si>
    <t>YÜNGÜL METALLARDAN QABLAŞDIRMA MATERİALLARININ İSTEHSALI </t>
  </si>
  <si>
    <t>MƏFTİL MƏMULATLARININ İSTEHSALI </t>
  </si>
  <si>
    <t>BƏRKİDİCİ MƏMULATLARIN, ZƏNCİRLƏRİN VƏ YAYLARIN İSTEHSALI </t>
  </si>
  <si>
    <t>SAİR HAZIR METAL MƏMULATLARININ İSTEHSALI </t>
  </si>
  <si>
    <t>ELEKTRON DETALLARININ İSTEHSALI </t>
  </si>
  <si>
    <t>ELEKTRON PLATALARININ İSTEHSALI </t>
  </si>
  <si>
    <t>KOMPYUTERLƏRİN VƏ PERİFERİYA QURĞULARININ İSTEHSALI </t>
  </si>
  <si>
    <t>ELEKTRO VƏ RADİOELEMENTLƏRİN İSTEHSALI </t>
  </si>
  <si>
    <t>ÖTÜRÜCÜ CİHAZLARIN İSTEHSALI </t>
  </si>
  <si>
    <t>SƏSİ VƏ TƏSVİRİ QƏBUL ETMƏK, YAZMAQ VƏ GÖSTƏRMƏK ÜÇÜN CİHAZLARIN İSTEHSALI 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</si>
  <si>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</si>
  <si>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MƏİŞƏT ELEKTRON AVADANLIQLARININ İSTEHSALI </t>
  </si>
  <si>
    <t>NƏZARƏT-ÖLÇÜ CİHAZLARININ İSTEHSALI </t>
  </si>
  <si>
    <t>BÜTÜN NÖVLƏRDƏN OLAN SAATLARIN İSTEHSALI </t>
  </si>
  <si>
    <t>ŞÜALANDIRMA, ELEKTRİK TİBB VƏ ELEKTROTERAPİYA AVADANLIQLARI </t>
  </si>
  <si>
    <t>OPTİK CİHAZLARIN VƏ FOTOAVADANLIQLARIN İSTEHSALI </t>
  </si>
  <si>
    <t>MAQNİT VƏ OPTİK DAŞIYICILARIN İSTEHSALI </t>
  </si>
  <si>
    <t>ELEKTRİK MÜHƏRRİKLƏRİNİN, GENERATORLARININ VƏ TRANSFORMATORLARIN İSTEHSALI </t>
  </si>
  <si>
    <t>ELEKTRİK MÜHƏRRİKLƏRİNİN, GENERATORLARININ VƏ TRANSFORMATORLARININ TƏMİRİ </t>
  </si>
  <si>
    <t>ELEKTRİK PAYLAYICI VƏ TƏNZİMLƏYİCİ CİHAZLARININ İSTEHSALI </t>
  </si>
  <si>
    <t>BATAREYALARIN VƏ AKKUMULYATORLARIN İSTEHSALI </t>
  </si>
  <si>
    <t>OPTİK LİFLƏRDƏN KABEL İSTEHSALI </t>
  </si>
  <si>
    <t>DİGƏR ELEKTRON VƏ ELEKTRİK NAQİLLƏRİNİN VƏ KABELLƏRİN İSTEHSALI </t>
  </si>
  <si>
    <t>ELEKTRİK ŞƏBƏKƏLƏRİ ÜÇÜN CİHAZLARIN İSTEHSALI </t>
  </si>
  <si>
    <t>ELEKTRİK LAMPALARI VƏ İŞIQLANDIRICI AVADANLIQLARIN İSTEHSALI </t>
  </si>
  <si>
    <t>ELEKTRİK MƏİŞƏT CİHAZLARININ İSTEHSALI </t>
  </si>
  <si>
    <t>ELEKTRİK QIZDIRICI MƏİŞƏT CİHAZLARININ İSTEHSALI </t>
  </si>
  <si>
    <t>QEYRİ-ELEKTRİK MƏİŞƏT CİHAZLARININ İSTEHSALI </t>
  </si>
  <si>
    <t>SAİR ELEKTRİK AVADANLIQLARININ İSTEHSALI </t>
  </si>
  <si>
    <t>TƏYYARƏ, AVTOMOBİL VƏ MOTOSİKLET MÜHƏRRİKLƏRİNDƏN BAŞQA, MÜHƏRRİKLƏRİN VƏ TURBİNLƏRİN İSTEHSALI </t>
  </si>
  <si>
    <t>HİDRAVLİK VƏ PNEVMATİK SİSTEMLƏRİN İSTEHSALI </t>
  </si>
  <si>
    <t>NASOS VƏ KOMPRESSORLARIN İSTEHSALI </t>
  </si>
  <si>
    <t>KRAN VƏ KLAPANLARIN İSTEHSALI </t>
  </si>
  <si>
    <t>ÖTÜRÜCÜLƏRİN VƏ MEXANİKİ ÖTÜRÜCÜ ELEMENTLƏRİN, DİŞLİ ÖTÜRÜCÜLƏRİN VƏ YASTIQLARIN İSTEHSALI </t>
  </si>
  <si>
    <t>SOBALAR VƏ SOBA ODLUQLARININ İSTEHSALI </t>
  </si>
  <si>
    <t>QALDIRICI NƏQLİYYAT AVADANLIĞININ İSTEHSALI </t>
  </si>
  <si>
    <t>KOMPYUTER VƏ PEREFERİYA AVADANLIQLARINDAN BAŞQA OFİS AVADANLIQLARININ İSTEHSALI </t>
  </si>
  <si>
    <t>MEXANİKİ ÖTÜRÜCÜLÜ CİHAZLARIN İSTEHSALI </t>
  </si>
  <si>
    <t>QEYRİ-MƏİŞƏT SOYUDUCULARI VƏ VENTİLYASİYA AVADANLIQLARININ İSTEHSALI  </t>
  </si>
  <si>
    <t>DİGƏR QRUPLARA DAXİL EDİLMƏYƏN ÜMUMİ TƏYİNATLI SAİR MAŞIN VƏ AVADANLIQLARIN İSTEHSALI </t>
  </si>
  <si>
    <t>KƏND VƏ MEŞƏ TƏSƏRRÜFATI TRAKTORLARININ VƏ ONLARA HİSSƏLƏRİN İSTEHSALI  </t>
  </si>
  <si>
    <t>KƏND TƏSƏRRÜFATI VƏ MEŞƏ TƏSƏRRÜFATI TRAKTORLARININ TƏMİRİ </t>
  </si>
  <si>
    <t>METALKƏSİCİ AVADANLIQLARIN İSTEHSALI </t>
  </si>
  <si>
    <t>SAİR DƏZGAHLARIN İSTEHSALI </t>
  </si>
  <si>
    <t>METALLURGİYA ÜÇÜN MAŞIN VƏ AVADANLIQLARIN İSTEHSALI  </t>
  </si>
  <si>
    <t>METALLURGİYA ÜÇÜN MAŞIN VƏ AVADANLIQLARIN TƏMİRİ </t>
  </si>
  <si>
    <t>DAĞ-MƏDƏN ÇIXARMA, NEFTÇIXARMA SƏNAYESİ, KARXANA İŞLƏRİ VƏ TİKİNTİ ÜÇÜN MAŞIN VƏ AVADANLIQLARIN İSTEHSALI  </t>
  </si>
  <si>
    <t>İÇKİ VƏ TÜTÜN MƏMULATLARI DA DAXİL OLMAQLA QİDA MƏHSULLARININ HAZIRLANMASI ÜÇÜN MAŞIN VƏ AVADANLIQLARIN İSTEHSALI </t>
  </si>
  <si>
    <t>TOXUCULUQ, TİKİŞ, XƏZ VƏ DƏRİ MƏMULATLARININ HAZIRLANMASI ÜÇÜN MAŞIN VƏ AVADANLIQLARIN İSTEHSALI </t>
  </si>
  <si>
    <t>KAĞIZ VƏ KARTONUN HAZIRLANMASI ÜÇÜN MAŞIN VƏ AVADANLIQLARIN İSTEHSALI </t>
  </si>
  <si>
    <t>PLASTİK KÜTLƏ VƏ REZİNİN EMALI ÜÇÜN MAŞIN VƏ AVADANLIQLARIN İSTEHSALI </t>
  </si>
  <si>
    <t>DİGƏR QRUPLARA DAXİL EDİLMƏYƏN XÜSUSİ TƏYİNATLI SAİR MAŞIN VƏ AVADANLIQLARIN İSTEHSALI </t>
  </si>
  <si>
    <t>YANĞINSÖNDÜRMƏ LƏVAZİMATININ, İLKİN YANĞINSÖNDÜRMƏ VASİTƏLƏRİNİN TƏMİRİ VƏ ONLARA XİDMƏT, YANĞINSÖNDÜRMƏ VASİTƏLƏRİNİN KEYFİYYƏTİNİN BƏRPASI </t>
  </si>
  <si>
    <t>AVTOMOBİLLƏRİN İSTEHSALI </t>
  </si>
  <si>
    <t>YANĞINSÖNDÜRMƏ TEXNİKASI MƏHSULUNUN İSTEHSALI VƏ ALINMASI, SINAQLARIN KEÇİRİLMƏSİ </t>
  </si>
  <si>
    <t>AVTOMOBİL MÜHƏRRİKLƏRİNİN İSTEHSALI </t>
  </si>
  <si>
    <t>AVTOMOBİLLƏR ÜÇÜN GÖVDƏLƏRİN (KUZOVLARIN) İSTEHSALI, QOŞQU VƏ YARIMQOŞQULARIN İSTEHSALI </t>
  </si>
  <si>
    <t>AVTOMOBİLLƏR ÜÇÜN ELEKTRON VƏ ELEKTRİK AVADANLIQLARININ İSTEHSALI </t>
  </si>
  <si>
    <t>AVTOMOBİLLƏR ÜÇÜN DİGƏR HİSSƏLƏRİN VƏ LƏVAZİMATLARIN İSTEHSALI </t>
  </si>
  <si>
    <t>GƏMİLƏRİN VƏ ÜZƏN QURĞULARIN QAYIRILMASI </t>
  </si>
  <si>
    <t>TURİST-İDMAN GƏMİLƏRİNİN QAYIRILMASI </t>
  </si>
  <si>
    <t>DƏMİR YOLU NƏQLİYYATI VASİTƏLƏRİNİN İSTEHSALI </t>
  </si>
  <si>
    <t>KOSMİK APARATLAR DA DAXİL OLMAQLA UÇAN APARATLARIN İSTEHSALI  </t>
  </si>
  <si>
    <t>HƏRBİ AVTOMOBİLLƏRİN İSTEHSALI </t>
  </si>
  <si>
    <t>MOTOSİKLETLƏRİN İSTEHSALI </t>
  </si>
  <si>
    <t>VELOSİPEDLƏRİN VƏ ƏLİL ARABALARININ, ONLARA HİSSƏLƏRİN İSTEHSALI </t>
  </si>
  <si>
    <t>DİGƏR QRUPLARA DAXİL EDİLMƏYƏN SAİR NƏQLİYYAT VASİTƏLƏRİ VƏ AVADANLIQLARININ İSTEHSALI </t>
  </si>
  <si>
    <t>OFİS VƏ TİCARƏT MÜƏSSİSƏLƏRİ ÜÇÜN MEBELLƏRİN İSTEHSALI  </t>
  </si>
  <si>
    <t>MƏTBƏX MEBELLƏRİNİN İSTEHSALI </t>
  </si>
  <si>
    <t>DÖŞƏKLƏRİN İSTEHSALI </t>
  </si>
  <si>
    <t>SAİR MEBELLƏRİN İSTEHSALI </t>
  </si>
  <si>
    <t>SİKKƏLƏRİN VƏ MEDALLARIN KƏSİLMƏSİ </t>
  </si>
  <si>
    <t>ZƏRGƏRLİK MƏMULATLARININ İSTEHSALI </t>
  </si>
  <si>
    <t>AZQİYMƏTLİ MATERİALLARDAN ZƏRGƏRLİK MƏMULATININ İSTEHSALI (SÜNİ DAŞ-QAŞLARIN) İSTEHSALI  </t>
  </si>
  <si>
    <t>MUSİQİ ALƏTLƏRİNİN İSTEHSALI </t>
  </si>
  <si>
    <t>İDMAN MALLARININ İSTEHSALI </t>
  </si>
  <si>
    <t>OYUN VƏ OYUNCAQLARIN İSTEHSALI  </t>
  </si>
  <si>
    <t>TİBBİ VƏ STOMOTOLOGİYA PRAKTİKASINDA TƏTBİQ OLUNAN ALƏTLƏRİN İSTEHSALI </t>
  </si>
  <si>
    <t>SÜPÜRGƏ VƏ ŞOTKA İSTEHSALI </t>
  </si>
  <si>
    <t>DİGƏR QRUPLARA DAXİL EDİLMƏYƏN SAİR MƏHSULLARIN İSTEHSALI </t>
  </si>
  <si>
    <t>HAZIR METAL MƏMULATLARININ TƏMİRİ </t>
  </si>
  <si>
    <t>MAŞIN VƏ AVADANLIQLARIN TƏMİRİ </t>
  </si>
  <si>
    <t>ELEKTRON VƏ OPTİK AVADANLIQLARIN TƏMİRİ </t>
  </si>
  <si>
    <t>ELEKTRİK AVADANLIQLARININ TƏMİRİ </t>
  </si>
  <si>
    <t>GƏMİLƏRİN TƏMİRİ VƏ ONLARA TEXNİKİ XİDMƏT </t>
  </si>
  <si>
    <t>KOSMİK APARATLAR DA DAXİL OLMAQLA UÇUŞ APARATLARININ TƏMİRİ VƏ ONLARA TEXNİKİ XİDMƏT </t>
  </si>
  <si>
    <t>DİGƏR NƏQLİYYAT VASİTƏLƏRİNİN TƏMİRİ VƏ ONLARA TEXNİKİ XİDMƏT </t>
  </si>
  <si>
    <t>DİGƏR AVADANLIQLARIN TƏMİRİ </t>
  </si>
  <si>
    <t>SƏNAYE MAŞIN VƏ AVADANLIQLARININ QURAŞDIRILMASI </t>
  </si>
  <si>
    <t>ELEKTRİK ENERJİSİNİN İSTEHSALI </t>
  </si>
  <si>
    <t>ELEKTRİK ENERJİSİNİN ÖTÜRÜLMƏSİ </t>
  </si>
  <si>
    <t>ELEKTRİK ENERJİSİNİN BÖLÜŞDÜRÜLMƏSİ </t>
  </si>
  <si>
    <t>ELEKTRİK ENERJİSİNİN SATIŞI </t>
  </si>
  <si>
    <t>QAZIN İSTEHSALI </t>
  </si>
  <si>
    <t>QAZABƏNZƏR YANACAĞIN QAZ TƏCHİZATI ŞƏBƏKƏLƏRİ VASİTƏSİLƏ BÖLÜŞDÜRÜLMƏSİ </t>
  </si>
  <si>
    <t>QAZABƏNZƏR YANACAĞIN QAZ TƏCHİZATI ŞƏBƏKƏLƏRİ VASİTƏSİLƏ SATIŞI </t>
  </si>
  <si>
    <t>QAZ MƏHSULLARININ SATIŞI </t>
  </si>
  <si>
    <t>BUXAR VƏ KONDİSİYALANMIŞ HAVA İLƏ TƏCHİZAT </t>
  </si>
  <si>
    <t>SUYUN YIĞILMASI, TƏMİZLƏNMƏSİ VƏ PAYLANMASI </t>
  </si>
  <si>
    <t>ÇİRKLİ SULARIN YIĞILMASI VƏ EMALI </t>
  </si>
  <si>
    <t>TƏHLÜKƏSİZ TULLANTILARIN YIĞILMASI </t>
  </si>
  <si>
    <t>TƏHLÜKƏLİ TULLANTILARIN YIĞILMASI </t>
  </si>
  <si>
    <t>TƏHLÜKƏSİZ TULLANTILARIN EMALI VƏ LƏĞV EDİLMƏSİ </t>
  </si>
  <si>
    <t>TƏHLÜKƏLİ TULLANTILARIN EMALI VƏ LƏĞV EDİLMƏSİ </t>
  </si>
  <si>
    <t>SINIQ ƏŞYALARIN SÖKÜLMƏSİ </t>
  </si>
  <si>
    <t>ÇEŞİDLƏŞDİRİLMİŞ MATERİALLARDAN BAŞQA MƏQSƏDLƏ İSTİFADƏ EDİLMƏSİ (TƏKRAR XAMMALIN ALINMASI) </t>
  </si>
  <si>
    <t>DİGƏR TULLANTILARIN YIĞILMASI VƏ MƏHV EDİLMƏSİ </t>
  </si>
  <si>
    <t>SANİTAR, DƏRMAN VƏ OXŞAR XİDMƏTLƏR </t>
  </si>
  <si>
    <t>RADİOAKTİV VƏ İONİZƏ ŞÜALARI VERƏN MADDƏLƏRİN TULLANTILARININ SAXLANMASI VƏ BASDIRILMASI </t>
  </si>
  <si>
    <t>TOKSİKİ İSTEHSALAT TULLANTILARININ ÜTİLİZASİYASI VƏ ZƏRƏRSİZLƏŞDİRİLMƏSİ </t>
  </si>
  <si>
    <t>ƏLVAN METAL, TƏRKİBİNDƏ QİYMƏTLİ METALLAR VƏ DAŞLAR OLAN SƏNAYE VƏ İSTEHSALAT TULLANTILARININ TƏDARÜKÜ, EMALI VƏ SATIŞI </t>
  </si>
  <si>
    <t>TƏCRÜBƏ-TİKİNTİ İŞLƏRİ </t>
  </si>
  <si>
    <t>YAŞAYIŞ VƏ QEYRİ-YAŞAYIŞ BİNALARININ TİKİNTİSİ </t>
  </si>
  <si>
    <t>MƏNZİL TİKİNTİSİ </t>
  </si>
  <si>
    <t>AVTOMOBİL YOLLARI, YOLLAR VƏ KÜÇƏLƏRİN SALINMASI </t>
  </si>
  <si>
    <t>DƏMİR YOLLARI VƏ YERALTI DƏMİR YOLLARININ TİKİNTİSİ </t>
  </si>
  <si>
    <t>KÖRPÜ VƏ TUNELLƏRİN TİKİNTİSİ </t>
  </si>
  <si>
    <t>MAYE VƏ TƏBİİ QAZ TƏSƏRRÜFATI OBYEKTLƏRİNİN QURAŞDIRILMASI VƏ İSTİSMARI </t>
  </si>
  <si>
    <t>ENERGETİKA OBYEKTLƏRİNİN, AVADANLIQLARIN VƏ QURĞULARIN QURAŞDIRILMASI, SAZLANMASI VƏ TƏMİRİ </t>
  </si>
  <si>
    <t>YANĞINDAN MÜHAFİZƏ BİNALARININ, QURĞULARININ, OTAQLARININ TİKİLMƏSİ, YENİDƏN QURULMASI VƏ TƏMİRİ </t>
  </si>
  <si>
    <t>BORU KƏMƏRLƏRİNİN TİKİNTİSİ </t>
  </si>
  <si>
    <t>RABİTƏ VƏ ELEKTRİK XƏTLƏRİNİN ÇƏKİLMƏSİ </t>
  </si>
  <si>
    <t>SU QURĞULARININ TİKİNTİSİ </t>
  </si>
  <si>
    <t>DİGƏR MÜLKÜ TİKİNTİLƏR </t>
  </si>
  <si>
    <t>BİNALARIN SÖKÜLMƏSİ </t>
  </si>
  <si>
    <t>DAĞ-MƏDƏN İŞLƏRİ, DAĞ VƏ BURUQ QAZMALARININ APARILMASI </t>
  </si>
  <si>
    <t>TİKİNTİ SAHƏSİNİN HAZIRLANMASI </t>
  </si>
  <si>
    <t>KƏŞFİYYAT QAZINTISI </t>
  </si>
  <si>
    <t>ELEKTRİK QURAŞDIRMA İŞLƏRİ </t>
  </si>
  <si>
    <t>LİFT VƏ ESKALATORLARIN QURAŞDIRILMASI </t>
  </si>
  <si>
    <t>YANĞINDAN MÜHAFİZƏ SİSTEMLƏRİNİN VƏ VASİTƏLƏRİNİN QURAŞDIRILMASI, TEXNİKİ XİDMƏTİ VƏ TƏMİRİ </t>
  </si>
  <si>
    <t>SANİTAR-TEXNİKİ İŞLƏRİ, İSTİLİK VƏ HAVANIN KONDİSİYALANDIRILMASI SİSTEMLƏRİNİN QURAŞDIRILMASI </t>
  </si>
  <si>
    <t>AVTOMATİK YANĞINSÖNDÜRMƏ SİSTEMLƏRİ </t>
  </si>
  <si>
    <t>SAİR MÜHƏNDİS AVADANLIQLARININ QURAŞDIRILMASI </t>
  </si>
  <si>
    <t>SUVAQ İŞLƏRİ </t>
  </si>
  <si>
    <t>XARRATLIQ VƏ DÜLGƏRLİK İŞLƏRİ </t>
  </si>
  <si>
    <t>DÖŞƏMƏ ÖRTÜYÜNÜN QURULMASI VƏ DİVARA ÖRTÜYÜN ÇƏKİLMƏSİ </t>
  </si>
  <si>
    <t>RƏNGLƏMƏ VƏ ŞÜŞƏ SALMA İŞLƏRİ </t>
  </si>
  <si>
    <t>SAİR BƏZƏK VƏ TAMAMLAYICI TİKİNTİ İŞLƏRİ </t>
  </si>
  <si>
    <t>BİNA VƏ TİKİLİLƏRİN ÖRTÜKLƏRİNİN QURAŞDIRILMASI </t>
  </si>
  <si>
    <t>DİGƏR QRUPLARA DAXİL EDİLMƏYƏN İXTİSASLAŞDIRILMIŞ TİKİNTİ İŞLƏRİ </t>
  </si>
  <si>
    <t>AVTOMOBİLLƏRİN VƏ MİNİK AVTOMOBİL VASİTƏLƏRİNİN TOPDAN SATIŞI </t>
  </si>
  <si>
    <t>AVTOMOBİLLƏRİN VƏ MİNİK AVTOMOBİL VASİTƏLƏRİNİN PƏRAKƏNDƏ SATIŞI </t>
  </si>
  <si>
    <t>SAİR AVTOMOBİL VASİTƏLƏRİNİN SATIŞI </t>
  </si>
  <si>
    <t>AVTOMOBİLLƏRƏ TEXNİKİ XİDMƏT GÖSTƏRİLMƏSİ VƏ ONLARIN TƏMİRİ </t>
  </si>
  <si>
    <t>AVTOMOBİLLƏR ÜÇÜN HİSSƏLƏRİN, QOVŞAQLARIN VƏ LƏVAZİMATIN TOPDAN SATIŞI </t>
  </si>
  <si>
    <t>AVTOMOBİLLƏR ÜÇÜN HİSSƏLƏRİN, QOVŞAQLARIN VƏ LƏVAZİMATLARIN PƏRAKƏNDƏ SATIŞI </t>
  </si>
  <si>
    <t>MOTOSİKLETLƏRİN, ONLARIN HİSSƏLƏRİNİN, QOVŞAQLARININ VƏ LƏVAZİMATLARININ SATIŞI, MOTOSİKLETLƏRƏ TEXNİKİ XİDMƏT VƏ TƏMİRİ </t>
  </si>
  <si>
    <t>KƏND TƏSƏRRÜFATI XAMMALLARININ, DİRİ HEYVANLARIN, TOXUCULUQ XAMMALININ VƏ YARIMFABRİKATLARIN TOPDAN SATIŞI ÜZRƏ AGENTLİK FƏALİYYƏTİ </t>
  </si>
  <si>
    <t>YANACAQ, FİLİZ, METAL VƏ KİMYƏVİ VASİTƏLƏRİN TOPDAN SATIŞI ÜZRƏ AGENTLİK FƏALİYYƏTİ  </t>
  </si>
  <si>
    <t>AĞAC VƏ TİKİNTİ MATERİALLARININ TOPDAN SATIŞI ÜZRƏ AGENTLİK FƏALİYYƏTİ </t>
  </si>
  <si>
    <t>MAŞIN, SƏNAYE AVADANLIĞI, GƏMİ VƏ UÇAN APARATLARIN TOPDAN SATIŞI ÜZRƏ AGENTLİK FƏALİYYƏTİ </t>
  </si>
  <si>
    <t>MEBEL, MƏİŞƏT MALLARI, DƏMİR MƏMULATI VƏ SAİR METAL MƏMULATLARIN TOPDAN SATIŞI ÜZRƏ AGENTLİK FƏALİYYƏTİ </t>
  </si>
  <si>
    <t>PARÇA, GEYİM, AYAQQABI XƏZ VƏ DƏRİ MƏMULATLARININ TOPDAN SATIŞI ÜZRƏ AGENTLİK FƏALİYYƏTİ </t>
  </si>
  <si>
    <t>İÇKİ VƏ TÜTÜN MƏMULATLARI DA DAXİL OLMAQLA ƏRZAQ MALLARININ TOPDAN SATIŞI ÜZRƏ AGENTLİK FƏALİYYƏTİ </t>
  </si>
  <si>
    <t>ETİL (YEYİNTİ) SPİRTİNİN VƏ ALKOQOLLU İÇKİLƏRİN İDXALI </t>
  </si>
  <si>
    <t>TÜTÜN MƏMULATININ İDXALI </t>
  </si>
  <si>
    <t>ETİL (YEYİNTİ) SPİRTİNİN VƏ ALKOQOLLU İÇKİLƏRİN TOPDAN SATIŞI </t>
  </si>
  <si>
    <t>TÜTÜN MƏMULATLARININ TOPDAN SATIŞI </t>
  </si>
  <si>
    <t>AYRI-AYRI MƏHSULLARIN VƏ YA MƏHSUL QRUPLARININ TOPDAN SATIŞI ÜZRƏ İXTİSASLAŞMIŞ AGENTLİK FƏALİYYƏTİ </t>
  </si>
  <si>
    <t>GENİŞ ÇEŞİDLİ MALLARIN TOPDAN SATIŞI ÜZRƏ AGENTLİK FƏALİYYƏTİ </t>
  </si>
  <si>
    <t>TAXILIN, EMAL OLUNMAMIŞ TÜTÜNÜN, TOXUMLARIN VƏ HEYVANLAR ÜÇÜN YEMİN TOPDAN SATIŞI </t>
  </si>
  <si>
    <t>GÜLLƏRİN VƏ DİGƏR BİTKİLƏRİN TOPDAN SATIŞI </t>
  </si>
  <si>
    <t>DİRİ HEYVANLARIN TOPDAN SATIŞI </t>
  </si>
  <si>
    <t>DƏRİ VƏ GÖNÜN TOPDAN SATIŞI </t>
  </si>
  <si>
    <t>MEYVƏ VƏ TƏRƏVƏZİN TOPDAN SATIŞI </t>
  </si>
  <si>
    <t>ƏT VƏ ƏT MƏHSULLARININ TOPDAN SATIŞI </t>
  </si>
  <si>
    <t>SÜD MƏHSULLARI, YUMURTA, YEYİNTİ YAĞLARI VƏ PİYLƏRİNİN TOPDAN SATIŞI </t>
  </si>
  <si>
    <t>ALKOQOLLU VƏ DİGƏR İÇKİLƏRİN TOPDAN SATIŞI </t>
  </si>
  <si>
    <t>ŞƏKƏR, ŞOKOLAD VƏ QƏNNADI MƏMULATLARININ TOPDAN SATIŞI </t>
  </si>
  <si>
    <t>KOFE, ÇAY, KAKAO VƏ ƏDVİYYATIN TOPDAN SATIŞI </t>
  </si>
  <si>
    <t>BALIQ, XƏRÇƏNGKİMİLƏR VƏ MOLYUCKALAR DA DAXİL OLMAQLA SAİR ƏRZAQ MƏHSULLARININ TOPDAN SATIŞI </t>
  </si>
  <si>
    <t>İÇKİ VƏ TÜTÜN MƏMULATLARI DA DAXİL OLMAQLA YEYİNTİ MƏHSULLARININ İXTİSASLAŞDIRILMAMIŞ TOPDAN SATIŞI </t>
  </si>
  <si>
    <t>TOXUCULUQ MALLARININ TOPDAN SATIŞI </t>
  </si>
  <si>
    <t>GEYİM VƏ AYAQQABININ TOPDAN SATIŞI </t>
  </si>
  <si>
    <t>ELEKTRİK-MƏİŞƏT MALLARININ TOPDAN SATIŞI </t>
  </si>
  <si>
    <t>ÇİNİ VƏ ŞÜŞƏ MƏMULATLARIN, DİVAR KAĞIZLARININ VƏ TƏMİZLƏYİCİ VASİTƏLƏRİN TOPDAN SATIŞI </t>
  </si>
  <si>
    <t>ƏTİRLƏRİN VƏ KOSMETİKA MALLARININ (SABUN DA DAXİL OLMAQLA) TOPDAN SATIŞI </t>
  </si>
  <si>
    <t>ƏCZAÇILIQ MALLARININ TOPDAN SATIŞI </t>
  </si>
  <si>
    <t>MEBEL, XALÇA VƏ İŞIQLANDIRICI AVADANLIQLARIN TOPDAN SATIŞI </t>
  </si>
  <si>
    <t>SAATLARIN VƏ ZƏRGƏRLİK MƏMULATLARININ TOPDAN SATIŞI </t>
  </si>
  <si>
    <t>İSTEHLAK TƏYİNATLI SAİR QEYRİ-ƏRZAQ MALLARININ TOPDAN SATIŞI  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</si>
  <si>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</si>
  <si>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KOMPYUTERLƏRİN, KOMPYUTER PERİFERİYA AVADANLIQLARININ VƏ PROQRAM TƏMİNATININ TOPDAN SATIŞI </t>
  </si>
  <si>
    <t>ELEKTRON VƏ TELEKOMMUNİKASİYA AVADANLIQLARININ VƏ ONLARIN HİSSƏLƏRİNİN TOPDAN SATIŞI 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</si>
  <si>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</si>
  <si>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</si>
  <si>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KƏND TƏSƏRRÜFATI MAŞINLARININ VƏ AVADANLIQLARININ TOPDAN SATIŞI </t>
  </si>
  <si>
    <t>DƏZGAHLARIN TOPDAN SATIŞI </t>
  </si>
  <si>
    <t>DAĞ-MƏDƏN VƏ TİKİNTİ, O CÜMLƏDƏN MÜLKİ TİKİNTİ ÜÇÜN MAŞIN VƏ AVADANLIQLARIN TOPDAN SATIŞI </t>
  </si>
  <si>
    <t>TOXUCULUQ SƏNAYESİ ÜÇÜN MAŞINLARIN, TİKİŞ VƏ TRİKOTAJ MAŞINLARININ TOPDAN SATIŞI </t>
  </si>
  <si>
    <t>OFİS MEBELLƏRİNİN TOPDAN SATIŞI </t>
  </si>
  <si>
    <t>OFİS MAŞINLARI VƏ AVADANLIQLARININ TOPDAN SATIŞI </t>
  </si>
  <si>
    <t>SAİR MAŞIN AVADANLIQLARIN TOPDAN SATIŞI </t>
  </si>
  <si>
    <t>YANACAĞIN TOPDAN SATIŞI </t>
  </si>
  <si>
    <t>NEFT MƏHSULLARININ VƏ SƏMT QAZININ TOPDAN SATIŞI </t>
  </si>
  <si>
    <t>METAL VƏ METAL FİLİZİNİN TOPDAN SATIŞI </t>
  </si>
  <si>
    <t>MEŞƏ MATERİALLARININ, TİKİNTİ MATERİALLARININ VƏ SANİTAR-TEXNİKİ AVADANLIQLARIN TOPDAN SATIŞI </t>
  </si>
  <si>
    <t>DƏMİR MƏMULATLARININ, SU KƏMƏRİ VƏ İSTİLİK ŞƏBƏKƏSİ AVADANLIQLARININ TOPDAN SATIŞI </t>
  </si>
  <si>
    <t>KİMYƏVİ MƏHSULLARIN TOPDAN SATIŞI </t>
  </si>
  <si>
    <t>GÜBRƏ VƏ AQROKİMYƏVİ MƏHSULLARIN TOPDAN SATIŞI </t>
  </si>
  <si>
    <t>SAİR ARALIQ MƏHSULLARININ TOPDAN SATIŞI </t>
  </si>
  <si>
    <t>TULLANTILARIN VƏ QIRINTILARIN TOPDAN SATIŞI </t>
  </si>
  <si>
    <t>İXTİSASLAŞDIRILMAMIŞ TOPDANSATIŞ </t>
  </si>
  <si>
    <t>PREKURSORLARIN İDXALI, İXRACI, TRANZİT NƏQL EDİLMƏSİ VƏ İSTEHSALI </t>
  </si>
  <si>
    <t>İÇKİ VƏ TÜTÜN MƏMULATLARI DA DAXİL OLMAQLA ƏSASƏN YEYİNTİ MƏHSULLARININ İXTİSASLAŞDIRILMAMIŞ MAĞAZALARDA PƏRAKƏNDƏ SATIŞI </t>
  </si>
  <si>
    <t>ETİL (YEYİNTİ) SPİRTİNİN VƏ ALKOQOLLU İÇKİLƏRİN İXTİSASLAŞDIRILMAMIŞ MAĞAZALARDA PƏRAKƏNDƏ SATIŞI </t>
  </si>
  <si>
    <t>TÜTÜN MƏHSULLARININ İXTİSASLAŞDIRILMAMIŞ MAĞAZALARDA PƏRAKƏNDƏ SATIŞI </t>
  </si>
  <si>
    <t>İXTİSASLAŞDIRILMAMIŞ MAĞAZALARDA SAİR MƏHSULLARIN PƏRAKƏNDƏ SATIŞI 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</si>
  <si>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</si>
  <si>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İXTİSASLAŞDIRILMIŞ MAĞAZALARDA MEYVƏ VƏ TƏRƏVƏZLƏRİN PƏRAKƏNDƏ SATIŞI </t>
  </si>
  <si>
    <t>İXTİSASLAŞDIRILMIŞ MAĞAZALARDA ƏT VƏ ƏT MƏHSULLARININ PƏRAKƏNDƏ SATIŞI </t>
  </si>
  <si>
    <t>İXTİSASLAŞDIRILMIŞ MAĞAZALARDA BALIĞIN, XƏRÇƏNGKİMİLƏRİN VƏ MOLYUSKALARIN PƏRAKƏNDƏ SATIŞI  </t>
  </si>
  <si>
    <t>İXTİSASLAŞDIRILMIŞ MAĞAZALARDA ÇÖRƏK-BULKA MƏMULATLARININ, UN VƏ QƏNNADI MƏMULATLARININ PƏRAKƏNDƏ SATIŞI  </t>
  </si>
  <si>
    <t>İXTİSASLAŞDIRILMIŞ MAĞAZALARDA ALKOQOLLU VƏ DİGƏR İÇKİLƏRİN PƏRAKƏNDƏ SATIŞI </t>
  </si>
  <si>
    <t>İXTİSASLAŞDIRILMIŞ MAĞAZALARDA TÜTÜN MƏMULATLARININ PƏRAKƏNDƏ SATIŞI </t>
  </si>
  <si>
    <t>İXTİSASLAŞDIRILMIŞ MAĞAZALARDA DİGƏR ƏRZAQ MƏHSULLARININ PƏRAKƏNDƏ SATIŞI </t>
  </si>
  <si>
    <t>İXTİSASLAŞDIRILMIŞ MAĞAZALARDA MOTOR YANACAĞININ PƏRAKƏNDƏ SATIŞI </t>
  </si>
  <si>
    <t>NEFT MƏHSULLARININ PƏRAKƏNDƏ SATIŞI </t>
  </si>
  <si>
    <t>İXTİSASLAŞDIRILMIŞ MAĞAZALARDA KOMPYUTERLƏRİN, KOMPYUTER PERİFERİYA AVADANLIQLARININ VƏ PROQRAM TƏMİNATININ PƏRAKƏNDƏ SATIŞI 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</si>
  <si>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</si>
  <si>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İXTİSASLAŞDIRILMIŞ MAĞAZALARDA TELEKOMUNİKASİYA AVADANLIQLARININ PƏRAKƏNDƏ SATIŞI  </t>
  </si>
  <si>
    <t>İXTİSASLAŞDIRILMIŞ MAĞAZALARDA AUDİO VƏ VİDEO AVADANLIQLARININ PƏRAKƏNDƏ SATIŞI </t>
  </si>
  <si>
    <t>İXTİSASLAŞDIRILMIŞ MAĞAZALARDA TOXUCULUQ MƏMULATLARININ PƏRAKƏNDƏ SATIŞI </t>
  </si>
  <si>
    <t>İXTİSASLAŞDIRILMIŞ MAĞAZALARDA DƏMİR MƏMULATLARININ, LAK-BOYA MADDƏLƏRİNİN VƏ ŞÜŞƏNİN PƏRAKƏNDƏ SATIŞI </t>
  </si>
  <si>
    <t>İXTİSASLAŞDIRILMIŞ MAĞAZALARDA XALÇA, DİVAR VƏ DÖŞƏMƏ ÜÇÜN ÖRTÜKLƏRİN PƏRAKƏNDƏ SATIŞI  </t>
  </si>
  <si>
    <t>İXTİSASLAŞDIRILMIŞ MAĞAZALARDA ELEKTRİK-MƏİŞƏT MALLARININ PƏRAKƏNDƏ SATIŞI </t>
  </si>
  <si>
    <t>İXTİSASLAŞDIRILMIŞ MAĞAZALARDA MOBİL TELEFONLARIN PƏRAKƏNDƏ SATIŞI VƏ TƏMİRİ </t>
  </si>
  <si>
    <t>İXTİSASLAŞDIRILMIŞ MAĞAZALARDA MEBELLƏRİN, İŞIQLANDIRICI AVADANLIQLARIN VƏ DİGƏR MƏİŞƏT CİHAZLARININ PƏRAKƏNDƏ SATIŞI </t>
  </si>
  <si>
    <t>İXTİSASLAŞDIRILMIŞ MAĞAZALARDA KİTABLARIN PƏRAKƏNDƏ SATIŞI  </t>
  </si>
  <si>
    <t>İXTİSASLAŞDIRILMIŞ MAĞAZALARDA QƏZETLƏRİN VƏ DƏFTƏRXANA LƏVAZİMATLARININ PƏRAKƏNDƏ SATIŞI </t>
  </si>
  <si>
    <t>İXTİSASLAŞDIRILMIŞ MAĞAZALARDA MUSİQİ VƏ VİDEO YAZILARININ PƏRAKƏNDƏ SATIŞI </t>
  </si>
  <si>
    <t>İXTİSASLAŞDIRILMIŞ MAĞAZALARDA İDMAN MALLARININ PƏRAKƏNDƏ SATIŞI </t>
  </si>
  <si>
    <t>İXTİSASLAŞDIRILMIŞ MAĞAZALARDA OYUN VƏ OYUNCAQLARIN PƏRAKƏNDƏ SATIŞI </t>
  </si>
  <si>
    <t>İXTİSASLAŞDIRILMIŞ MAĞAZALARDA GEYİMLƏRİN PƏRAKƏNDƏ SATIŞI  </t>
  </si>
  <si>
    <t>İXTİSASLAŞDIRILMIŞ MAĞAZALARDA TRİKOTAJ VƏ CORAB MƏMULATLARININ PƏRAKƏNDƏ SATIŞI </t>
  </si>
  <si>
    <t>İXTİSASLAŞDIRILMIŞ MAĞAZALARDA AYAQQABI VƏ DƏRİ MƏMULATLARININ PƏRAKƏNDƏ SATIŞI </t>
  </si>
  <si>
    <t>İXTİSASLAŞDIRILMIŞ MAĞAZALARDA ƏZCAÇILIQ MALLARININ PƏRAKƏNDƏ SATIŞI </t>
  </si>
  <si>
    <t>İXTİSASLAŞDIRILMIŞ MAĞAZALARDA TİBB VƏ ORTOPEDİYA MALLARININ PƏRAKƏNDƏ SATIŞI </t>
  </si>
  <si>
    <t>İXTİSASLAŞDIRILMIŞ MAĞAZALARDA KOSMETİKA VƏ ƏTRİYYAT MALLARININ PƏRAKƏNDƏ SATIŞI </t>
  </si>
  <si>
    <t>İXTİSASLAŞDIRILMIŞ MAĞAZALARDA GÜLLƏRİN VƏ DİGƏR BİTKİLƏRİN, TOXUMLARIN, GÜBRƏLƏRİN, EV HEYVANLARININ VƏ EV HEYVANLARI ÜÇÜN YEMLƏRİN PƏRAKƏNDƏ SATIŞI </t>
  </si>
  <si>
    <t>İXTİSASLAŞDIRILMIŞ MAĞAZALARDA SAATLARIN VƏ ZƏRGƏRLİK MƏMULATLARININ PƏRAKƏNDƏ SATIŞI </t>
  </si>
  <si>
    <t>İXTİSASLAŞDIRILMIŞ MAĞAZALARDA SAİR YENİ MALLARIN PƏRAKƏNDƏ SATIŞI </t>
  </si>
  <si>
    <t>İXTİSASLAŞDIRILMIŞ MAĞAZALARDA KÖHNƏ MALLARIN PƏRAKƏNDƏ SATIŞI </t>
  </si>
  <si>
    <t>İÇKİ VƏ TÜTÜN MƏMULATLARI DA DAXİL OLMAQLA ÇADIRLARDA VƏ BAZARLARDA ƏRZAQ MƏHSULLARININ PƏRAKƏNDƏ SATIŞI </t>
  </si>
  <si>
    <t>ÇADIRLARDA VƏ BAZARLARDA TOXUCULUQ MƏMULATLARININ, GEYİMLƏRİN VƏ AYAQQABILARIN PƏRAKƏNDƏ SATIŞI </t>
  </si>
  <si>
    <t>ÇADIRLARDA VƏ BAZARLARDA SAİR MALLARIN PƏRAKƏNDƏ SATIŞ </t>
  </si>
  <si>
    <t>POÇT VƏ YA İNTERNET İLƏ SİFARİŞLƏRİ YERİNƏ YETİRƏN FİRMALAR VASİTƏSİLƏ PƏRAKƏNDƏ SATIŞ </t>
  </si>
  <si>
    <t>MAĞAZA, ÇADIR VƏ BAZARLARDAN KƏNARDA SAİR PƏRAKƏNDƏ SATIŞ </t>
  </si>
  <si>
    <t>ŞƏHƏRLƏRARASI DƏMİR YOLU XƏTTİ İLƏ SƏRNİŞİN DAŞINMASI </t>
  </si>
  <si>
    <t>DƏMİR YOLU VASİTƏSİ İLƏ YÜK DAŞINMASI </t>
  </si>
  <si>
    <t>TƏHLÜKƏLİ YÜKLƏRİN DƏMİR YOLU VASİTƏSİ İLƏ DAŞINMASI </t>
  </si>
  <si>
    <t>ŞƏHƏR VƏ ŞƏHƏRƏTRAFI SƏRNİŞİN QURUYOL NƏQLİYYATI FƏALİYYƏTİ </t>
  </si>
  <si>
    <t>TAKSİ FƏALİYYƏTİ </t>
  </si>
  <si>
    <t>DİGƏR QRUPLARA DAXİL EDİLMƏYƏN SAİR QURU YOL SƏRNİŞİN NƏQLİYYATININ FƏALİYYƏTİ </t>
  </si>
  <si>
    <t>AVTOMOBİL NƏQLİYYATI İLƏ BEYNƏLXALQ SƏRNİŞİN DAŞINMASI </t>
  </si>
  <si>
    <t>YÜK AVTOMOBİL NƏQLİYYATLARININ FƏALİYYƏTİ </t>
  </si>
  <si>
    <t>TƏHLÜKƏLİ YÜKLƏRİN YÜK AVTOMOBİL NƏQLİYYATI VASİTƏSİLƏ DAŞINMASI </t>
  </si>
  <si>
    <t>AVTOMOBİL NƏQLİYYATI İLƏ BEYNƏLXALQ YÜK DAŞINMASI </t>
  </si>
  <si>
    <t>YERDƏYİŞMƏ İLƏ ƏLAQƏDAR XİDMƏTLƏRİN GÖSTƏRİLMƏSİ </t>
  </si>
  <si>
    <t>BORU KƏMƏRİ VASİTƏSİLƏ QAZŞƏKİLLİ MATERİALLARIN NƏQLİ </t>
  </si>
  <si>
    <t>BORU KƏMƏRİ VASİTƏSİLƏ MAYEŞƏKİLLİ MATERİALLARIN DAŞINMASI </t>
  </si>
  <si>
    <t>TƏHLÜKƏLİ YÜKLƏRİN BORU KƏMƏRİ VASİTƏSİLƏ DAŞINMASI </t>
  </si>
  <si>
    <t>DƏNİZ NƏQLİYYATI VASİTƏSİLƏ SƏRNİŞİN DAŞINMASI </t>
  </si>
  <si>
    <t>EKSKURSİYA, GƏZİNTİ VƏ TURİST GƏMİLƏRİNİN XİDMƏTLƏRİ </t>
  </si>
  <si>
    <t>DƏNİZ NƏQLİYYATI VASİTƏSİLƏ YÜKLƏRİN DAŞINMASI </t>
  </si>
  <si>
    <t>TƏHLÜKƏLİ YÜKLƏRİN DƏNİZ NƏQLİYYATI VASİTƏSİLƏ DAŞINMASI </t>
  </si>
  <si>
    <t>DAXİLİ SU NƏQLİYYATI VASİTƏSİ İLƏ (ÇAYLARDA) SƏRNİŞİN DAŞINMASI </t>
  </si>
  <si>
    <t>ÇAY NƏQLİYYATI VASİTƏSİLƏ YÜKLƏRİN DAŞINMASI  </t>
  </si>
  <si>
    <t>TƏHLÜKƏLİ YÜKLƏRİN ÇAY NƏQLİYYATI VASİTƏSİLƏ DAŞINMASI </t>
  </si>
  <si>
    <t>HAVA NƏQLİYYATI VASİTƏSİLƏ SƏRNİŞİNLƏRİN DAŞINMASI </t>
  </si>
  <si>
    <t>HAVA NƏQLİYYATI VASİTƏSİLƏ YÜKLƏRİN DAŞINMASI </t>
  </si>
  <si>
    <t>HAVA NƏQLİYYATI VASİTƏSİLƏ TƏHLÜKƏLİ YÜKLƏRİN DAŞINMASI </t>
  </si>
  <si>
    <t>KOSMİK NƏQLİYYATIN FƏALİYYƏTİ </t>
  </si>
  <si>
    <t>TƏHLÜKƏLİ YÜKLƏRİN KOSMİK NƏQLİYYATI VASİTƏSİLƏ DAŞINMASI </t>
  </si>
  <si>
    <t>SAXLAMA VƏ ANBARLARA YIĞMA </t>
  </si>
  <si>
    <t>GÖMRÜK ANBARLARININ, MÜVƏQQƏTİ SAXLANC ANBARLARININ, SƏRBƏST ANBARLARIN TƏSİS EDİLMƏSİ </t>
  </si>
  <si>
    <t>YERÜSTÜ NƏQLİYYATLARIN YARDIMÇI FƏALİYYƏTİ </t>
  </si>
  <si>
    <t>SU NƏQLİYYATLARININ YARDIMÇI FƏALİYYƏTİ </t>
  </si>
  <si>
    <t>HAVA NƏQLİYYATININ YARDIMÇI FƏALİYYƏTİ </t>
  </si>
  <si>
    <t>YÜKLƏRİN NƏQLİYYAT EMALI </t>
  </si>
  <si>
    <t>SAİR YARDIMÇI NƏQLİYYAT FƏALİYYƏTİ </t>
  </si>
  <si>
    <t>GÖMRÜK BROKERİ, GÖMRÜK DAŞIYICISI, GÖMRÜK ƏRAZİSİNDƏ MALLARIN EMALI VƏ GÖMRÜK ƏRAZİSİNDƏN KƏNARDA MALLARIN EMALI </t>
  </si>
  <si>
    <t>POÇT FƏALİYYƏTİ </t>
  </si>
  <si>
    <t>SÜRƏTLİ POÇT XİDMƏTİ </t>
  </si>
  <si>
    <t>SAİR POÇT VƏ KURYER FƏALİYYƏTİ </t>
  </si>
  <si>
    <t>MEHMANXANALAR VƏ OXŞAR YERLƏR TƏRƏFİNDƏN XİDMƏTLƏRİN GÖSTƏRİLMƏSİ </t>
  </si>
  <si>
    <t>KİÇİK YAYLAQ EVLƏRİ VƏ QISA MÜDDƏT QALMAQ ÜÇÜN SAİR YERLƏR TƏRƏFİNDƏN XİDMƏTLƏRİN GÖSTƏRİLMƏSİ </t>
  </si>
  <si>
    <t>KEMPİNQ, AVTO-QOŞQU EVLƏR VƏ AVTO-QOŞQU EVLƏR DAYANACAQLARI TƏRƏFİNDƏN XİDMƏTLƏRİN GÖSTƏRİLMƏSİ </t>
  </si>
  <si>
    <t>YAŞAYIŞ ÜÇÜN SAİR YERLƏR TƏRƏFİNDƏN XİDMƏTLƏRİN GÖSTƏRİLMƏSİ </t>
  </si>
  <si>
    <t>RESTORANLAR TƏRƏFİNDƏN XİDMƏTLƏRİN GÖSTƏRİLMƏSİ VƏ YEMƏKLƏRİN ÇATDIRILMASI ÜZRƏ XİDMƏTLƏR </t>
  </si>
  <si>
    <t>ŞADLIQ EVLƏRİNİN XİDMƏTLƏRİ </t>
  </si>
  <si>
    <t>ÇAYXANALAR TƏRƏFİNDƏN XİDMƏTLƏRİN GÖSTƏRİLMƏSİ </t>
  </si>
  <si>
    <t>HAZIR YEMƏKLƏRİN GÖNDƏRİLMƏSİ </t>
  </si>
  <si>
    <t>YEMƏKLƏRİN SATIŞI İLƏ ƏLAQƏDAR SAİR XİDMƏTLƏRİN GÖSTƏRİLMƏSİ  </t>
  </si>
  <si>
    <t>YEMƏKXANALAR TƏRƏFİNDƏN XİDMƏTLƏRİN GÖSTƏRİLMƏSİ </t>
  </si>
  <si>
    <t>İÇKİLƏRİN SATIŞI İLƏ ƏLAQƏDAR (BARLAR TƏRƏFİNDƏN) XİDMƏTLƏRİN GÖSTƏRİLMƏSİ </t>
  </si>
  <si>
    <t>KİTAB NƏŞRİ </t>
  </si>
  <si>
    <t>MƏLUMAT KİTABLARININ VƏ ÜNVAN SİYAHILARININ NƏŞRİ </t>
  </si>
  <si>
    <t>QƏZET NƏŞRİ </t>
  </si>
  <si>
    <t>JURNAL VƏ DÖVRİ NƏŞRLƏRİN DƏRC EDİLMƏSİ </t>
  </si>
  <si>
    <t>SAİR NƏŞRİYYAT FƏALİYYƏTİ </t>
  </si>
  <si>
    <t>KOMPYUTER OYUNLARININ NƏŞRİ </t>
  </si>
  <si>
    <t>SAİR PROQRAM TƏMİNATININ NƏŞRİ </t>
  </si>
  <si>
    <t>KİNOFİLMLƏRİN, VİDEO VƏ TELEVİZİYA PROQRAMLARININ İSTEHSALI İLƏ ƏLAQƏDAR FƏALİYYƏT </t>
  </si>
  <si>
    <t>KİNOFİLMLƏRİN, VİDEO VƏ TELEVİZİYA PROQRAMLARININ HAZIRLANMASINDAN SONRA FƏALİYYƏT (YIĞILMASI) </t>
  </si>
  <si>
    <t>KİNOFİLMLƏRİN, VİDEO VƏ TELEVİZİYA PROQRAMLARININ YAYIMI İLƏ ƏLAQƏDAR FƏALİYYƏT </t>
  </si>
  <si>
    <t>KİNOFİLMLƏRİN NÜMAYİŞİ İLƏ ƏLAQƏDAR FƏALİYYƏT </t>
  </si>
  <si>
    <t>SƏSYAZMA VƏ MUSİQİ NƏŞRLƏRİ İLƏ ƏLAQƏDAR FƏALİYYƏT </t>
  </si>
  <si>
    <t>RADİOVERİLİŞLƏRİN TRANSLYASİYA EDİLMƏSİ </t>
  </si>
  <si>
    <t>TELEVİZİYA PROQRAMLARININ TƏRTİB EDİLMƏSİ VƏ TELEVERİLİŞLƏRİN TRANSLYASİYA EDİLMƏSİ </t>
  </si>
  <si>
    <t>SİMLİ TELEKOMMUNİKASİYA FƏALİYYƏTİ </t>
  </si>
  <si>
    <t>TELEFON RABİTƏSİ </t>
  </si>
  <si>
    <t>TELEQRAF RABİTƏSİ </t>
  </si>
  <si>
    <t>TELEKS </t>
  </si>
  <si>
    <t>SİMSİZ TELEKOMMUNİKASİYA FƏALİYYƏTİ </t>
  </si>
  <si>
    <t>MOBİL TELEFON RABİTƏSİ XİDMƏTLƏRİNİN GÖSTƏRİLMƏSİ </t>
  </si>
  <si>
    <t>PEYK RABİTƏSİ XİDMƏTLƏRİNİN GÖSTƏRİLMƏSİ </t>
  </si>
  <si>
    <t>SAİR TELEKOMMUNİKASİYA FƏALİYYƏTİ </t>
  </si>
  <si>
    <t>İNTERNET RABİTƏSİ </t>
  </si>
  <si>
    <t>PROQRAM TƏMİNATININ İŞLƏNMƏSİ </t>
  </si>
  <si>
    <t>HESABLAMA TEXNİKASI VASİTƏLƏRİ ÜZRƏ MƏSLƏHƏTLƏR </t>
  </si>
  <si>
    <t>SAİR MƏSLƏHƏTLƏR VƏ PROQRAM TƏMİNATININ GÖNDƏRİLMƏSİ </t>
  </si>
  <si>
    <t>İNFORMASİYA MÜHAFİZƏ VASİTƏLƏRİNİN LAYİHƏLƏNDİRİLMƏSİ VƏ İSTEHSALI SAHƏSİNDƏ FƏALİYYƏT </t>
  </si>
  <si>
    <t>HESABLAMA SİSTEMLƏRİNİN İDARƏ EDİLMƏSİ </t>
  </si>
  <si>
    <t>MƏLUMAT TEXNOLOGİYALARI VƏ HESABLAMA TEXNİKASI SAHƏSİNDƏ SAİR FƏALİYYƏT </t>
  </si>
  <si>
    <t>MƏLUMATLARIN İŞLƏNMƏSİ VƏ BUNUNLA BAĞLI FƏALİYYƏT </t>
  </si>
  <si>
    <t>VEB SƏHİFƏLƏRİNDƏN (İNTERNET PORTALLARINDAN) İSTİFADƏ </t>
  </si>
  <si>
    <t>MƏLUMAT AGENTLİKLƏRİNİN FƏALİYYƏTİ </t>
  </si>
  <si>
    <t>DİGƏR QRUPLARA DAXİL EDİLMƏYƏN SAİR İNFORMASİYA XİDMƏTLƏRİ </t>
  </si>
  <si>
    <t>ŞƏBƏKƏLƏRƏ TEXNİKİ XİDMƏT GÖSTƏRİLMƏSİ </t>
  </si>
  <si>
    <t>MƏRKƏZİ BANKIN FƏALİYYƏTİ </t>
  </si>
  <si>
    <t>DİGƏR PUL VASİTƏÇİLİYİ </t>
  </si>
  <si>
    <t>HOLDİNQ KOMPANİYALARININ FƏALİYYƏTİ </t>
  </si>
  <si>
    <t>TRAST-KOMPANİYALARININ, İNVESTİSİYA FONDLARININ VƏ OXŞAR MALİYYƏ TƏŞKİLATLARININ FƏALİYYƏTİ </t>
  </si>
  <si>
    <t>MALİYYƏ LİZİNQİ </t>
  </si>
  <si>
    <t>KREDİTİN VERİLMƏSİ </t>
  </si>
  <si>
    <t>LOMBARDLARIN FƏALİYYƏTİ 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</si>
  <si>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</si>
  <si>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DİGƏR QRUPLARA DAXİL EDİLMƏYƏN SAİR MALİYYƏ VASİTƏÇİLİYİ </t>
  </si>
  <si>
    <t>HƏYATIN SIĞORTASI </t>
  </si>
  <si>
    <t>SIĞORTANIN SAİR NÖVLƏRİ (HƏYATIN SIĞORTALANMASINDAN BAŞQA) </t>
  </si>
  <si>
    <t>TƏKRAR SIĞORTALAR </t>
  </si>
  <si>
    <t>PENSİYA TƏMİNATI </t>
  </si>
  <si>
    <t>MALİYYƏ BAZARLARININ İDARƏ EDİLMƏSİ </t>
  </si>
  <si>
    <t>FOND BAZARI VƏ BİRJA ƏMƏLİYYATLARI </t>
  </si>
  <si>
    <t>ƏMTƏƏ BİRJASININ FƏALİYYƏTİ </t>
  </si>
  <si>
    <t>MALİYYƏ XİDMƏTLƏRİ SAHƏSİNDƏ SAİR YARDIMÇI FƏALİYYƏT </t>
  </si>
  <si>
    <t>RİSK VƏ ZƏRƏRİN QİYMƏTLƏNDİRİLMƏSİ </t>
  </si>
  <si>
    <t>SIĞORTA AGENTLƏRİNİN VƏ MAKLERLƏRİN FƏALİYYƏTİ </t>
  </si>
  <si>
    <t>SIĞORTA VƏ PENSİYA TƏMİNATI SAHƏSİNDƏ SAİR YARDIMÇI FƏALİYYƏT </t>
  </si>
  <si>
    <t>QEYRİ-DÖVLƏT PENSİYA FONDLARININ FƏALİYYƏTİ </t>
  </si>
  <si>
    <t>FONDLARIN İDARƏ EDİLMƏSİ </t>
  </si>
  <si>
    <t>ŞƏXSİ DAŞINMAZ ƏMLAKIN ALINMASI VƏ SATILMASI </t>
  </si>
  <si>
    <t>ŞƏXSİ DAŞINMAZ ƏMLAKIN İSTİSMARA VƏ KİRAYƏYƏ VERİLMƏSİ </t>
  </si>
  <si>
    <t>DAŞINMAZ ƏMLAKLA APARILAN ƏMƏLİYYATLAR ÜZRƏ AGENTLİKLƏRİN FƏALİYYƏTİ </t>
  </si>
  <si>
    <t>DAŞINMAZ ƏMLAKIN İDARƏ EDİLMƏSİ </t>
  </si>
  <si>
    <t>HÜQUQ SAHƏSİNDƏ FƏALİYYƏT </t>
  </si>
  <si>
    <t>XÜSUSİ NOTARİUSLARIN FƏALİYYƏTİ </t>
  </si>
  <si>
    <t>VƏKİLLİK FƏALİYYƏTİ </t>
  </si>
  <si>
    <t>MÜHASİBAT UÇOTU VƏ VERGİLƏR ÜZRƏ MƏSLƏHƏTLƏR </t>
  </si>
  <si>
    <t>AUDİTOR FƏALİYYƏTİ </t>
  </si>
  <si>
    <t>MƏRKƏZİ OFİSLƏRİN FƏALİYYƏTİ </t>
  </si>
  <si>
    <t>İCTİMAİ ƏLAQƏLƏRİN SAXLANILMASI VƏ MƏLUMAT MÜBADİLƏSİ </t>
  </si>
  <si>
    <t>KOMMERSİYA FƏALİYYƏTİ VƏ İDARƏETMƏ MƏSƏLƏLƏRİ ÜZRƏ SAİR MƏSLƏHƏTLƏR </t>
  </si>
  <si>
    <t>MEMARLIQ SAHƏSİNDƏ FƏALİYYƏT </t>
  </si>
  <si>
    <t>LAYİHƏ İŞLƏRİ </t>
  </si>
  <si>
    <t>GEOLOJİ-KƏŞFİYYAT VƏ GEODEZİYA AXTARIŞ İŞLƏRİ </t>
  </si>
  <si>
    <t>KARTOQRAFİYA FƏALİYYƏTİ </t>
  </si>
  <si>
    <t>I VƏ II MƏSULİYYƏT SƏVİYYƏLİ BİNA VƏ TİKİLİLƏRİN DÖVLƏT STANDARTLARINA UYĞUN OLARAQ LAYİHƏLƏNDİRİLMƏSİ VƏ MÜHƏNDİS AXTARIŞI </t>
  </si>
  <si>
    <t>MÜHƏNDİS AXTARIŞLARI VƏ BU SAHƏDƏ TEXNİKİ MƏSLƏHƏTLƏRİN VERİLMƏSİ </t>
  </si>
  <si>
    <t>TEXNİKİ SINAQ VƏ NƏZARƏT </t>
  </si>
  <si>
    <t>TƏHLÜKƏ POTENSİALLI OBYEKTLƏRDƏ İSTİSMAR OLUNAN AVADANLIQLARIN VƏ TEXNİKİ QURĞULARIN DİAQNOSTİKASI VƏ DİGƏR TEXNİKİ YOXLAMALARIN KEÇİRİLMƏSİ </t>
  </si>
  <si>
    <t>BİOTEXNOLOGİYA SAHƏSİNDƏ TƏDQİQATLAR VƏ İŞLƏMƏLƏR </t>
  </si>
  <si>
    <t>TƏBİİ VƏ TEXNİKİ ELMLƏR SAHƏSİNDƏ SAİR TƏDQİQATLAR VƏ İŞLƏMƏLƏR (BİOTEXNOLOGİYADAN BAŞQA) </t>
  </si>
  <si>
    <t>İCTİMAİ VƏ HUMANİTAR ELMLƏR SAHƏSİNDƏ TƏDQİQAT LAR VƏ İŞLƏMƏLƏR </t>
  </si>
  <si>
    <t>REKLAM AGENLİKLƏRİNİN FƏALİYYƏTİ </t>
  </si>
  <si>
    <t>KÜTLƏVİ İNFORMASİYA VASİTƏLƏRİNİN REKLAM XİDMƏTİ GÖSTƏRİLMƏSİ ÜZRƏ FƏALİYYƏTİ </t>
  </si>
  <si>
    <t>BAZAR KONYUNKTURASININ TƏDQİQİ VƏ İCTİMAİ RƏYİN ÖYRƏNİLMƏSİ </t>
  </si>
  <si>
    <t>İXTİSASLAŞDIRILMIŞ DİZAYN FƏALİYYƏTİ </t>
  </si>
  <si>
    <t>FOTOQRAFİYA SAHƏSİNDƏ FƏALİYYƏT </t>
  </si>
  <si>
    <t>TƏRCÜMƏ ÜZRƏ XİDMƏTLƏR (YAZILI VƏ ŞİFAHİ) </t>
  </si>
  <si>
    <t>DİGƏR QRUPLARA DAXİL EDİLMƏYƏN SAİR PEŞƏKAR, ELMİ VƏ TEXNİKİ FƏALİYYƏT </t>
  </si>
  <si>
    <t>BAYTARLIQ FƏALİYYƏTİ </t>
  </si>
  <si>
    <t>MİNİK AVTOMOBİLLƏRİNIN İCARƏSİ VƏ LİZİNQİ </t>
  </si>
  <si>
    <t>YÜK AVTOMOBİLLƏRİNIN İCARƏSİ VƏ LİZİNQİ </t>
  </si>
  <si>
    <t>İDMAN VƏ İSTİRAHƏT ÜÇÜN NƏZƏRDƏ TUTULMUŞ MALLARIN İCARƏSİ </t>
  </si>
  <si>
    <t>VİDEOLENTLƏRİN VƏ DİSKLƏRİN KİRAYƏSİ </t>
  </si>
  <si>
    <t>SAİR MƏİŞƏT MƏMULATLARININ VƏ ŞƏXSİ İSTİFADƏ ƏŞYALARININ KİRAYƏSİ </t>
  </si>
  <si>
    <t>KƏND TƏSƏRRÜFATI AVADANLIQLARININ KİRAYƏSİ </t>
  </si>
  <si>
    <t>TİKİNTİ MAŞIN VƏ AVADANLIQLARININ KİRAYƏSİ </t>
  </si>
  <si>
    <t>HESABLAMA TEXNİKASINI DAXİL ETMƏKLƏ OFİS AVADANLIQLARININ KİRAYƏSİ </t>
  </si>
  <si>
    <t>SU NƏQLİYYATI VASİTƏLƏRİ VƏ AVADANLIQLARININ KİRAYƏSİ </t>
  </si>
  <si>
    <t>HAVA NƏQLİYYATI VASİTƏLƏRİ VƏ AVADANLIQLARININ KİRAYƏSİ </t>
  </si>
  <si>
    <t>DİGƏR QRUPLARA DAXİL EDİLMƏYƏN SAİR MAŞIN VƏ AVADANLIQLARIN İCARƏSİ </t>
  </si>
  <si>
    <t>MÜƏLLİFLİK HÜQUQU İLƏ MÜDAFİƏ OLUNAN ƏSƏRLƏRDƏN BAŞQA İNTELEKTUAL MÜLKİYYƏTİN VƏ OXŞAR MƏHSULLARIN İCARƏSİ </t>
  </si>
  <si>
    <t>İŞƏ DÜZƏLTMƏ AGENTLİKLƏRİNİN FƏALİYYƏTİ </t>
  </si>
  <si>
    <t>AZƏRBAYCAN RESPUBLİKASI VƏTƏNDAŞLARININ XARİCİ ÖLKƏLƏRDƏ İŞƏ DÜZƏLMƏLƏRİNDƏ VASİTƏÇİLİK FƏALİYYƏTİ </t>
  </si>
  <si>
    <t>MÜVƏQQƏTİ İŞÇİ QÜVVƏSİ İLƏ TƏMİNAT ÜZRƏ FƏALİYYƏT </t>
  </si>
  <si>
    <t>SAİR ƏMƏK EHTİYATLARININ TƏQDİM EDİLMƏSİ ÜZRƏ FƏALİYYƏT </t>
  </si>
  <si>
    <t>SƏYAHƏT AGENTLİKLƏRİNİN FƏALİYYƏTİ </t>
  </si>
  <si>
    <t>TUROPERATORLARIN FƏALİYYƏTİ </t>
  </si>
  <si>
    <t>TURİZM SAHƏSİNDƏ ƏVVƏLCƏDƏN SİFARİŞETMƏ XİDMƏTLƏRİ VƏ BUNUNLA ƏLAQƏDAR FƏALİYYƏT </t>
  </si>
  <si>
    <t>ŞƏXSİ MÜHAFİZƏÇİLƏRİN VƏ ŞƏXSİ MÜHAFİZƏ BÜROLARININ FƏALİYYƏTİ </t>
  </si>
  <si>
    <t>TƏHLÜKƏSİZLİK SİSTEMLƏRİNİN FƏALİYYƏTİNİN TƏMİN EDİLMƏSİ </t>
  </si>
  <si>
    <t>MÜHAFİZƏ İTLƏRİNİN ÖYRƏDİLMƏSİ </t>
  </si>
  <si>
    <t>İSTİNTAQIN APARILMASI </t>
  </si>
  <si>
    <t>YARDIMÇI-TEXNİKİ XİDMƏTLƏRİN FƏALİYYƏTİ </t>
  </si>
  <si>
    <t>BİNALARIN ƏSASLI TƏMİZLƏNMƏSİ VƏ YIĞIŞDIRILMASI </t>
  </si>
  <si>
    <t>SAİR İSTEHSAL VƏ YAŞAYIŞ BİNALARININ TƏMİZLƏNMƏSİ VƏ YIĞIŞDIRILMASI </t>
  </si>
  <si>
    <t>TƏMİZLİK İŞLƏRİ ÜZRƏ SAİR FƏALİYYƏT </t>
  </si>
  <si>
    <t>MƏNZƏRƏLƏRİN DƏYİŞDİRİLMƏSİ ÜZRƏ XİDMƏTLƏRİN GÖSTƏRİLMƏSİ </t>
  </si>
  <si>
    <t>MÜƏSSİSƏLƏRİN, TƏŞKİLATLARIN İNZİBATİ XİDMƏTLƏRİNİN KOMPLEKS FƏALİYYƏTİ </t>
  </si>
  <si>
    <t>FOTOSURƏT, SƏNƏDLƏRİN HAZIRLANMASI VƏ SAİR XÜSUSİ İNZİBATİ XİDMƏTLƏRİN GÖSTƏRİLMƏSİ </t>
  </si>
  <si>
    <t>TELEFON MƏLUMAT MƏRKƏZLƏRİNİN FƏALİYYƏTİ </t>
  </si>
  <si>
    <t>KONQRESSLƏRİN VƏ PEŞƏKAR SALONLARIN TƏŞKİLİ </t>
  </si>
  <si>
    <t>ÖDƏNİŞLƏRİN YIĞILMASI VƏ KREDİT ƏMƏLİYYATLARI HAQQINDA HESABATLAR ÜZRƏ AGENTLİKLƏRİNİN FƏALİYYƏTİ </t>
  </si>
  <si>
    <t>QABLAŞDIRMA </t>
  </si>
  <si>
    <t>DİGƏR QRUPLARA DAXİL EDİLMƏYƏN BİZNESİN DƏSTƏKLƏNMƏSİNƏ YÖNƏLDİLMİŞ SAİR ƏLAVƏ FƏALİYYƏT </t>
  </si>
  <si>
    <t>ÜMUMİ XARAKTERLİ DÖVLƏT İDARƏETMƏSİ </t>
  </si>
  <si>
    <t>YERLİ ÖZÜNÜİDARƏETMƏ ORQANLARININ FƏALİYYƏTİ </t>
  </si>
  <si>
    <t>SOSİAL PROQRAMLARIN İDARƏ EDİLMƏSİ </t>
  </si>
  <si>
    <t>İQTİSADİ FƏALİYYƏTİN SƏMƏRƏLİ APARILMASINA YARDIM VƏ ONUN TƏNZİMLƏNMƏSİ </t>
  </si>
  <si>
    <t>BEYNƏLXALQ FƏALİYYƏT </t>
  </si>
  <si>
    <t>MÜDAFİƏ FƏALİYYƏTİ </t>
  </si>
  <si>
    <t>ƏDLİYYƏ VƏ ƏDALƏT MƏHKƏMƏSİ SAHƏSİNDƏ FƏALİYYƏT </t>
  </si>
  <si>
    <t>İCTİMAİ QAYDALARIN VƏ TƏHLÜKƏSİZLİYİN TƏMİN EDİLMƏSİ ÜZRƏ FƏALİYYƏT </t>
  </si>
  <si>
    <t>FÖVQƏLADƏ HALLAR ZAMANI TƏHLÜKƏSİZLİYİN TƏMİN EDİLMƏSİ ÜZRƏ FƏALİYYƏT </t>
  </si>
  <si>
    <t>MÜƏSSİSƏLƏRİN VƏ YAŞAYIŞ MƏNTƏQƏLƏRİNİN MÜQAVİLƏ ƏSASINDA YANĞINLARDAN QORUNMASI </t>
  </si>
  <si>
    <t>MƏCBURİ SOSİAL SIĞORTA SAHƏSİNDƏ FƏALİYYƏT </t>
  </si>
  <si>
    <t>MƏKTƏBƏQƏDƏR TƏHSİL </t>
  </si>
  <si>
    <t>İBTİDAİ TƏHSİL (BİRİNCİ DƏRƏCƏLİ) </t>
  </si>
  <si>
    <t>ÜMUMİ ORTA TƏHSİL (İKİNCİ DƏRƏCƏLİ) </t>
  </si>
  <si>
    <t>HAZIRLIQ KURSLARININ FƏALİYYƏTİ </t>
  </si>
  <si>
    <t>ORTA TEXNİKİ VƏ PEŞƏ TƏHSİLİ </t>
  </si>
  <si>
    <t>NATAMAM ALİ TƏHSİL </t>
  </si>
  <si>
    <t>ALİ TƏHSİL </t>
  </si>
  <si>
    <t>BƏDƏN TƏRBİYƏSİ VƏ İDMAN SAHƏSİNDƏ TƏHSİL FƏALİYYƏTİ </t>
  </si>
  <si>
    <t>MƏDƏNİYYƏT SAHƏSİNDƏ TƏHSİL FƏALİYYƏTİ </t>
  </si>
  <si>
    <t>SÜRÜCÜ HAZIRLAYAN MƏKTƏBLƏRİN FƏALİYYƏTİ </t>
  </si>
  <si>
    <t>DİGƏR QRUPLARA DAXİL EDİLMƏYƏN TƏHSİL SAHƏSİNDƏ SAİR FƏALİYYƏT </t>
  </si>
  <si>
    <t>TƏHSİL SAHƏSİNDƏ YARDIMÇI FƏALİYYƏT </t>
  </si>
  <si>
    <t>XƏSTƏXANALARIN FƏALİYYƏTİ </t>
  </si>
  <si>
    <t>ÜMUMİ HƏKİM PRAKTİKASI SAHƏSİNDƏ FƏALİYYƏT </t>
  </si>
  <si>
    <t>XÜSUSİ HƏKİM PRAKTİKASI SAHƏSİNDƏ FƏALİYYƏT </t>
  </si>
  <si>
    <t>STOMATOLOGİYA SAHƏSİNDƏ FƏALİYYƏT </t>
  </si>
  <si>
    <t>SƏHİYYƏ SAHƏSİNDƏ SAİR FƏALİYYƏT </t>
  </si>
  <si>
    <t>ORTA TİBB HEYYƏTİ TƏRƏFİNDƏN XƏSTƏLƏRƏ QULLUQ VƏ YAŞAYIŞ TƏMİNATI DA DAXİL OLMAQLA SOSİAL XİDMƏTLƏRİN GÖSTƏRİLMƏSİ 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</si>
  <si>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</si>
  <si>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QOCALAR VƏ ƏMƏK QABİLİYYƏTİNİ İTİRMİŞ ŞƏXSLƏR ÜÇÜN YAŞAYIŞ TƏMİNATI DAXİL OLMAQLA SOSİAL XİDMƏTLƏRİN GÖSTƏRİLMƏSİ </t>
  </si>
  <si>
    <t>YAŞAYIŞI TƏMİN ETMƏKLƏ SAİR SOSİAL TƏMİNAT </t>
  </si>
  <si>
    <t>QOCALAR VƏ ƏMƏK QABİLİYYƏTİNİ İTİRMİŞ ŞƏXSLƏR ÜÇÜN YAŞAYIŞA TƏMİNATSIZ SOSİAL XİDMƏTLƏRİN GÖSTƏRİLMƏSİ  </t>
  </si>
  <si>
    <t>UŞAQLARA GÜNDÜZ VAXTI QULLUQ ETMƏ </t>
  </si>
  <si>
    <t>DİGƏR QRUPLARA DAXİL EDİLMƏYƏN YAŞAYIŞA TƏMİNATSIZ SAİR SOSİAL XİDMƏTLƏRİN GÖSTƏRİLMƏSİ  </t>
  </si>
  <si>
    <t>SƏHNƏ SƏNƏTİ </t>
  </si>
  <si>
    <t>MUSİQİÇİLƏR </t>
  </si>
  <si>
    <t>SƏHNƏ SƏNƏTİ SAHƏSİNDƏ YARDIMÇI FƏALİYYƏT </t>
  </si>
  <si>
    <t>İNCƏSƏNƏTİN SAİR SAHƏLƏRİ ÜZRƏ FƏALİYYƏT </t>
  </si>
  <si>
    <t>TEATR VƏ KONSERT ZALLARININ FƏALİYYƏTİ </t>
  </si>
  <si>
    <t>KİTABXANA VƏ ARXİVLƏRİN FƏALİYYƏTİ </t>
  </si>
  <si>
    <t>MUZEYLƏRİN FƏALİYYƏTİ </t>
  </si>
  <si>
    <t>TARİXİ YERLƏRİN VƏ BİNALARIN MÜHAFİZƏSİ SAHƏSİNDƏ FƏALİYYƏTİ  </t>
  </si>
  <si>
    <t>NƏBATƏT BAĞLARININ, HEYVANXANALARIN VƏ QORUQLARIN FƏALİYYƏTİ  </t>
  </si>
  <si>
    <t>QUMAR OYUNLARININ TƏŞKİLİ VƏ MƏRC ÇƏKMƏK ÜZRƏ FƏALİYYƏT </t>
  </si>
  <si>
    <t>İDMAN OBYEKTLƏRİNİN İSTİSMARI VƏ İDARƏ EDİLMƏSİ </t>
  </si>
  <si>
    <t>İDMAN KLUBLARININ FƏALİYYƏTİ </t>
  </si>
  <si>
    <t>FİTNES KLUBLARININ FƏALİYYƏTİ </t>
  </si>
  <si>
    <t>İDMAN SAHƏSİNDƏ SAİR FƏALİYYƏT </t>
  </si>
  <si>
    <t>İSTİRAHƏT VƏ ƏYLƏNCƏ PARKLARININ FƏALİYYƏTİ </t>
  </si>
  <si>
    <t>İSTİRAHƏT VƏ ƏYLƏNCƏLƏRİN TƏŞKİLİ ÜZRƏ SAİR FƏALİYYƏT </t>
  </si>
  <si>
    <t>KOMMERSİYA VƏ SAHİBKAR TƏŞKİLATLARIN (CƏMİYYƏTLƏRİN, BİRLİKLƏRİN, İTTİFAQLARIN) FƏALİYYƏTİ </t>
  </si>
  <si>
    <t>PEŞƏKAR BİRLİKLƏRİN (İTTİFAQLARIN) FƏALİYYƏTİ </t>
  </si>
  <si>
    <t>HƏMKARLAR BİRLİKLƏRİNİN (İTTİFAQLARININ) FƏALİYYƏTİ </t>
  </si>
  <si>
    <t>DİNİ TƏŞKİLATLARIN FƏALİYYƏTİ </t>
  </si>
  <si>
    <t>SİYASİ TƏŞKİLATLARIN FƏALİYYƏTİ </t>
  </si>
  <si>
    <t>DİGƏR QRUPLARA DAXİL EDİLMƏYƏN SAİR İCTİMAİ TƏŞKİLATLARIN FƏALİYYƏTİ </t>
  </si>
  <si>
    <t>KOMPYUTERLƏRİN VƏ PERİFERİYA AVADANLIQLARININ TƏMİRİ </t>
  </si>
  <si>
    <t>RABİTƏ AVADANLIQLARININ TƏMİRİ </t>
  </si>
  <si>
    <t>MƏİŞƏT ELEKTRİK AVADANLIQLARININ TƏMİRİ </t>
  </si>
  <si>
    <t>MƏİŞƏT TEXNİKASININ VƏ BAĞ TƏSƏRRÜFATI AVADANLIQLARININ TƏMİRİ </t>
  </si>
  <si>
    <t>AYAQQABI VƏ DƏRİDƏN DİGƏR MƏMULATLARIN TƏMİRİ </t>
  </si>
  <si>
    <t>MEBELLƏRİN VƏ EV ÜÇÜN OXŞAR MƏMULATLARIN TƏMİRİ </t>
  </si>
  <si>
    <t>SAATLARIN VƏ ZƏRGƏRLİK MƏMULATLARININ TƏMİRİ </t>
  </si>
  <si>
    <t>QİYMƏTLİ METALLARDAN VƏ QİYMƏTLİ DAŞLARDAN MƏHSULLARIN, O CÜMLƏDƏN ZƏRGƏRLİK VƏ DİGƏR MƏİŞƏT MƏMULATLARININ HAZIRLANMASI VƏ TƏMİRİ </t>
  </si>
  <si>
    <t>SAİR ŞƏXSİ İSTİFADƏ ƏŞYALARININ VƏ MƏİŞƏT MALLARININ TƏMİRİ </t>
  </si>
  <si>
    <t>TOXUCULUQ VƏ XƏZ MƏMULATLARININ YUYULMASI, KİMYƏVİ TƏMİZLƏNMƏSİ VƏ BOYANMASI  </t>
  </si>
  <si>
    <t>BƏRBƏRXANA VƏ GÖZƏLLİK SALONLARI TƏRƏFİNDƏN XİDMƏTLƏRİN GÖSTƏRİLMƏSİ  </t>
  </si>
  <si>
    <t>DƏFN MƏRASİMLƏRİNİN TƏŞKİLİ VƏ BUNUNLA ƏLAQƏDAR XİDMƏTLƏRİN GÖSTƏRİLMƏSİ </t>
  </si>
  <si>
    <t>FİZİKİ RAHATLIĞIN TƏMİN EDİLMƏSİ ÜZRƏ FƏALİYYƏT </t>
  </si>
  <si>
    <t>DİGƏR QRUPLARA DAXİL EDİLMƏYƏN SAİR FƏRDİ XİDMƏTLƏRİN GÖSTƏRİLMƏSİ </t>
  </si>
  <si>
    <t>MUZDLU İŞÇİLƏRLƏ ŞƏXSİ EV TƏSƏRRÜFATLARININ FƏALİYYƏTİ </t>
  </si>
  <si>
    <t>MUZDLU İŞƏ GÖRƏ ƏMƏK HAQQINDAN GƏLİR VERGİSİ ÖDƏYƏN FİZİKİ ŞƏXS </t>
  </si>
  <si>
    <t>ŞƏXSİ EV TƏSƏRRÜFATINDA FƏRDİ İSTEHLAK ÜÇÜN İSTEHSAL EDİLƏN MƏHSULLAR VƏ GÖSTƏRİLƏN XİDMƏTLƏR </t>
  </si>
  <si>
    <t>EV TƏSƏRRÜFATLARI TƏRƏFİNDƏN ŞƏXSİ İSTEHLAK ÜÇÜN MÜXTƏLİF XİDMƏTLƏRİN GÖSTƏRİLMƏSİ </t>
  </si>
  <si>
    <t>TOXUNULMAZLIQ HÜQUQU OLAN TƏŞKİLATLARIN FƏALİYYƏTİ </t>
  </si>
  <si>
    <t>Fəaliyyət növünün adı:</t>
  </si>
  <si>
    <t>Fəaliyyət növünün kodu:</t>
  </si>
  <si>
    <t>56103</t>
  </si>
  <si>
    <t>56292</t>
  </si>
  <si>
    <t>64922</t>
  </si>
  <si>
    <t>69102</t>
  </si>
  <si>
    <t>69103</t>
  </si>
  <si>
    <t>80201</t>
  </si>
  <si>
    <t>A1. Qeyri-rezidentlər üzrə aktivlərin statistik hesabatı</t>
  </si>
  <si>
    <t>A2. Qeyri-rezidentlər üzrə öhdəliklərin statistik hesabatı</t>
  </si>
  <si>
    <t>Digər dəyişmələr
(artma+/ azalma-)</t>
  </si>
  <si>
    <t>Birbaşa investisiya bölməsindən portfel və ya digər investisiya bölməsinə keçid</t>
  </si>
  <si>
    <t xml:space="preserve">Qeyri-rezident statusundan digər ölkənin rezidenti statusuna keçid </t>
  </si>
  <si>
    <t>Ümidsiz investisiyanın silinməsi</t>
  </si>
  <si>
    <t>Portfel və ya digər investisiya bölməsindən birbaşa investisiya bölməsinə keçid</t>
  </si>
  <si>
    <t>Qeyri-rezident statusundan rezident statusuna keçid</t>
  </si>
  <si>
    <t>Rezident statusundan qeyri-rezident statusuna keçid</t>
  </si>
  <si>
    <t>Digər növlü dəyişmələr</t>
  </si>
  <si>
    <t>15</t>
  </si>
  <si>
    <t>Debitorun rezidentlik mənsubiyyəti</t>
  </si>
  <si>
    <t>Rezident</t>
  </si>
  <si>
    <t>Qeyri-rezident</t>
  </si>
  <si>
    <t>Digər Uzaq Xarici Ölkələr</t>
  </si>
  <si>
    <t>Beynəlxalq Valyuta Fondu</t>
  </si>
  <si>
    <t>Əfqanıstan</t>
  </si>
  <si>
    <t>Albaniya</t>
  </si>
  <si>
    <t>Dünya Bankı (Layihə)</t>
  </si>
  <si>
    <t>Antarktika</t>
  </si>
  <si>
    <t>İslam İnkişaf Bankı Və Küveyt Fondu</t>
  </si>
  <si>
    <t>Əlcəzair</t>
  </si>
  <si>
    <t>Almaniyanin KFV Bankı</t>
  </si>
  <si>
    <t>Kənd Təsərrüfatının İnkişafının Beynəlxalq Fondu</t>
  </si>
  <si>
    <t>Beynəlxalq İqtisadi Əməkdaşlıq Fondu</t>
  </si>
  <si>
    <t>Amerika Samoası</t>
  </si>
  <si>
    <t>Avropa Yenidənqurma Və İnkişaf Bankı</t>
  </si>
  <si>
    <t>Türk Eksimbankı</t>
  </si>
  <si>
    <t>Andorra</t>
  </si>
  <si>
    <t>Britaniya Banklar Qrupu</t>
  </si>
  <si>
    <t>Yaponiya Beynəlxalq Əməkdaşlıq Bankı</t>
  </si>
  <si>
    <t>Beynəlxalq Maliyyə Korporasiyası</t>
  </si>
  <si>
    <t>Anqola</t>
  </si>
  <si>
    <t>Qara Dəniz Ticarət Və İnkişaf Bankı</t>
  </si>
  <si>
    <t>Parlamentlərarası Assambleya</t>
  </si>
  <si>
    <t>Beynəlxalq Qırmızı Xaç Cəmiyyəti</t>
  </si>
  <si>
    <t>Antiqua Və Barbuda</t>
  </si>
  <si>
    <t>İslam İnkişaf Bankı</t>
  </si>
  <si>
    <t>Azərbaycan</t>
  </si>
  <si>
    <t>Argentina</t>
  </si>
  <si>
    <t>Dünya Bankı</t>
  </si>
  <si>
    <t>Digər Beynəlxalq Təşkilatlar</t>
  </si>
  <si>
    <t>Avstraliya</t>
  </si>
  <si>
    <t>Avstriya</t>
  </si>
  <si>
    <t>Avrasiya Fondu</t>
  </si>
  <si>
    <t>Baham Adaları</t>
  </si>
  <si>
    <t>Asiya İnkişaf Bankı</t>
  </si>
  <si>
    <t>OPEC Fondu</t>
  </si>
  <si>
    <t>Bəhreyn</t>
  </si>
  <si>
    <t>Banqladeş</t>
  </si>
  <si>
    <t>Ermənistan</t>
  </si>
  <si>
    <t>Barbados</t>
  </si>
  <si>
    <t>Belçika</t>
  </si>
  <si>
    <t>Bermud Adası</t>
  </si>
  <si>
    <t>Butan</t>
  </si>
  <si>
    <t>Boliviya</t>
  </si>
  <si>
    <t>Bosniya Və Herseqovina</t>
  </si>
  <si>
    <t>Botsvana</t>
  </si>
  <si>
    <t>Bouvet Adaları (Norveç)</t>
  </si>
  <si>
    <t>Braziliya</t>
  </si>
  <si>
    <t>Beliz</t>
  </si>
  <si>
    <t>Birləşmiş Krallıq-Hindistan Okeanı</t>
  </si>
  <si>
    <t>Solomon Adası</t>
  </si>
  <si>
    <t>Virgin Adaları (Britaniya)</t>
  </si>
  <si>
    <t>Bruney-Darüssalam</t>
  </si>
  <si>
    <t>Bolqarıstan</t>
  </si>
  <si>
    <t>Myanma</t>
  </si>
  <si>
    <t>Burundi</t>
  </si>
  <si>
    <t>Belarus</t>
  </si>
  <si>
    <t>Kamboca</t>
  </si>
  <si>
    <t>Kamerun</t>
  </si>
  <si>
    <t>Kanada</t>
  </si>
  <si>
    <t>Kabo-Verde</t>
  </si>
  <si>
    <t>Kayman Adaları</t>
  </si>
  <si>
    <t>Mərkəzi Afrika Respublikası</t>
  </si>
  <si>
    <t>Şri-Lanka</t>
  </si>
  <si>
    <t>Çad</t>
  </si>
  <si>
    <t>Çili</t>
  </si>
  <si>
    <t>Çin</t>
  </si>
  <si>
    <t>Tayvan</t>
  </si>
  <si>
    <t>Krismas Adaları (Avstraliya)</t>
  </si>
  <si>
    <t>Kokos (Kiling) Adaları (Avstraliya)</t>
  </si>
  <si>
    <t>Kolumbiya</t>
  </si>
  <si>
    <t>Qəmər Adaları</t>
  </si>
  <si>
    <t>Meyot (Fransa)</t>
  </si>
  <si>
    <t>Konqo</t>
  </si>
  <si>
    <t>Konqo Demokratik Respublikası</t>
  </si>
  <si>
    <t>Kuk Adası</t>
  </si>
  <si>
    <t>Kosta-Rika</t>
  </si>
  <si>
    <t>Xorvatiya</t>
  </si>
  <si>
    <t>Kuba</t>
  </si>
  <si>
    <t>Kipr</t>
  </si>
  <si>
    <t>Çexiya Respublikası</t>
  </si>
  <si>
    <t>Benin</t>
  </si>
  <si>
    <t>Danimarka</t>
  </si>
  <si>
    <t>Dominika</t>
  </si>
  <si>
    <t>Dominikan Respublikası</t>
  </si>
  <si>
    <t>Ekvador</t>
  </si>
  <si>
    <t>Salvador</t>
  </si>
  <si>
    <t>Ekvatorial Qvineya</t>
  </si>
  <si>
    <t>Həbəşistan</t>
  </si>
  <si>
    <t>Eritreya</t>
  </si>
  <si>
    <t>Estoniya</t>
  </si>
  <si>
    <t>Farer Adaları (Danimarka)</t>
  </si>
  <si>
    <t>Folklend (Malvin) Adaları (Birləşmiş Krallıq)</t>
  </si>
  <si>
    <t>Cənubi Corciya Və Cənubi Sandvic Adaları (Birləşmiş Krallıq)</t>
  </si>
  <si>
    <t>Fici</t>
  </si>
  <si>
    <t>Finlandiya</t>
  </si>
  <si>
    <t>Aland adaları (Finlandiya)</t>
  </si>
  <si>
    <t>Fransa</t>
  </si>
  <si>
    <t>Fransa Qvianası (Fransa)</t>
  </si>
  <si>
    <t>Fransa Polineziyası</t>
  </si>
  <si>
    <t>Fransanın Cənubi Əraziləri</t>
  </si>
  <si>
    <t>Cibuti</t>
  </si>
  <si>
    <t>Qabon</t>
  </si>
  <si>
    <t>Gürcüstan</t>
  </si>
  <si>
    <t>Qambiya</t>
  </si>
  <si>
    <t>İşğal olunmuş Fələstin əraziləri</t>
  </si>
  <si>
    <t>Almaniya</t>
  </si>
  <si>
    <t>Qana</t>
  </si>
  <si>
    <t>Cəbəllütariq</t>
  </si>
  <si>
    <t>Kiribati</t>
  </si>
  <si>
    <t>Yunanıstan</t>
  </si>
  <si>
    <t>Qrenlandiya</t>
  </si>
  <si>
    <t>Qrenada</t>
  </si>
  <si>
    <t>Qvadelupa (Fransa)</t>
  </si>
  <si>
    <t>Quam (ABŞ)</t>
  </si>
  <si>
    <t>Qvatemala</t>
  </si>
  <si>
    <t>Qvineya</t>
  </si>
  <si>
    <t>Qayana</t>
  </si>
  <si>
    <t>Haiti</t>
  </si>
  <si>
    <t>Herd Adası Və Makdonald Adaları (Avstraliya)</t>
  </si>
  <si>
    <t>Müqəddəs Prestol (Vatikan)</t>
  </si>
  <si>
    <t>Honduras</t>
  </si>
  <si>
    <t>Çinin Xüsusi İnzibati Rayonu Honkonq</t>
  </si>
  <si>
    <t>Macarıstan</t>
  </si>
  <si>
    <t>İslandiya</t>
  </si>
  <si>
    <t>Hindistan</t>
  </si>
  <si>
    <t>İndoneziya</t>
  </si>
  <si>
    <t>İran İslam Respublikası</t>
  </si>
  <si>
    <t>İraq</t>
  </si>
  <si>
    <t>İrlandiya</t>
  </si>
  <si>
    <t>İsrail</t>
  </si>
  <si>
    <t>İtaliya</t>
  </si>
  <si>
    <t>Kot-Divuar</t>
  </si>
  <si>
    <t>Yamayka</t>
  </si>
  <si>
    <t>Yaponiya</t>
  </si>
  <si>
    <t>Qazaxıstan</t>
  </si>
  <si>
    <t>İordaniya</t>
  </si>
  <si>
    <t>Keniya</t>
  </si>
  <si>
    <t>Koreya Xalq Demokratik Respublikası</t>
  </si>
  <si>
    <t>Koreya Respublikası</t>
  </si>
  <si>
    <t>Küveyt</t>
  </si>
  <si>
    <t>Qırğızıstan</t>
  </si>
  <si>
    <t>Laos Xalq Demokratik Respublikası</t>
  </si>
  <si>
    <t>Livan</t>
  </si>
  <si>
    <t>Lesoto</t>
  </si>
  <si>
    <t>Latviya</t>
  </si>
  <si>
    <t>Liberiya</t>
  </si>
  <si>
    <t>Liviya</t>
  </si>
  <si>
    <t>Lixtenşteyn</t>
  </si>
  <si>
    <t>Litva</t>
  </si>
  <si>
    <t>Lüksemburq</t>
  </si>
  <si>
    <t>Çinin Xüsusi İnzibati Rayonu Makao</t>
  </si>
  <si>
    <t>Madaqaskar</t>
  </si>
  <si>
    <t>Malavi</t>
  </si>
  <si>
    <t>Malayziya</t>
  </si>
  <si>
    <t>Maldiv Adaları</t>
  </si>
  <si>
    <t>Mali</t>
  </si>
  <si>
    <t>Malta</t>
  </si>
  <si>
    <t>Martinika (Fransa)</t>
  </si>
  <si>
    <t>Mavritaniya</t>
  </si>
  <si>
    <t>Mavrikiya</t>
  </si>
  <si>
    <t>Meksika</t>
  </si>
  <si>
    <t>Monako</t>
  </si>
  <si>
    <t>Monqolustan</t>
  </si>
  <si>
    <t>Moldova Respublikası</t>
  </si>
  <si>
    <t>Monteneqro</t>
  </si>
  <si>
    <t>Monserrat</t>
  </si>
  <si>
    <t>Mərakeş</t>
  </si>
  <si>
    <t>Mozambik</t>
  </si>
  <si>
    <t>Oman</t>
  </si>
  <si>
    <t>Namibiya</t>
  </si>
  <si>
    <t>Nauru</t>
  </si>
  <si>
    <t>Nepal</t>
  </si>
  <si>
    <t>Niderland</t>
  </si>
  <si>
    <t>Niderland Antil Adaları</t>
  </si>
  <si>
    <t>Kurasao</t>
  </si>
  <si>
    <t>Aruba</t>
  </si>
  <si>
    <t>Sint-Marten (Niderland)</t>
  </si>
  <si>
    <t>Bonair, Sint Austatius Və Saba (Niderland)</t>
  </si>
  <si>
    <t>Yeni Kaledoniya</t>
  </si>
  <si>
    <t>Vanuatu</t>
  </si>
  <si>
    <t>Yeni Zelandiya</t>
  </si>
  <si>
    <t>Nikaraqua</t>
  </si>
  <si>
    <t>Niger</t>
  </si>
  <si>
    <t>Nigeriya</t>
  </si>
  <si>
    <t>Niue</t>
  </si>
  <si>
    <t>Norfolk Adası (Avstraliya)</t>
  </si>
  <si>
    <t>Norveç</t>
  </si>
  <si>
    <t>Şimali Maryana Adası</t>
  </si>
  <si>
    <t>Xarici Kiçik Adalar (ABŞ)</t>
  </si>
  <si>
    <t>Mikroneziya Federativ Ştatları</t>
  </si>
  <si>
    <t>Marşal Adası</t>
  </si>
  <si>
    <t>Palau</t>
  </si>
  <si>
    <t>Pakistan</t>
  </si>
  <si>
    <t>Panama</t>
  </si>
  <si>
    <t>Papua-Yeni Qvineya</t>
  </si>
  <si>
    <t>Paraqvay</t>
  </si>
  <si>
    <t>Peru</t>
  </si>
  <si>
    <t>Filippin</t>
  </si>
  <si>
    <t>Pitkern (Birləşmiş Krallıq)</t>
  </si>
  <si>
    <t>Polşa</t>
  </si>
  <si>
    <t>Portuqaliya</t>
  </si>
  <si>
    <t>Qvineya-Bissau</t>
  </si>
  <si>
    <t>Sərqi Timor</t>
  </si>
  <si>
    <t>Puerto-Riko (ABŞ)</t>
  </si>
  <si>
    <t>Qətər</t>
  </si>
  <si>
    <t>Reyunyon (Fransa)</t>
  </si>
  <si>
    <t>Rumıniya</t>
  </si>
  <si>
    <t>Rusiya Federasiyası</t>
  </si>
  <si>
    <t>Ruanda</t>
  </si>
  <si>
    <t>Sent-Bartelemi (Fransa)</t>
  </si>
  <si>
    <t>Müqəddəs Yelena Adası (Birləşmiş Krallıq)</t>
  </si>
  <si>
    <t>Sent-Kits Və Nevis</t>
  </si>
  <si>
    <t>Angiliya (Britaniya)</t>
  </si>
  <si>
    <t>Sent-Lusiya</t>
  </si>
  <si>
    <t>Sint-Marten (Fransa)</t>
  </si>
  <si>
    <t>Sen-Pyer Və Mikelon (Fransa)</t>
  </si>
  <si>
    <t>Sent-Vinsent Və Qrenadin</t>
  </si>
  <si>
    <t>San-Marino</t>
  </si>
  <si>
    <t>San-Tome Və Prinsipi</t>
  </si>
  <si>
    <t>Səudiyyə Ərəbistanı</t>
  </si>
  <si>
    <t>Seneqal</t>
  </si>
  <si>
    <t>Serbiya</t>
  </si>
  <si>
    <t>Seyşel Adaları</t>
  </si>
  <si>
    <t>Syerra- Leone</t>
  </si>
  <si>
    <t>Sinqapur</t>
  </si>
  <si>
    <t>Slovakiya</t>
  </si>
  <si>
    <t>Vyetnam</t>
  </si>
  <si>
    <t>Sloveniya</t>
  </si>
  <si>
    <t>Somali</t>
  </si>
  <si>
    <t>Cənubi Afrika Respublikası</t>
  </si>
  <si>
    <t>Zimbabve</t>
  </si>
  <si>
    <t>İspaniya</t>
  </si>
  <si>
    <t>Cənubi Sudan</t>
  </si>
  <si>
    <t>Qərbi Sahara</t>
  </si>
  <si>
    <t>Sudan</t>
  </si>
  <si>
    <t>Surinam</t>
  </si>
  <si>
    <t>Spisbergen Və Yan Mayen (Norveç)</t>
  </si>
  <si>
    <t>Svazilend</t>
  </si>
  <si>
    <t>İsveç</t>
  </si>
  <si>
    <t>İsveçrə</t>
  </si>
  <si>
    <t>Suriya Ərəb Respublikası</t>
  </si>
  <si>
    <t>Tacikistan</t>
  </si>
  <si>
    <t>Tailand</t>
  </si>
  <si>
    <t>Toqo</t>
  </si>
  <si>
    <t>Tokelau (Yeni Zelandiya)</t>
  </si>
  <si>
    <t>Tonqa</t>
  </si>
  <si>
    <t>Trinidad Və Tobaqo</t>
  </si>
  <si>
    <t>Birləşmiş Ərəb Əmirlikləri</t>
  </si>
  <si>
    <t>Tunis</t>
  </si>
  <si>
    <t>Türkiyə</t>
  </si>
  <si>
    <t>Türkmənistan</t>
  </si>
  <si>
    <t>Türk Və Kaykos Adaları</t>
  </si>
  <si>
    <t>Tuvalu</t>
  </si>
  <si>
    <t>Uqanda</t>
  </si>
  <si>
    <t>Ukrayna</t>
  </si>
  <si>
    <t>Keçmiş Yuqoslaviya Respublikası Makedoniya</t>
  </si>
  <si>
    <t>Misir</t>
  </si>
  <si>
    <t>Birləşmiş Krallıq</t>
  </si>
  <si>
    <t>Normand Adaları</t>
  </si>
  <si>
    <t>Hernsi Adası (Birləşmiş Krallıq)</t>
  </si>
  <si>
    <t>Cersi Adası (Birləşmiş Krallıq)</t>
  </si>
  <si>
    <t>Mən Adası</t>
  </si>
  <si>
    <t>Birləşmiş Tanzaniya Respublikası</t>
  </si>
  <si>
    <t>Amerika Birləşmiş Ştatları</t>
  </si>
  <si>
    <t>Virgin Adaları (ABŞ)</t>
  </si>
  <si>
    <t>Burkina-Faso</t>
  </si>
  <si>
    <t>Uruqvay</t>
  </si>
  <si>
    <t>Özbəkistan</t>
  </si>
  <si>
    <t>Venesuela</t>
  </si>
  <si>
    <t>Vollis Və Futuna Adaları (Fransa)</t>
  </si>
  <si>
    <t>Samoa</t>
  </si>
  <si>
    <t>Yəmən</t>
  </si>
  <si>
    <t>Qərb Sahili Və Qəzza Sektoru</t>
  </si>
  <si>
    <t>Zambiya</t>
  </si>
  <si>
    <t>Ölkə Təyin Olunmayıb</t>
  </si>
  <si>
    <t>Göstərilməyən Rayonlar</t>
  </si>
  <si>
    <t>Qeyri-rezidentin ölkəsi (Azərbaycansız)</t>
  </si>
  <si>
    <t>Faizlər/ dividendlər/ reinvestisiya olunmuş gəlirlər</t>
  </si>
  <si>
    <t>Bazar dəyəri üzrə</t>
  </si>
  <si>
    <t>Balans dəyəri üzrə</t>
  </si>
  <si>
    <t>borcun yenidən rəsmiləşdirilməsi</t>
  </si>
  <si>
    <t>borcun yenidən maliyyələşdirilməsi</t>
  </si>
  <si>
    <t>borcun öz üzərinə götürülməsi</t>
  </si>
  <si>
    <t>Forma XBBİS-1 (Xarici borc və beynəlxalq investisiyalar statistikası)</t>
  </si>
  <si>
    <t>Forma XBBİS-2 (Xarici borc və beynəlxalq investisiyalar statistikası)</t>
  </si>
  <si>
    <t>Forma XBBİS-3 (Xarici borc və beynəlxalq investisiyalar statistikası)</t>
  </si>
  <si>
    <t>"Xarici borc və beynəlxalq investisiyalar haqqında</t>
  </si>
  <si>
    <t xml:space="preserve"> statistik hesabatın tərtibi və təqdim edilməsi haqqında Təlimat"a</t>
  </si>
  <si>
    <t>tələbli depozit (aktiv üzrə)</t>
  </si>
  <si>
    <t>tələbli depozit (öhdəlik üzrə)</t>
  </si>
  <si>
    <t>XARİCİ BORC VƏ BEYNƏLXALQ İNVESTİSİYALAR HAQQINDA STATİSTİK HESABAT</t>
  </si>
  <si>
    <t>Titul vərəqi</t>
  </si>
  <si>
    <t>Titul Vərəqi</t>
  </si>
  <si>
    <t>Birbaşa investisiya müəssisəsi</t>
  </si>
  <si>
    <t>Qohum müəssisə</t>
  </si>
  <si>
    <t>kredit öhdəlikləri</t>
  </si>
  <si>
    <t>kapital investisiyaları üzrə öhdəliklər</t>
  </si>
  <si>
    <t xml:space="preserve">sığorta və pensiya proqramları üzrə borc (aktiv üzrə) </t>
  </si>
  <si>
    <t>BANK MELLİ İRAN BAKI FİLİALI</t>
  </si>
  <si>
    <t>1300036291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</si>
</sst>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i/>
      <sz val="12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  <font>
      <sz val="16"/>
      <color rgb="FF000000"/>
      <name val="Cambria"/>
      <family val="1"/>
    </font>
    <font>
      <sz val="14"/>
      <color rgb="FF00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fontId="14" fillId="0" borderId="0" applyFont="0" applyFill="0" applyBorder="0" applyAlignment="0" applyProtection="0"/>
    <xf numFmtId="0" fontId="2" fillId="0" borderId="0"/>
    <xf numFmtId="0" fontId="1" fillId="0" borderId="0"/>
    <xf numFmtId="9" fontId="14" fillId="0" borderId="0" applyFont="0" applyFill="0" applyBorder="0" applyAlignment="0" applyProtection="0"/>
  </cellStyleXfs>
  <cellXfs count="199">
    <xf numFmtId="0" fontId="0" fillId="0" borderId="0" xfId="0"/>
    <xf numFmtId="0" fontId="16" fillId="0" borderId="1" xfId="0" applyFont="1" applyBorder="1" applyAlignment="1" applyProtection="1">
      <alignment horizontal="center"/>
      <protection locked="0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/>
    <xf numFmtId="9" fontId="1" fillId="0" borderId="0" xfId="4" applyFont="1" applyFill="1" applyAlignment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Border="1" applyAlignment="1">
      <alignment horizontal="left"/>
    </xf>
    <xf numFmtId="0" fontId="26" fillId="0" borderId="0" xfId="0" applyFont="1" applyAlignment="1">
      <alignment horizontal="center"/>
    </xf>
    <xf numFmtId="0" fontId="1" fillId="0" borderId="0" xfId="0" applyFont="1" applyFill="1" applyBorder="1" applyAlignment="1"/>
    <xf numFmtId="9" fontId="1" fillId="0" borderId="0" xfId="4" applyFont="1" applyFill="1" applyAlignment="1">
      <alignment horizontal="center"/>
    </xf>
    <xf numFmtId="9" fontId="1" fillId="0" borderId="0" xfId="4" applyFont="1" applyFill="1" applyAlignment="1">
      <alignment horizontal="left"/>
    </xf>
    <xf numFmtId="1" fontId="1" fillId="0" borderId="0" xfId="0" applyNumberFormat="1" applyFont="1" applyFill="1" applyAlignment="1"/>
    <xf numFmtId="1" fontId="1" fillId="0" borderId="0" xfId="0" applyNumberFormat="1" applyFont="1" applyFill="1" applyAlignment="1">
      <alignment horizontal="center"/>
    </xf>
    <xf numFmtId="1" fontId="1" fillId="0" borderId="0" xfId="0" applyNumberFormat="1" applyFont="1" applyFill="1" applyAlignment="1">
      <alignment horizontal="left"/>
    </xf>
    <xf numFmtId="1" fontId="16" fillId="0" borderId="1" xfId="0" applyNumberFormat="1" applyFont="1" applyBorder="1" applyAlignment="1" applyProtection="1">
      <alignment horizontal="center"/>
      <protection locked="0"/>
    </xf>
    <xf numFmtId="10" fontId="16" fillId="0" borderId="1" xfId="0" applyNumberFormat="1" applyFont="1" applyBorder="1" applyAlignment="1" applyProtection="1">
      <alignment horizontal="center"/>
      <protection locked="0"/>
    </xf>
    <xf numFmtId="14" fontId="16" fillId="0" borderId="1" xfId="0" applyNumberFormat="1" applyFont="1" applyBorder="1" applyAlignment="1" applyProtection="1">
      <alignment horizontal="center"/>
      <protection locked="0"/>
    </xf>
    <xf numFmtId="9" fontId="16" fillId="0" borderId="1" xfId="4" applyFont="1" applyBorder="1" applyAlignment="1" applyProtection="1">
      <alignment horizontal="center"/>
      <protection locked="0"/>
    </xf>
    <xf numFmtId="165" fontId="16" fillId="0" borderId="1" xfId="0" applyNumberFormat="1" applyFont="1" applyBorder="1" applyAlignment="1" applyProtection="1">
      <alignment horizontal="center" vertical="top" wrapText="1"/>
      <protection locked="0"/>
    </xf>
    <xf numFmtId="164" fontId="16" fillId="0" borderId="1" xfId="0" applyNumberFormat="1" applyFont="1" applyBorder="1" applyAlignment="1" applyProtection="1">
      <alignment horizontal="center"/>
      <protection locked="0"/>
    </xf>
    <xf numFmtId="164" fontId="16" fillId="0" borderId="1" xfId="0" applyNumberFormat="1" applyFont="1" applyBorder="1" applyAlignment="1" applyProtection="1">
      <alignment horizontal="left"/>
      <protection locked="0"/>
    </xf>
    <xf numFmtId="0" fontId="17" fillId="0" borderId="0" xfId="0" applyFont="1" applyAlignment="1">
      <alignment horizontal="justify" vertical="center"/>
    </xf>
    <xf numFmtId="0" fontId="26" fillId="5" borderId="16" xfId="0" applyFont="1" applyFill="1" applyBorder="1" applyAlignment="1">
      <alignment horizontal="center"/>
    </xf>
    <xf numFmtId="0" fontId="26" fillId="5" borderId="1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/>
    </xf>
    <xf numFmtId="0" fontId="29" fillId="6" borderId="16" xfId="0" applyFont="1" applyFill="1" applyBorder="1" applyAlignment="1">
      <alignment horizontal="center"/>
    </xf>
    <xf numFmtId="0" fontId="26" fillId="7" borderId="19" xfId="0" applyFont="1" applyFill="1" applyBorder="1" applyAlignment="1">
      <alignment horizontal="center"/>
    </xf>
    <xf numFmtId="0" fontId="29" fillId="6" borderId="16" xfId="0" applyFont="1" applyFill="1" applyBorder="1" applyAlignment="1">
      <alignment horizontal="left"/>
    </xf>
    <xf numFmtId="0" fontId="26" fillId="7" borderId="19" xfId="0" applyFont="1" applyFill="1" applyBorder="1" applyAlignment="1">
      <alignment horizontal="left"/>
    </xf>
    <xf numFmtId="0" fontId="13" fillId="0" borderId="0" xfId="0" applyFont="1" applyFill="1" applyAlignment="1"/>
    <xf numFmtId="0" fontId="12" fillId="0" borderId="1" xfId="0" applyFont="1" applyBorder="1" applyAlignment="1" applyProtection="1">
      <alignment horizontal="center" wrapText="1"/>
      <protection locked="0"/>
    </xf>
    <xf numFmtId="1" fontId="16" fillId="0" borderId="1" xfId="0" applyNumberFormat="1" applyFont="1" applyBorder="1" applyAlignment="1" applyProtection="1">
      <alignment horizontal="center" vertical="top" wrapText="1"/>
      <protection locked="0"/>
    </xf>
    <xf numFmtId="1" fontId="16" fillId="0" borderId="1" xfId="1" applyNumberFormat="1" applyFont="1" applyBorder="1" applyAlignment="1" applyProtection="1">
      <alignment horizontal="center" vertical="top" wrapText="1"/>
      <protection locked="0"/>
    </xf>
    <xf numFmtId="0" fontId="16" fillId="2" borderId="1" xfId="0" applyFont="1" applyFill="1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horizontal="center" vertical="center" wrapText="1"/>
    </xf>
    <xf numFmtId="0" fontId="16" fillId="4" borderId="1" xfId="0" applyFont="1" applyFill="1" applyBorder="1" applyAlignment="1" applyProtection="1">
      <alignment horizontal="center"/>
    </xf>
    <xf numFmtId="165" fontId="16" fillId="3" borderId="1" xfId="4" applyNumberFormat="1" applyFont="1" applyFill="1" applyBorder="1" applyAlignment="1" applyProtection="1">
      <alignment horizontal="center"/>
    </xf>
    <xf numFmtId="165" fontId="16" fillId="3" borderId="1" xfId="4" applyNumberFormat="1" applyFont="1" applyFill="1" applyBorder="1" applyAlignment="1" applyProtection="1">
      <alignment horizontal="center" vertical="center"/>
    </xf>
    <xf numFmtId="165" fontId="16" fillId="3" borderId="1" xfId="0" applyNumberFormat="1" applyFont="1" applyFill="1" applyBorder="1" applyAlignment="1" applyProtection="1">
      <alignment horizontal="center" vertical="center"/>
    </xf>
    <xf numFmtId="165" fontId="16" fillId="3" borderId="1" xfId="0" applyNumberFormat="1" applyFont="1" applyFill="1" applyBorder="1" applyAlignment="1" applyProtection="1">
      <alignment horizontal="center"/>
    </xf>
    <xf numFmtId="0" fontId="16" fillId="3" borderId="0" xfId="0" applyFont="1" applyFill="1" applyProtection="1"/>
    <xf numFmtId="0" fontId="16" fillId="2" borderId="0" xfId="0" applyFont="1" applyFill="1" applyProtection="1"/>
    <xf numFmtId="0" fontId="30" fillId="3" borderId="0" xfId="0" applyFont="1" applyFill="1" applyBorder="1" applyAlignment="1" applyProtection="1">
      <alignment horizontal="center" vertical="center"/>
    </xf>
    <xf numFmtId="0" fontId="16" fillId="3" borderId="0" xfId="0" applyFont="1" applyFill="1" applyBorder="1" applyProtection="1"/>
    <xf numFmtId="0" fontId="16" fillId="2" borderId="0" xfId="0" applyFont="1" applyFill="1" applyBorder="1" applyProtection="1"/>
    <xf numFmtId="0" fontId="18" fillId="3" borderId="0" xfId="0" applyFont="1" applyFill="1" applyAlignment="1" applyProtection="1"/>
    <xf numFmtId="0" fontId="15" fillId="3" borderId="0" xfId="0" applyFont="1" applyFill="1" applyProtection="1"/>
    <xf numFmtId="0" fontId="16" fillId="8" borderId="0" xfId="0" applyFont="1" applyFill="1" applyProtection="1"/>
    <xf numFmtId="0" fontId="16" fillId="3" borderId="0" xfId="0" applyFont="1" applyFill="1" applyBorder="1" applyAlignment="1" applyProtection="1">
      <alignment horizontal="left" vertical="center"/>
    </xf>
    <xf numFmtId="0" fontId="16" fillId="3" borderId="0" xfId="0" applyFont="1" applyFill="1" applyAlignment="1" applyProtection="1">
      <alignment horizontal="left" vertical="center"/>
    </xf>
    <xf numFmtId="0" fontId="18" fillId="3" borderId="0" xfId="0" applyFont="1" applyFill="1" applyAlignment="1" applyProtection="1">
      <alignment horizontal="center"/>
    </xf>
    <xf numFmtId="0" fontId="16" fillId="3" borderId="0" xfId="0" applyFont="1" applyFill="1" applyBorder="1" applyAlignment="1" applyProtection="1">
      <alignment horizontal="center" vertical="center"/>
    </xf>
    <xf numFmtId="0" fontId="16" fillId="3" borderId="0" xfId="0" applyFont="1" applyFill="1" applyAlignment="1" applyProtection="1">
      <alignment horizontal="center" vertical="center"/>
    </xf>
    <xf numFmtId="10" fontId="15" fillId="3" borderId="0" xfId="0" applyNumberFormat="1" applyFont="1" applyFill="1" applyBorder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 wrapText="1"/>
    </xf>
    <xf numFmtId="0" fontId="15" fillId="3" borderId="0" xfId="0" applyFont="1" applyFill="1" applyAlignment="1" applyProtection="1">
      <alignment horizontal="left" vertical="center" wrapText="1"/>
    </xf>
    <xf numFmtId="10" fontId="15" fillId="3" borderId="0" xfId="0" applyNumberFormat="1" applyFont="1" applyFill="1" applyBorder="1" applyAlignment="1" applyProtection="1">
      <alignment horizontal="left" vertical="center"/>
    </xf>
    <xf numFmtId="10" fontId="15" fillId="3" borderId="0" xfId="0" applyNumberFormat="1" applyFont="1" applyFill="1" applyBorder="1" applyAlignment="1" applyProtection="1">
      <alignment horizontal="center"/>
    </xf>
    <xf numFmtId="0" fontId="31" fillId="3" borderId="0" xfId="0" applyFont="1" applyFill="1" applyAlignment="1" applyProtection="1">
      <alignment horizontal="right"/>
    </xf>
    <xf numFmtId="0" fontId="16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vertical="center" wrapText="1"/>
    </xf>
    <xf numFmtId="0" fontId="4" fillId="3" borderId="0" xfId="0" applyFont="1" applyFill="1" applyBorder="1" applyAlignment="1" applyProtection="1">
      <alignment vertical="center" wrapText="1"/>
    </xf>
    <xf numFmtId="0" fontId="17" fillId="8" borderId="0" xfId="0" applyFont="1" applyFill="1" applyProtection="1"/>
    <xf numFmtId="0" fontId="17" fillId="2" borderId="0" xfId="0" applyFont="1" applyFill="1" applyBorder="1" applyProtection="1"/>
    <xf numFmtId="0" fontId="17" fillId="2" borderId="0" xfId="0" applyFont="1" applyFill="1" applyBorder="1" applyAlignment="1" applyProtection="1"/>
    <xf numFmtId="0" fontId="17" fillId="2" borderId="0" xfId="0" applyFont="1" applyFill="1" applyBorder="1" applyAlignment="1" applyProtection="1">
      <alignment horizontal="left"/>
    </xf>
    <xf numFmtId="0" fontId="17" fillId="2" borderId="0" xfId="0" applyFont="1" applyFill="1" applyBorder="1" applyAlignment="1" applyProtection="1">
      <alignment horizontal="center"/>
    </xf>
    <xf numFmtId="164" fontId="17" fillId="2" borderId="0" xfId="0" applyNumberFormat="1" applyFont="1" applyFill="1" applyBorder="1" applyProtection="1"/>
    <xf numFmtId="0" fontId="5" fillId="2" borderId="0" xfId="0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left" wrapText="1"/>
    </xf>
    <xf numFmtId="0" fontId="5" fillId="2" borderId="0" xfId="0" applyFont="1" applyFill="1" applyBorder="1" applyAlignment="1" applyProtection="1">
      <alignment horizontal="left"/>
    </xf>
    <xf numFmtId="0" fontId="18" fillId="2" borderId="0" xfId="0" applyFont="1" applyFill="1" applyBorder="1" applyAlignment="1" applyProtection="1">
      <alignment wrapText="1"/>
    </xf>
    <xf numFmtId="0" fontId="18" fillId="2" borderId="0" xfId="0" applyFont="1" applyFill="1" applyBorder="1" applyAlignment="1" applyProtection="1">
      <alignment horizontal="left" wrapText="1"/>
    </xf>
    <xf numFmtId="0" fontId="17" fillId="2" borderId="0" xfId="0" applyFont="1" applyFill="1" applyBorder="1" applyAlignment="1" applyProtection="1">
      <alignment horizontal="center" wrapText="1"/>
    </xf>
    <xf numFmtId="164" fontId="17" fillId="2" borderId="0" xfId="0" applyNumberFormat="1" applyFont="1" applyFill="1" applyBorder="1" applyAlignment="1" applyProtection="1">
      <alignment horizontal="center" wrapText="1"/>
    </xf>
    <xf numFmtId="49" fontId="17" fillId="2" borderId="0" xfId="0" applyNumberFormat="1" applyFont="1" applyFill="1" applyBorder="1" applyAlignment="1" applyProtection="1">
      <alignment horizontal="center"/>
    </xf>
    <xf numFmtId="166" fontId="17" fillId="2" borderId="0" xfId="0" applyNumberFormat="1" applyFont="1" applyFill="1" applyBorder="1" applyAlignment="1" applyProtection="1">
      <alignment horizontal="left" wrapText="1"/>
    </xf>
    <xf numFmtId="0" fontId="17" fillId="2" borderId="0" xfId="0" applyFont="1" applyFill="1" applyBorder="1" applyAlignment="1" applyProtection="1">
      <alignment wrapText="1"/>
    </xf>
    <xf numFmtId="0" fontId="19" fillId="2" borderId="0" xfId="0" applyFont="1" applyFill="1" applyBorder="1" applyAlignment="1" applyProtection="1">
      <alignment horizontal="left" vertical="center" wrapText="1"/>
    </xf>
    <xf numFmtId="0" fontId="17" fillId="2" borderId="0" xfId="0" applyFont="1" applyFill="1" applyBorder="1" applyAlignment="1" applyProtection="1">
      <alignment horizontal="left" vertical="center" wrapText="1"/>
    </xf>
    <xf numFmtId="0" fontId="16" fillId="2" borderId="0" xfId="0" applyFont="1" applyFill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20" fillId="2" borderId="0" xfId="0" applyFont="1" applyFill="1" applyBorder="1" applyAlignment="1" applyProtection="1"/>
    <xf numFmtId="0" fontId="25" fillId="2" borderId="0" xfId="0" applyFont="1" applyFill="1" applyBorder="1" applyAlignment="1" applyProtection="1"/>
    <xf numFmtId="0" fontId="25" fillId="2" borderId="0" xfId="0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left"/>
    </xf>
    <xf numFmtId="0" fontId="21" fillId="2" borderId="0" xfId="0" applyFont="1" applyFill="1" applyBorder="1" applyAlignment="1" applyProtection="1"/>
    <xf numFmtId="0" fontId="22" fillId="2" borderId="0" xfId="0" applyFont="1" applyFill="1" applyBorder="1" applyAlignment="1" applyProtection="1">
      <alignment horizontal="center"/>
    </xf>
    <xf numFmtId="164" fontId="17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 vertical="center"/>
    </xf>
    <xf numFmtId="0" fontId="28" fillId="2" borderId="2" xfId="0" applyFont="1" applyFill="1" applyBorder="1" applyAlignment="1" applyProtection="1"/>
    <xf numFmtId="0" fontId="17" fillId="2" borderId="2" xfId="0" applyFont="1" applyFill="1" applyBorder="1" applyAlignment="1" applyProtection="1">
      <alignment horizontal="center"/>
    </xf>
    <xf numFmtId="0" fontId="23" fillId="2" borderId="2" xfId="0" applyFont="1" applyFill="1" applyBorder="1" applyAlignment="1" applyProtection="1"/>
    <xf numFmtId="0" fontId="23" fillId="2" borderId="2" xfId="0" applyFont="1" applyFill="1" applyBorder="1" applyAlignment="1" applyProtection="1">
      <alignment horizontal="left"/>
    </xf>
    <xf numFmtId="0" fontId="18" fillId="2" borderId="2" xfId="0" applyFont="1" applyFill="1" applyBorder="1" applyAlignment="1" applyProtection="1"/>
    <xf numFmtId="165" fontId="7" fillId="2" borderId="0" xfId="2" applyNumberFormat="1" applyFont="1" applyFill="1" applyBorder="1" applyAlignment="1" applyProtection="1">
      <alignment horizontal="left"/>
    </xf>
    <xf numFmtId="0" fontId="24" fillId="2" borderId="0" xfId="0" applyFont="1" applyFill="1" applyBorder="1" applyAlignment="1" applyProtection="1">
      <alignment horizontal="center"/>
    </xf>
    <xf numFmtId="165" fontId="7" fillId="2" borderId="0" xfId="2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left" vertical="center"/>
    </xf>
    <xf numFmtId="49" fontId="17" fillId="2" borderId="0" xfId="0" applyNumberFormat="1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/>
    <xf numFmtId="49" fontId="25" fillId="2" borderId="0" xfId="0" applyNumberFormat="1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17" fillId="3" borderId="3" xfId="0" applyFont="1" applyFill="1" applyBorder="1" applyAlignment="1" applyProtection="1">
      <alignment horizontal="center" vertical="center" wrapText="1"/>
    </xf>
    <xf numFmtId="0" fontId="7" fillId="3" borderId="3" xfId="0" applyFont="1" applyFill="1" applyBorder="1" applyAlignment="1" applyProtection="1">
      <alignment horizontal="center" vertical="center" wrapText="1"/>
    </xf>
    <xf numFmtId="0" fontId="17" fillId="3" borderId="1" xfId="0" applyFont="1" applyFill="1" applyBorder="1" applyAlignment="1" applyProtection="1">
      <alignment horizontal="center" vertical="center" wrapText="1"/>
    </xf>
    <xf numFmtId="0" fontId="7" fillId="3" borderId="1" xfId="0" applyFont="1" applyFill="1" applyBorder="1" applyAlignment="1" applyProtection="1">
      <alignment horizontal="center" vertical="center" wrapText="1"/>
    </xf>
    <xf numFmtId="2" fontId="17" fillId="3" borderId="1" xfId="0" applyNumberFormat="1" applyFont="1" applyFill="1" applyBorder="1" applyAlignment="1" applyProtection="1">
      <alignment horizontal="center" vertical="center" wrapText="1"/>
    </xf>
    <xf numFmtId="0" fontId="5" fillId="3" borderId="3" xfId="0" applyFont="1" applyFill="1" applyBorder="1" applyAlignment="1" applyProtection="1">
      <alignment horizontal="center" vertical="center" wrapText="1"/>
    </xf>
    <xf numFmtId="49" fontId="7" fillId="3" borderId="3" xfId="3" applyNumberFormat="1" applyFont="1" applyFill="1" applyBorder="1" applyAlignment="1" applyProtection="1">
      <alignment horizontal="center" vertical="center" wrapText="1"/>
    </xf>
    <xf numFmtId="0" fontId="16" fillId="3" borderId="4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center"/>
    </xf>
    <xf numFmtId="165" fontId="17" fillId="2" borderId="0" xfId="0" applyNumberFormat="1" applyFont="1" applyFill="1" applyBorder="1" applyProtection="1"/>
    <xf numFmtId="165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5" fillId="2" borderId="0" xfId="0" applyFont="1" applyFill="1" applyBorder="1" applyAlignment="1" applyProtection="1"/>
    <xf numFmtId="0" fontId="11" fillId="2" borderId="0" xfId="0" applyFont="1" applyFill="1" applyBorder="1" applyAlignment="1" applyProtection="1">
      <alignment horizontal="left" wrapText="1"/>
    </xf>
    <xf numFmtId="0" fontId="5" fillId="2" borderId="0" xfId="0" applyFont="1" applyFill="1" applyBorder="1" applyAlignment="1" applyProtection="1">
      <alignment horizontal="left" wrapText="1"/>
    </xf>
    <xf numFmtId="0" fontId="10" fillId="2" borderId="0" xfId="0" applyFont="1" applyFill="1" applyBorder="1" applyAlignment="1" applyProtection="1"/>
    <xf numFmtId="0" fontId="9" fillId="2" borderId="0" xfId="0" applyFont="1" applyFill="1" applyBorder="1" applyAlignment="1" applyProtection="1"/>
    <xf numFmtId="0" fontId="27" fillId="2" borderId="2" xfId="0" applyFont="1" applyFill="1" applyBorder="1" applyAlignment="1" applyProtection="1"/>
    <xf numFmtId="0" fontId="7" fillId="3" borderId="1" xfId="3" applyFont="1" applyFill="1" applyBorder="1" applyAlignment="1" applyProtection="1">
      <alignment horizontal="center" vertical="center" wrapText="1"/>
    </xf>
    <xf numFmtId="0" fontId="17" fillId="3" borderId="5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32" fillId="3" borderId="0" xfId="0" applyFont="1" applyFill="1" applyAlignment="1" applyProtection="1">
      <alignment horizontal="center" vertical="center" wrapText="1"/>
    </xf>
    <xf numFmtId="0" fontId="32" fillId="3" borderId="0" xfId="0" applyFont="1" applyFill="1" applyBorder="1" applyAlignment="1" applyProtection="1">
      <alignment horizontal="center" vertical="center"/>
    </xf>
    <xf numFmtId="0" fontId="15" fillId="3" borderId="0" xfId="0" applyFont="1" applyFill="1" applyAlignment="1" applyProtection="1">
      <alignment horizontal="left" vertical="center" wrapText="1"/>
    </xf>
    <xf numFmtId="0" fontId="15" fillId="3" borderId="8" xfId="0" applyFont="1" applyFill="1" applyBorder="1" applyAlignment="1" applyProtection="1">
      <alignment horizontal="left" vertical="center" wrapText="1"/>
    </xf>
    <xf numFmtId="49" fontId="15" fillId="0" borderId="3" xfId="0" applyNumberFormat="1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/>
    </xf>
    <xf numFmtId="49" fontId="15" fillId="2" borderId="6" xfId="0" applyNumberFormat="1" applyFont="1" applyFill="1" applyBorder="1" applyAlignment="1" applyProtection="1">
      <alignment horizontal="center" vertical="center"/>
      <protection locked="0"/>
    </xf>
    <xf numFmtId="49" fontId="15" fillId="2" borderId="7" xfId="0" applyNumberFormat="1" applyFont="1" applyFill="1" applyBorder="1" applyAlignment="1" applyProtection="1">
      <alignment horizontal="center" vertical="center"/>
      <protection locked="0"/>
    </xf>
    <xf numFmtId="166" fontId="15" fillId="0" borderId="5" xfId="0" applyNumberFormat="1" applyFont="1" applyFill="1" applyBorder="1" applyAlignment="1" applyProtection="1">
      <alignment horizontal="center" vertical="center"/>
      <protection locked="0"/>
    </xf>
    <xf numFmtId="166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/>
    </xf>
    <xf numFmtId="0" fontId="15" fillId="3" borderId="8" xfId="0" applyFont="1" applyFill="1" applyBorder="1" applyAlignment="1" applyProtection="1">
      <alignment horizontal="left" vertical="center"/>
    </xf>
    <xf numFmtId="0" fontId="21" fillId="3" borderId="0" xfId="0" applyFont="1" applyFill="1" applyBorder="1" applyAlignment="1" applyProtection="1">
      <alignment horizontal="center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9" borderId="5" xfId="0" applyNumberFormat="1" applyFont="1" applyFill="1" applyBorder="1" applyAlignment="1" applyProtection="1">
      <alignment horizontal="left" vertical="center"/>
    </xf>
    <xf numFmtId="0" fontId="15" fillId="9" borderId="9" xfId="0" applyNumberFormat="1" applyFont="1" applyFill="1" applyBorder="1" applyAlignment="1" applyProtection="1">
      <alignment horizontal="left" vertical="center"/>
    </xf>
    <xf numFmtId="0" fontId="15" fillId="9" borderId="4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 applyProtection="1">
      <alignment horizontal="center"/>
    </xf>
    <xf numFmtId="49" fontId="7" fillId="3" borderId="5" xfId="3" applyNumberFormat="1" applyFont="1" applyFill="1" applyBorder="1" applyAlignment="1" applyProtection="1">
      <alignment horizontal="center" vertical="center" wrapText="1"/>
    </xf>
    <xf numFmtId="49" fontId="7" fillId="3" borderId="4" xfId="3" applyNumberFormat="1" applyFont="1" applyFill="1" applyBorder="1" applyAlignment="1" applyProtection="1">
      <alignment horizontal="center" vertical="center" wrapText="1"/>
    </xf>
    <xf numFmtId="164" fontId="17" fillId="3" borderId="3" xfId="0" applyNumberFormat="1" applyFont="1" applyFill="1" applyBorder="1" applyAlignment="1" applyProtection="1">
      <alignment horizontal="center" vertical="center" wrapText="1"/>
    </xf>
    <xf numFmtId="164" fontId="17" fillId="3" borderId="10" xfId="0" applyNumberFormat="1" applyFont="1" applyFill="1" applyBorder="1" applyAlignment="1" applyProtection="1">
      <alignment horizontal="center" vertical="center" wrapText="1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9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12" xfId="0" applyFont="1" applyFill="1" applyBorder="1" applyAlignment="1" applyProtection="1">
      <alignment horizontal="center" vertical="center" wrapText="1"/>
    </xf>
    <xf numFmtId="0" fontId="17" fillId="3" borderId="13" xfId="0" applyFont="1" applyFill="1" applyBorder="1" applyAlignment="1" applyProtection="1">
      <alignment horizontal="center" vertical="center" wrapText="1"/>
    </xf>
    <xf numFmtId="0" fontId="17" fillId="3" borderId="14" xfId="0" applyFont="1" applyFill="1" applyBorder="1" applyAlignment="1" applyProtection="1">
      <alignment horizontal="center" vertical="center" wrapText="1"/>
    </xf>
    <xf numFmtId="0" fontId="17" fillId="3" borderId="8" xfId="0" applyFont="1" applyFill="1" applyBorder="1" applyAlignment="1" applyProtection="1">
      <alignment horizontal="center" vertical="center" wrapText="1"/>
    </xf>
    <xf numFmtId="0" fontId="17" fillId="3" borderId="3" xfId="0" applyFont="1" applyFill="1" applyBorder="1" applyAlignment="1" applyProtection="1">
      <alignment horizontal="center" vertical="center" wrapText="1"/>
    </xf>
    <xf numFmtId="0" fontId="17" fillId="3" borderId="10" xfId="0" applyFont="1" applyFill="1" applyBorder="1" applyAlignment="1" applyProtection="1">
      <alignment horizontal="center" vertical="center" wrapText="1"/>
    </xf>
    <xf numFmtId="0" fontId="7" fillId="3" borderId="3" xfId="0" applyFont="1" applyFill="1" applyBorder="1" applyAlignment="1" applyProtection="1">
      <alignment horizontal="center" vertical="center" wrapText="1"/>
    </xf>
    <xf numFmtId="0" fontId="7" fillId="3" borderId="10" xfId="0" applyFont="1" applyFill="1" applyBorder="1" applyAlignment="1" applyProtection="1">
      <alignment horizontal="center" vertical="center" wrapText="1"/>
    </xf>
    <xf numFmtId="0" fontId="17" fillId="3" borderId="1" xfId="0" applyFont="1" applyFill="1" applyBorder="1" applyAlignment="1" applyProtection="1">
      <alignment horizontal="center" vertical="center"/>
    </xf>
    <xf numFmtId="164" fontId="17" fillId="3" borderId="11" xfId="0" applyNumberFormat="1" applyFont="1" applyFill="1" applyBorder="1" applyAlignment="1" applyProtection="1">
      <alignment horizontal="center" vertical="center" wrapText="1"/>
    </xf>
    <xf numFmtId="0" fontId="25" fillId="2" borderId="0" xfId="0" applyFont="1" applyFill="1" applyAlignment="1" applyProtection="1">
      <alignment horizontal="center"/>
    </xf>
    <xf numFmtId="0" fontId="17" fillId="2" borderId="2" xfId="0" applyFont="1" applyFill="1" applyBorder="1" applyAlignment="1" applyProtection="1">
      <alignment horizontal="center"/>
    </xf>
    <xf numFmtId="49" fontId="7" fillId="3" borderId="1" xfId="3" applyNumberFormat="1" applyFont="1" applyFill="1" applyBorder="1" applyAlignment="1" applyProtection="1">
      <alignment horizontal="center" vertical="center" wrapText="1"/>
    </xf>
    <xf numFmtId="0" fontId="7" fillId="3" borderId="5" xfId="3" applyFont="1" applyFill="1" applyBorder="1" applyAlignment="1" applyProtection="1">
      <alignment horizontal="center" vertical="center" wrapText="1"/>
    </xf>
    <xf numFmtId="0" fontId="7" fillId="3" borderId="4" xfId="3" applyFont="1" applyFill="1" applyBorder="1" applyAlignment="1" applyProtection="1">
      <alignment horizontal="center" vertical="center" wrapText="1"/>
    </xf>
    <xf numFmtId="0" fontId="7" fillId="3" borderId="12" xfId="0" applyFont="1" applyFill="1" applyBorder="1" applyAlignment="1" applyProtection="1">
      <alignment horizontal="center" vertical="center" wrapText="1"/>
    </xf>
    <xf numFmtId="0" fontId="7" fillId="3" borderId="15" xfId="0" applyFont="1" applyFill="1" applyBorder="1" applyAlignment="1" applyProtection="1">
      <alignment horizontal="center" vertical="center" wrapText="1"/>
    </xf>
    <xf numFmtId="0" fontId="7" fillId="3" borderId="13" xfId="0" applyFont="1" applyFill="1" applyBorder="1" applyAlignment="1" applyProtection="1">
      <alignment horizontal="center" vertical="center" wrapText="1"/>
    </xf>
    <xf numFmtId="0" fontId="17" fillId="3" borderId="5" xfId="0" applyFont="1" applyFill="1" applyBorder="1" applyAlignment="1" applyProtection="1">
      <alignment horizontal="center" vertical="center" wrapText="1"/>
    </xf>
    <xf numFmtId="0" fontId="17" fillId="3" borderId="9" xfId="0" applyFont="1" applyFill="1" applyBorder="1" applyAlignment="1" applyProtection="1">
      <alignment horizontal="center" vertical="center" wrapText="1"/>
    </xf>
    <xf numFmtId="0" fontId="17" fillId="3" borderId="4" xfId="0" applyFont="1" applyFill="1" applyBorder="1" applyAlignment="1" applyProtection="1">
      <alignment horizontal="center" vertical="center" wrapText="1"/>
    </xf>
    <xf numFmtId="0" fontId="7" fillId="3" borderId="11" xfId="0" applyFont="1" applyFill="1" applyBorder="1" applyAlignment="1" applyProtection="1">
      <alignment horizontal="center" vertical="center" wrapText="1"/>
    </xf>
    <xf numFmtId="0" fontId="7" fillId="3" borderId="1" xfId="3" applyFont="1" applyFill="1" applyBorder="1" applyAlignment="1" applyProtection="1">
      <alignment horizontal="center" vertical="center" wrapText="1"/>
    </xf>
    <xf numFmtId="0" fontId="7" fillId="3" borderId="9" xfId="3" applyFont="1" applyFill="1" applyBorder="1" applyAlignment="1" applyProtection="1">
      <alignment horizontal="center" vertical="center" wrapText="1"/>
    </xf>
    <xf numFmtId="0" fontId="5" fillId="3" borderId="12" xfId="0" applyFont="1" applyFill="1" applyBorder="1" applyAlignment="1" applyProtection="1">
      <alignment horizontal="center" vertical="center" wrapText="1"/>
    </xf>
    <xf numFmtId="0" fontId="5" fillId="3" borderId="13" xfId="0" applyFont="1" applyFill="1" applyBorder="1" applyAlignment="1" applyProtection="1">
      <alignment horizontal="center" vertical="center" wrapText="1"/>
    </xf>
    <xf numFmtId="0" fontId="5" fillId="3" borderId="14" xfId="0" applyFont="1" applyFill="1" applyBorder="1" applyAlignment="1" applyProtection="1">
      <alignment horizontal="center" vertical="center" wrapText="1"/>
    </xf>
    <xf numFmtId="0" fontId="5" fillId="3" borderId="8" xfId="0" applyFont="1" applyFill="1" applyBorder="1" applyAlignment="1" applyProtection="1">
      <alignment horizontal="center" vertical="center" wrapText="1"/>
    </xf>
    <xf numFmtId="0" fontId="17" fillId="3" borderId="6" xfId="0" applyFont="1" applyFill="1" applyBorder="1" applyAlignment="1" applyProtection="1">
      <alignment horizontal="center" vertical="center" wrapText="1"/>
    </xf>
    <xf numFmtId="0" fontId="17" fillId="3" borderId="7" xfId="0" applyFont="1" applyFill="1" applyBorder="1" applyAlignment="1" applyProtection="1">
      <alignment horizontal="center" vertical="center" wrapText="1"/>
    </xf>
    <xf numFmtId="0" fontId="7" fillId="3" borderId="3" xfId="3" applyFont="1" applyFill="1" applyBorder="1" applyAlignment="1" applyProtection="1">
      <alignment horizontal="center" vertical="center" wrapText="1"/>
    </xf>
    <xf numFmtId="0" fontId="7" fillId="3" borderId="10" xfId="3" applyFont="1" applyFill="1" applyBorder="1" applyAlignment="1" applyProtection="1">
      <alignment horizontal="center" vertical="center" wrapText="1"/>
    </xf>
    <xf numFmtId="0" fontId="7" fillId="3" borderId="11" xfId="3" applyFont="1" applyFill="1" applyBorder="1" applyAlignment="1" applyProtection="1">
      <alignment horizontal="center" vertical="center" wrapText="1"/>
    </xf>
    <xf numFmtId="0" fontId="25" fillId="2" borderId="0" xfId="0" applyFont="1" applyFill="1" applyBorder="1" applyAlignment="1" applyProtection="1">
      <alignment horizontal="left"/>
    </xf>
    <xf numFmtId="0" fontId="25" fillId="2" borderId="0" xfId="0" applyFont="1" applyFill="1" applyBorder="1" applyAlignment="1" applyProtection="1">
      <alignment horizontal="left" wrapText="1"/>
    </xf>
    <xf numFmtId="0" fontId="25" fillId="2" borderId="0" xfId="0" applyFont="1" applyFill="1" applyBorder="1" applyAlignment="1" applyProtection="1">
      <alignment horizontal="left" vertical="center" wrapText="1"/>
    </xf>
    <xf numFmtId="0" fontId="16" fillId="3" borderId="3" xfId="0" applyFont="1" applyFill="1" applyBorder="1" applyAlignment="1" applyProtection="1">
      <alignment horizontal="center" vertical="center" wrapText="1"/>
    </xf>
    <xf numFmtId="0" fontId="16" fillId="3" borderId="10" xfId="0" applyFont="1" applyFill="1" applyBorder="1" applyAlignment="1" applyProtection="1">
      <alignment horizontal="center" vertical="center" wrapText="1"/>
    </xf>
    <xf numFmtId="0" fontId="17" fillId="2" borderId="0" xfId="0" applyFont="1" applyFill="1" applyBorder="1" applyAlignment="1" applyProtection="1">
      <alignment horizontal="left" vertical="center" wrapText="1"/>
    </xf>
    <xf numFmtId="49" fontId="7" fillId="3" borderId="3" xfId="3" applyNumberFormat="1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 vertical="center" wrapText="1"/>
    </xf>
    <xf numFmtId="0" fontId="5" fillId="3" borderId="3" xfId="0" applyFont="1" applyFill="1" applyBorder="1" applyAlignment="1" applyProtection="1">
      <alignment horizontal="center" vertical="center" wrapText="1"/>
    </xf>
    <xf numFmtId="0" fontId="17" fillId="3" borderId="11" xfId="0" applyFont="1" applyFill="1" applyBorder="1" applyAlignment="1" applyProtection="1">
      <alignment horizontal="center" vertical="center" wrapText="1"/>
    </xf>
    <xf numFmtId="0" fontId="0" fillId="0" borderId="10" xfId="0" applyBorder="1" applyProtection="1"/>
    <xf numFmtId="0" fontId="0" fillId="0" borderId="11" xfId="0" applyBorder="1" applyProtection="1"/>
    <xf numFmtId="0" fontId="17" fillId="3" borderId="10" xfId="0" applyFont="1" applyFill="1" applyBorder="1" applyAlignment="1" applyProtection="1">
      <alignment horizontal="center" vertical="center"/>
    </xf>
    <xf numFmtId="0" fontId="17" fillId="3" borderId="11" xfId="0" applyFont="1" applyFill="1" applyBorder="1" applyAlignment="1" applyProtection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 headerRowBorderDxfId="5"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1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style="63" customWidth="1"/>
    <col min="2" max="2" width="35.7109375" style="63" customWidth="1"/>
    <col min="3" max="3" width="17.42578125" style="63" customWidth="1"/>
    <col min="4" max="4" width="9.140625" style="63" customWidth="1"/>
    <col min="5" max="5" width="13.28515625" style="63" customWidth="1"/>
    <col min="6" max="6" width="23.42578125" style="48" customWidth="1"/>
    <col min="7" max="10" width="9.140625" style="48" customWidth="1"/>
    <col min="11" max="11" width="25.28515625" style="48" customWidth="1"/>
    <col min="12" max="13" width="9.140625" style="48" customWidth="1"/>
    <col min="14" max="14" width="12.140625" style="48" customWidth="1"/>
    <col min="15" max="17" width="9.140625" style="48" customWidth="1"/>
    <col min="18" max="18" width="14.28515625" style="48" customWidth="1"/>
    <col min="19" max="23" width="9.140625" style="48" customWidth="1"/>
    <col min="24" max="26" width="9.140625" style="42" customWidth="1"/>
    <col min="27" max="16384" width="9.140625" style="42" hidden="1"/>
  </cols>
  <sheetData>
    <row r="1" spans="1:26" ht="51.75" customHeight="1" x14ac:dyDescent="0.2">
      <c r="A1" s="41"/>
      <c r="B1" s="125" t="s">
        <v>416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spans="1:26" ht="28.5" customHeight="1" x14ac:dyDescent="0.2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spans="1:26" ht="15" hidden="1" customHeight="1" x14ac:dyDescent="0.2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spans="1:26" ht="15" hidden="1" customHeight="1" x14ac:dyDescent="0.2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spans="1:26" ht="34.5" customHeight="1" x14ac:dyDescent="0.2">
      <c r="A5" s="41"/>
      <c r="B5" s="126" t="s">
        <v>413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spans="1:26" ht="22.5" customHeight="1" x14ac:dyDescent="0.2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43.5" customHeight="1" x14ac:dyDescent="0.2">
      <c r="A7" s="41"/>
      <c r="B7" s="126" t="s">
        <v>2391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spans="1:26" ht="75" customHeight="1" x14ac:dyDescent="0.2">
      <c r="A8" s="126" t="s">
        <v>2392</v>
      </c>
      <c r="B8" s="126"/>
      <c r="C8" s="126"/>
      <c r="D8" s="126"/>
      <c r="E8" s="126"/>
      <c r="F8" s="126"/>
      <c r="G8" s="126"/>
      <c r="H8" s="126"/>
      <c r="I8" s="126"/>
      <c r="J8" s="126" t="s">
        <v>2393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spans="1:26" s="45" customFormat="1" ht="33.75" x14ac:dyDescent="0.5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0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spans="1:26" s="48" customFormat="1" ht="32.25" customHeight="1" x14ac:dyDescent="0.35">
      <c r="A10" s="135" t="s">
        <v>1</v>
      </c>
      <c r="B10" s="135"/>
      <c r="C10" s="135"/>
      <c r="D10" s="138" t="s">
        <v>2399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spans="1:26" s="48" customFormat="1" ht="18" x14ac:dyDescent="0.25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170</v>
      </c>
      <c r="O11" s="41"/>
      <c r="P11" s="41"/>
      <c r="Q11" s="41"/>
      <c r="R11" s="51" t="s">
        <v>171</v>
      </c>
      <c r="S11" s="41"/>
      <c r="T11" s="41"/>
      <c r="U11" s="41"/>
      <c r="V11" s="41"/>
      <c r="W11" s="41"/>
      <c r="X11" s="41"/>
      <c r="Y11" s="41"/>
      <c r="Z11" s="41"/>
    </row>
    <row r="12" spans="1:26" s="48" customFormat="1" ht="28.5" customHeight="1" x14ac:dyDescent="0.2">
      <c r="A12" s="135" t="s">
        <v>405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s="48" customFormat="1" ht="28.5" customHeight="1" x14ac:dyDescent="0.2">
      <c r="A13" s="135" t="s">
        <v>169</v>
      </c>
      <c r="B13" s="135"/>
      <c r="C13" s="136"/>
      <c r="D13" s="129" t="s">
        <v>2400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s="48" customFormat="1" ht="39.75" customHeight="1" x14ac:dyDescent="0.2">
      <c r="A14" s="127" t="s">
        <v>2080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spans="1:26" s="48" customFormat="1" ht="28.5" customHeight="1" x14ac:dyDescent="0.35">
      <c r="A15" s="127" t="s">
        <v>2081</v>
      </c>
      <c r="B15" s="127"/>
      <c r="C15" s="128"/>
      <c r="D15" s="131" t="s">
        <v>1161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s="48" customFormat="1" ht="23.25" customHeight="1" x14ac:dyDescent="0.2">
      <c r="A16" s="127" t="s">
        <v>177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s="48" customFormat="1" ht="20.25" x14ac:dyDescent="0.3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s="48" customFormat="1" ht="30.75" customHeight="1" x14ac:dyDescent="0.3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spans="1:26" ht="84.75" customHeight="1" x14ac:dyDescent="0.2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spans="1:26" ht="52.5" customHeight="1" x14ac:dyDescent="0.2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spans="1:26" ht="27" customHeight="1" x14ac:dyDescent="0.2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spans="1:26" ht="27.6" customHeight="1" x14ac:dyDescent="0.2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spans="1:26" ht="23.45" customHeight="1" x14ac:dyDescent="0.2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spans="1:26" ht="17.45" customHeight="1" x14ac:dyDescent="0.2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 count="18"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>
      <formula1>0</formula1>
      <formula2>1</formula2>
    </dataValidation>
    <dataValidation type="list" allowBlank="1" showInputMessage="1" showErrorMessage="1" sqref="R10">
      <formula1>Year</formula1>
    </dataValidation>
    <dataValidation type="list" allowBlank="1" showInputMessage="1" showErrorMessage="1" sqref="N10">
      <formula1>Kvartal</formula1>
    </dataValidation>
    <dataValidation type="list" allowBlank="1" showInputMessage="1" showErrorMessage="1" sqref="D15:E15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>
      <formula1>AND(LEN(D13)=10,ISNUMBER(VALUE(D13)))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style="64" customWidth="1"/>
    <col min="2" max="2" width="27.28515625" style="64" customWidth="1"/>
    <col min="3" max="3" width="22.42578125" style="64" customWidth="1"/>
    <col min="4" max="4" width="18.42578125" style="64" customWidth="1"/>
    <col min="5" max="5" width="39.140625" style="65" bestFit="1" customWidth="1"/>
    <col min="6" max="6" width="13.140625" style="64" customWidth="1"/>
    <col min="7" max="7" width="85.5703125" style="66" customWidth="1"/>
    <col min="8" max="8" width="8.42578125" style="64" customWidth="1"/>
    <col min="9" max="9" width="28" style="64" customWidth="1"/>
    <col min="10" max="10" width="7.85546875" style="64" customWidth="1"/>
    <col min="11" max="11" width="29.42578125" style="66" customWidth="1"/>
    <col min="12" max="12" width="15.140625" style="64" customWidth="1"/>
    <col min="13" max="13" width="22.42578125" style="66" customWidth="1"/>
    <col min="14" max="16" width="15.140625" style="64" customWidth="1"/>
    <col min="17" max="17" width="21.85546875" style="64" customWidth="1"/>
    <col min="18" max="20" width="15.140625" style="64" customWidth="1"/>
    <col min="21" max="22" width="19" style="64" customWidth="1"/>
    <col min="23" max="23" width="11" style="67" customWidth="1"/>
    <col min="24" max="24" width="11" style="64" customWidth="1"/>
    <col min="25" max="25" width="20.85546875" style="64" customWidth="1"/>
    <col min="26" max="26" width="12.28515625" style="64" customWidth="1"/>
    <col min="27" max="27" width="21.5703125" style="64" customWidth="1"/>
    <col min="28" max="29" width="18.7109375" style="68" customWidth="1"/>
    <col min="30" max="31" width="18.7109375" style="64" customWidth="1"/>
    <col min="32" max="32" width="15.42578125" style="64" customWidth="1"/>
    <col min="33" max="33" width="18.7109375" style="64" customWidth="1"/>
    <col min="34" max="35" width="21.7109375" style="64" customWidth="1"/>
    <col min="36" max="36" width="22.28515625" style="64" customWidth="1"/>
    <col min="37" max="37" width="18.7109375" style="64" customWidth="1"/>
    <col min="38" max="39" width="18" style="64" customWidth="1"/>
    <col min="40" max="40" width="18.7109375" style="64" customWidth="1"/>
    <col min="41" max="41" width="22" style="64" customWidth="1"/>
    <col min="42" max="42" width="15.7109375" style="64" customWidth="1"/>
    <col min="43" max="44" width="18.7109375" style="64" customWidth="1"/>
    <col min="45" max="45" width="24.42578125" style="64" customWidth="1"/>
    <col min="46" max="46" width="20.140625" style="64" customWidth="1"/>
    <col min="47" max="47" width="19.5703125" style="64" customWidth="1"/>
    <col min="48" max="48" width="19.28515625" style="64" customWidth="1"/>
    <col min="49" max="49" width="20.42578125" style="64" customWidth="1"/>
    <col min="50" max="50" width="20.7109375" style="64" customWidth="1"/>
    <col min="51" max="51" width="15.85546875" style="66" customWidth="1"/>
    <col min="52" max="52" width="9.28515625" style="64" customWidth="1"/>
    <col min="53" max="53" width="18.7109375" style="64" customWidth="1"/>
    <col min="54" max="54" width="16.7109375" style="64" customWidth="1"/>
    <col min="55" max="57" width="18.7109375" style="64" customWidth="1"/>
    <col min="58" max="58" width="20" style="64" customWidth="1"/>
    <col min="59" max="59" width="12.28515625" style="64" customWidth="1"/>
    <col min="60" max="61" width="20" style="64" customWidth="1"/>
    <col min="62" max="62" width="12.140625" style="64" customWidth="1"/>
    <col min="63" max="63" width="13" style="64" customWidth="1"/>
    <col min="64" max="64" width="12.140625" style="64" customWidth="1"/>
    <col min="65" max="65" width="12.85546875" style="64" customWidth="1"/>
    <col min="66" max="66" width="12.140625" style="64" customWidth="1"/>
    <col min="67" max="67" width="12.85546875" style="64" customWidth="1"/>
    <col min="68" max="68" width="12.140625" style="64" customWidth="1"/>
    <col min="69" max="69" width="13.28515625" style="64" customWidth="1"/>
    <col min="70" max="70" width="12.140625" style="64" customWidth="1"/>
    <col min="71" max="71" width="13" style="64" customWidth="1"/>
    <col min="72" max="72" width="12.140625" style="64" customWidth="1"/>
    <col min="73" max="73" width="12.85546875" style="64" customWidth="1"/>
    <col min="74" max="74" width="12.140625" style="64" customWidth="1"/>
    <col min="75" max="75" width="12.85546875" style="64" customWidth="1"/>
    <col min="76" max="76" width="12.140625" style="64" customWidth="1"/>
    <col min="77" max="77" width="13" style="64" customWidth="1"/>
    <col min="78" max="79" width="14.85546875" style="64" customWidth="1"/>
    <col min="80" max="80" width="18.28515625" style="64" customWidth="1"/>
    <col min="81" max="82" width="14.85546875" style="64" customWidth="1"/>
    <col min="83" max="83" width="14.7109375" style="64"/>
    <col min="84" max="84" width="0" style="64" hidden="1" customWidth="1"/>
    <col min="85" max="16384" width="14.7109375" style="64"/>
  </cols>
  <sheetData>
    <row r="1" spans="1:84" ht="20.25" customHeight="1" x14ac:dyDescent="0.2">
      <c r="G1" s="144" t="s">
        <v>2387</v>
      </c>
      <c r="H1" s="144"/>
      <c r="I1" s="144"/>
    </row>
    <row r="2" spans="1:84" ht="20.25" customHeight="1" x14ac:dyDescent="0.2">
      <c r="G2" s="144" t="s">
        <v>2388</v>
      </c>
      <c r="H2" s="144"/>
      <c r="I2" s="144"/>
    </row>
    <row r="3" spans="1:84" ht="20.25" customHeight="1" x14ac:dyDescent="0.2">
      <c r="G3" s="144" t="s">
        <v>439</v>
      </c>
      <c r="H3" s="144"/>
      <c r="I3" s="144"/>
      <c r="O3" s="69"/>
      <c r="P3" s="69"/>
      <c r="V3" s="69"/>
      <c r="Y3" s="69"/>
      <c r="Z3" s="69"/>
      <c r="AA3" s="69"/>
    </row>
    <row r="4" spans="1:84" ht="20.25" customHeight="1" x14ac:dyDescent="0.25">
      <c r="A4" s="185" t="s">
        <v>1</v>
      </c>
      <c r="B4" s="185"/>
      <c r="C4" s="65" t="str">
        <f>IF(XBBIS!D10="","",XBBIS!D10)</f>
        <v>BANK MELLİ İRAN BAKI FİLİALI</v>
      </c>
      <c r="D4" s="65"/>
      <c r="F4" s="65"/>
      <c r="G4" s="144" t="s">
        <v>2384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spans="1:84" s="67" customFormat="1" ht="20.25" customHeight="1" x14ac:dyDescent="0.25">
      <c r="A5" s="186" t="s">
        <v>0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414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2098</v>
      </c>
    </row>
    <row r="6" spans="1:84" s="67" customFormat="1" ht="20.25" customHeight="1" x14ac:dyDescent="0.25">
      <c r="A6" s="186" t="s">
        <v>177</v>
      </c>
      <c r="B6" s="186"/>
      <c r="C6" s="77">
        <f>IF(XBBIS!D16="","",XBBIS!D16)</f>
        <v>0</v>
      </c>
      <c r="D6" s="70"/>
      <c r="E6" s="78"/>
      <c r="F6" s="70"/>
      <c r="G6" s="144" t="s">
        <v>142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spans="1:84" s="67" customFormat="1" ht="20.25" customHeight="1" x14ac:dyDescent="0.2">
      <c r="A7" s="187" t="s">
        <v>406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547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spans="1:84" s="67" customFormat="1" ht="20.25" customHeight="1" x14ac:dyDescent="0.2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spans="1:84" s="67" customFormat="1" ht="34.5" customHeight="1" x14ac:dyDescent="0.5">
      <c r="B9" s="83"/>
      <c r="C9" s="83"/>
      <c r="D9" s="83"/>
      <c r="F9" s="84"/>
      <c r="G9" s="85" t="s">
        <v>2088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spans="1:84" s="90" customFormat="1" ht="21.75" customHeight="1" x14ac:dyDescent="0.35">
      <c r="A10" s="67"/>
      <c r="B10" s="67"/>
      <c r="C10" s="67"/>
      <c r="F10" s="91"/>
      <c r="G10" s="92" t="s">
        <v>443</v>
      </c>
      <c r="H10" s="91"/>
      <c r="I10" s="92"/>
      <c r="J10" s="93"/>
      <c r="K10" s="94"/>
      <c r="L10" s="95"/>
      <c r="M10" s="96"/>
      <c r="N10" s="95"/>
      <c r="O10" s="92" t="s">
        <v>143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143</v>
      </c>
      <c r="CD10" s="101"/>
      <c r="CE10" s="100"/>
      <c r="CF10" s="100"/>
    </row>
    <row r="11" spans="1:84" s="103" customFormat="1" ht="38.25" customHeight="1" x14ac:dyDescent="0.25">
      <c r="A11" s="188" t="s">
        <v>553</v>
      </c>
      <c r="B11" s="156" t="s">
        <v>445</v>
      </c>
      <c r="C11" s="156" t="s">
        <v>468</v>
      </c>
      <c r="D11" s="156" t="s">
        <v>448</v>
      </c>
      <c r="E11" s="152" t="s">
        <v>485</v>
      </c>
      <c r="F11" s="153"/>
      <c r="G11" s="152" t="s">
        <v>486</v>
      </c>
      <c r="H11" s="153"/>
      <c r="I11" s="152" t="s">
        <v>456</v>
      </c>
      <c r="J11" s="153"/>
      <c r="K11" s="152" t="s">
        <v>429</v>
      </c>
      <c r="L11" s="153"/>
      <c r="M11" s="152" t="s">
        <v>163</v>
      </c>
      <c r="N11" s="153"/>
      <c r="O11" s="152" t="s">
        <v>469</v>
      </c>
      <c r="P11" s="153"/>
      <c r="Q11" s="152" t="s">
        <v>160</v>
      </c>
      <c r="R11" s="153"/>
      <c r="S11" s="152" t="s">
        <v>407</v>
      </c>
      <c r="T11" s="153"/>
      <c r="U11" s="156" t="s">
        <v>158</v>
      </c>
      <c r="V11" s="156" t="s">
        <v>159</v>
      </c>
      <c r="W11" s="156" t="s">
        <v>161</v>
      </c>
      <c r="X11" s="156" t="s">
        <v>474</v>
      </c>
      <c r="Y11" s="152" t="s">
        <v>174</v>
      </c>
      <c r="Z11" s="153"/>
      <c r="AA11" s="149" t="s">
        <v>167</v>
      </c>
      <c r="AB11" s="150"/>
      <c r="AC11" s="150"/>
      <c r="AD11" s="150"/>
      <c r="AE11" s="150"/>
      <c r="AF11" s="150"/>
      <c r="AG11" s="151"/>
      <c r="AH11" s="160" t="s">
        <v>431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545</v>
      </c>
      <c r="AS11" s="153"/>
      <c r="AT11" s="160" t="s">
        <v>166</v>
      </c>
      <c r="AU11" s="160"/>
      <c r="AV11" s="160"/>
      <c r="AW11" s="160"/>
      <c r="AX11" s="160"/>
      <c r="AY11" s="152" t="s">
        <v>181</v>
      </c>
      <c r="AZ11" s="153"/>
      <c r="BA11" s="149" t="s">
        <v>168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565</v>
      </c>
      <c r="BK11" s="177"/>
      <c r="BL11" s="165" t="s">
        <v>149</v>
      </c>
      <c r="BM11" s="175"/>
      <c r="BN11" s="175"/>
      <c r="BO11" s="175"/>
      <c r="BP11" s="175"/>
      <c r="BQ11" s="175"/>
      <c r="BR11" s="175"/>
      <c r="BS11" s="166"/>
      <c r="BT11" s="174" t="s">
        <v>144</v>
      </c>
      <c r="BU11" s="174"/>
      <c r="BV11" s="174"/>
      <c r="BW11" s="174"/>
      <c r="BX11" s="165" t="s">
        <v>145</v>
      </c>
      <c r="BY11" s="166"/>
      <c r="BZ11" s="182" t="s">
        <v>540</v>
      </c>
      <c r="CA11" s="182" t="s">
        <v>557</v>
      </c>
      <c r="CB11" s="152" t="s">
        <v>555</v>
      </c>
      <c r="CC11" s="153"/>
      <c r="CD11" s="182" t="s">
        <v>541</v>
      </c>
      <c r="CE11" s="102"/>
      <c r="CF11" s="102"/>
    </row>
    <row r="12" spans="1:84" s="67" customFormat="1" ht="48" customHeight="1" x14ac:dyDescent="0.2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481</v>
      </c>
      <c r="AB12" s="148" t="s">
        <v>491</v>
      </c>
      <c r="AC12" s="148" t="s">
        <v>449</v>
      </c>
      <c r="AD12" s="157" t="s">
        <v>496</v>
      </c>
      <c r="AE12" s="159" t="s">
        <v>436</v>
      </c>
      <c r="AF12" s="157" t="s">
        <v>2378</v>
      </c>
      <c r="AG12" s="159" t="s">
        <v>487</v>
      </c>
      <c r="AH12" s="170" t="s">
        <v>164</v>
      </c>
      <c r="AI12" s="171"/>
      <c r="AJ12" s="171"/>
      <c r="AK12" s="171"/>
      <c r="AL12" s="172"/>
      <c r="AM12" s="170" t="s">
        <v>148</v>
      </c>
      <c r="AN12" s="171"/>
      <c r="AO12" s="171"/>
      <c r="AP12" s="171"/>
      <c r="AQ12" s="172"/>
      <c r="AR12" s="154"/>
      <c r="AS12" s="155"/>
      <c r="AT12" s="147" t="s">
        <v>550</v>
      </c>
      <c r="AU12" s="156" t="s">
        <v>549</v>
      </c>
      <c r="AV12" s="158" t="s">
        <v>437</v>
      </c>
      <c r="AW12" s="156" t="s">
        <v>546</v>
      </c>
      <c r="AX12" s="158" t="s">
        <v>488</v>
      </c>
      <c r="AY12" s="154"/>
      <c r="AZ12" s="155"/>
      <c r="BA12" s="147" t="s">
        <v>491</v>
      </c>
      <c r="BB12" s="147" t="s">
        <v>450</v>
      </c>
      <c r="BC12" s="156" t="s">
        <v>498</v>
      </c>
      <c r="BD12" s="158" t="s">
        <v>436</v>
      </c>
      <c r="BE12" s="157" t="s">
        <v>2378</v>
      </c>
      <c r="BF12" s="158" t="s">
        <v>489</v>
      </c>
      <c r="BG12" s="167" t="s">
        <v>493</v>
      </c>
      <c r="BH12" s="168"/>
      <c r="BI12" s="169"/>
      <c r="BJ12" s="178"/>
      <c r="BK12" s="179"/>
      <c r="BL12" s="164" t="s">
        <v>150</v>
      </c>
      <c r="BM12" s="164"/>
      <c r="BN12" s="164" t="s">
        <v>151</v>
      </c>
      <c r="BO12" s="164"/>
      <c r="BP12" s="145" t="s">
        <v>152</v>
      </c>
      <c r="BQ12" s="146"/>
      <c r="BR12" s="145" t="s">
        <v>153</v>
      </c>
      <c r="BS12" s="146"/>
      <c r="BT12" s="145" t="s">
        <v>154</v>
      </c>
      <c r="BU12" s="146"/>
      <c r="BV12" s="145" t="s">
        <v>433</v>
      </c>
      <c r="BW12" s="146"/>
      <c r="BX12" s="145" t="s">
        <v>434</v>
      </c>
      <c r="BY12" s="146"/>
      <c r="BZ12" s="183"/>
      <c r="CA12" s="183"/>
      <c r="CB12" s="154"/>
      <c r="CC12" s="155"/>
      <c r="CD12" s="183"/>
      <c r="CE12" s="76"/>
      <c r="CF12" s="76"/>
    </row>
    <row r="13" spans="1:84" s="89" customFormat="1" ht="83.25" customHeight="1" x14ac:dyDescent="0.2">
      <c r="A13" s="189"/>
      <c r="B13" s="157"/>
      <c r="C13" s="157"/>
      <c r="D13" s="157"/>
      <c r="E13" s="104" t="s">
        <v>465</v>
      </c>
      <c r="F13" s="104" t="s">
        <v>180</v>
      </c>
      <c r="G13" s="104" t="s">
        <v>438</v>
      </c>
      <c r="H13" s="104" t="s">
        <v>180</v>
      </c>
      <c r="I13" s="104" t="s">
        <v>438</v>
      </c>
      <c r="J13" s="104" t="s">
        <v>180</v>
      </c>
      <c r="K13" s="104" t="s">
        <v>465</v>
      </c>
      <c r="L13" s="104" t="s">
        <v>180</v>
      </c>
      <c r="M13" s="104" t="s">
        <v>465</v>
      </c>
      <c r="N13" s="104" t="s">
        <v>180</v>
      </c>
      <c r="O13" s="104" t="s">
        <v>465</v>
      </c>
      <c r="P13" s="104" t="s">
        <v>180</v>
      </c>
      <c r="Q13" s="104" t="s">
        <v>465</v>
      </c>
      <c r="R13" s="104" t="s">
        <v>180</v>
      </c>
      <c r="S13" s="104" t="s">
        <v>408</v>
      </c>
      <c r="T13" s="104" t="s">
        <v>415</v>
      </c>
      <c r="U13" s="157"/>
      <c r="V13" s="157"/>
      <c r="W13" s="157"/>
      <c r="X13" s="157"/>
      <c r="Y13" s="104" t="s">
        <v>438</v>
      </c>
      <c r="Z13" s="104" t="s">
        <v>180</v>
      </c>
      <c r="AA13" s="173"/>
      <c r="AB13" s="161"/>
      <c r="AC13" s="148"/>
      <c r="AD13" s="157"/>
      <c r="AE13" s="157"/>
      <c r="AF13" s="157"/>
      <c r="AG13" s="157"/>
      <c r="AH13" s="104" t="s">
        <v>482</v>
      </c>
      <c r="AI13" s="104" t="s">
        <v>497</v>
      </c>
      <c r="AJ13" s="105" t="s">
        <v>436</v>
      </c>
      <c r="AK13" s="104" t="s">
        <v>2378</v>
      </c>
      <c r="AL13" s="105" t="s">
        <v>464</v>
      </c>
      <c r="AM13" s="104" t="s">
        <v>483</v>
      </c>
      <c r="AN13" s="104" t="s">
        <v>497</v>
      </c>
      <c r="AO13" s="105" t="s">
        <v>436</v>
      </c>
      <c r="AP13" s="104" t="s">
        <v>484</v>
      </c>
      <c r="AQ13" s="105" t="s">
        <v>487</v>
      </c>
      <c r="AR13" s="106" t="s">
        <v>2379</v>
      </c>
      <c r="AS13" s="106" t="s">
        <v>2380</v>
      </c>
      <c r="AT13" s="161"/>
      <c r="AU13" s="157"/>
      <c r="AV13" s="159"/>
      <c r="AW13" s="157"/>
      <c r="AX13" s="157"/>
      <c r="AY13" s="104" t="s">
        <v>438</v>
      </c>
      <c r="AZ13" s="104" t="s">
        <v>180</v>
      </c>
      <c r="BA13" s="161"/>
      <c r="BB13" s="148"/>
      <c r="BC13" s="157"/>
      <c r="BD13" s="157"/>
      <c r="BE13" s="157"/>
      <c r="BF13" s="157"/>
      <c r="BG13" s="107" t="s">
        <v>494</v>
      </c>
      <c r="BH13" s="108" t="s">
        <v>492</v>
      </c>
      <c r="BI13" s="108" t="s">
        <v>495</v>
      </c>
      <c r="BJ13" s="109" t="s">
        <v>432</v>
      </c>
      <c r="BK13" s="110" t="s">
        <v>490</v>
      </c>
      <c r="BL13" s="109" t="s">
        <v>432</v>
      </c>
      <c r="BM13" s="110" t="s">
        <v>490</v>
      </c>
      <c r="BN13" s="109" t="s">
        <v>432</v>
      </c>
      <c r="BO13" s="110" t="s">
        <v>490</v>
      </c>
      <c r="BP13" s="109" t="s">
        <v>432</v>
      </c>
      <c r="BQ13" s="110" t="s">
        <v>490</v>
      </c>
      <c r="BR13" s="109" t="s">
        <v>432</v>
      </c>
      <c r="BS13" s="110" t="s">
        <v>490</v>
      </c>
      <c r="BT13" s="109" t="s">
        <v>432</v>
      </c>
      <c r="BU13" s="110" t="s">
        <v>490</v>
      </c>
      <c r="BV13" s="109" t="s">
        <v>432</v>
      </c>
      <c r="BW13" s="110" t="s">
        <v>490</v>
      </c>
      <c r="BX13" s="109" t="s">
        <v>432</v>
      </c>
      <c r="BY13" s="110" t="s">
        <v>490</v>
      </c>
      <c r="BZ13" s="184"/>
      <c r="CA13" s="184"/>
      <c r="CB13" s="104" t="s">
        <v>438</v>
      </c>
      <c r="CC13" s="104" t="s">
        <v>180</v>
      </c>
      <c r="CD13" s="184"/>
    </row>
    <row r="14" spans="1:84" s="67" customFormat="1" ht="19.5" customHeight="1" x14ac:dyDescent="0.2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475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476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477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478</v>
      </c>
      <c r="AS14" s="104">
        <v>41</v>
      </c>
      <c r="AT14" s="104" t="s">
        <v>479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480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spans="1:84" s="112" customFormat="1" ht="21.75" customHeight="1" x14ac:dyDescent="0.2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  <v/>
      </c>
      <c r="C15" s="32"/>
      <c r="D15" s="33"/>
      <c r="E15" s="1"/>
      <c r="F15" s="36" t="str">
        <f>IFERROR(VLOOKUP('A1 (Aktivlər)'!E15,List!A:B,2,0),"")</f>
        <v/>
      </c>
      <c r="G15" s="1"/>
      <c r="H15" s="36" t="str">
        <f>IFERROR(VLOOKUP('A1 (Aktivlər)'!G15,List!G:H,2,0),"")</f>
        <v/>
      </c>
      <c r="I15" s="1"/>
      <c r="J15" s="36" t="str">
        <f>IFERROR(VLOOKUP('A1 (Aktivlər)'!I15,List!C:D,2,0),"")</f>
        <v/>
      </c>
      <c r="K15" s="1"/>
      <c r="L15" s="36" t="str">
        <f>IFERROR(VLOOKUP('A1 (Aktivlər)'!K15,List!E:F,2,0),"")</f>
        <v/>
      </c>
      <c r="M15" s="1"/>
      <c r="N15" s="36" t="str">
        <f>IFERROR(VLOOKUP('A1 (Aktivlər)'!M15,List!M:N,2,0),"")</f>
        <v/>
      </c>
      <c r="O15" s="1"/>
      <c r="P15" s="36" t="str">
        <f>IFERROR(VLOOKUP('A1 (Aktivlər)'!O15,List!S:T,2,0),"")</f>
        <v/>
      </c>
      <c r="Q15" s="1"/>
      <c r="R15" s="36" t="str">
        <f>IFERROR(VLOOKUP('A1 (Aktivlər)'!Q15,List!K:L,2,0),"")</f>
        <v/>
      </c>
      <c r="S15" s="16"/>
      <c r="T15" s="16"/>
      <c r="U15" s="17"/>
      <c r="V15" s="17"/>
      <c r="W15" s="20"/>
      <c r="X15" s="18"/>
      <c r="Y15" s="1"/>
      <c r="Z15" s="36" t="str">
        <f>IFERROR(VLOOKUP('A1 (Aktivlər)'!Y15,List!O:P,2,0),"")</f>
        <v/>
      </c>
      <c r="AA15" s="19"/>
      <c r="AB15" s="19"/>
      <c r="AC15" s="37">
        <f t="shared" ref="AC15:AC43" si="0">AD15+AF15</f>
        <v>0</v>
      </c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21"/>
      <c r="AZ15" s="36" t="str">
        <f>IFERROR(VLOOKUP('A1 (Aktivlər)'!AY15,List!Q:R,2,0),"")</f>
        <v/>
      </c>
      <c r="BA15" s="38">
        <f>AB15+AH15-AM15+AR15+AT15</f>
        <v>0</v>
      </c>
      <c r="BB15" s="38">
        <f>BC15+BE15</f>
        <v>0</v>
      </c>
      <c r="BC15" s="39">
        <f>AD15+AI15-AN15+AS15+AU15</f>
        <v>0</v>
      </c>
      <c r="BD15" s="39">
        <f t="shared" ref="BD15:BF15" si="1">AE15+AJ15-AO15+AV15</f>
        <v>0</v>
      </c>
      <c r="BE15" s="39">
        <f t="shared" si="1"/>
        <v>0</v>
      </c>
      <c r="BF15" s="39">
        <f t="shared" si="1"/>
        <v>0</v>
      </c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34"/>
      <c r="CA15" s="18"/>
      <c r="CB15" s="20"/>
      <c r="CC15" s="36" t="str">
        <f>IFERROR(VLOOKUP('A1 (Aktivlər)'!CB15,List!Z:AA,2,0),"")</f>
        <v/>
      </c>
      <c r="CD15" s="34"/>
    </row>
    <row r="16" spans="1:84" s="112" customFormat="1" ht="21.75" customHeight="1" x14ac:dyDescent="0.2">
      <c r="A16" s="111">
        <v>2</v>
      </c>
      <c r="B16" s="35" t="str">
        <f t="shared" ref="B16:B43" si="2">IF((C16&amp;"-"&amp;D16&amp;"-"&amp;F16&amp;"-"&amp;H16&amp;"-"&amp;P16&amp;"-"&amp;N16)="-----","",(C16&amp;"-"&amp;D16&amp;"-"&amp;F16&amp;"-"&amp;H16&amp;"-"&amp;P16&amp;"-"&amp;N16))</f>
        <v/>
      </c>
      <c r="C16" s="32"/>
      <c r="D16" s="33"/>
      <c r="E16" s="1"/>
      <c r="F16" s="36" t="str">
        <f>IFERROR(VLOOKUP('A1 (Aktivlər)'!E16,List!A:B,2,0),"")</f>
        <v/>
      </c>
      <c r="G16" s="1"/>
      <c r="H16" s="36" t="str">
        <f>IFERROR(VLOOKUP('A1 (Aktivlər)'!G16,List!G:H,2,0),"")</f>
        <v/>
      </c>
      <c r="I16" s="1"/>
      <c r="J16" s="36" t="str">
        <f>IFERROR(VLOOKUP('A1 (Aktivlər)'!I16,List!C:D,2,0),"")</f>
        <v/>
      </c>
      <c r="K16" s="1"/>
      <c r="L16" s="36" t="str">
        <f>IFERROR(VLOOKUP('A1 (Aktivlər)'!K16,List!E:F,2,0),"")</f>
        <v/>
      </c>
      <c r="M16" s="1"/>
      <c r="N16" s="36" t="str">
        <f>IFERROR(VLOOKUP('A1 (Aktivlər)'!M16,List!M:N,2,0),"")</f>
        <v/>
      </c>
      <c r="O16" s="1"/>
      <c r="P16" s="36" t="str">
        <f>IFERROR(VLOOKUP('A1 (Aktivlər)'!O16,List!S:T,2,0),"")</f>
        <v/>
      </c>
      <c r="Q16" s="1"/>
      <c r="R16" s="36" t="str">
        <f>IFERROR(VLOOKUP('A1 (Aktivlər)'!Q16,List!K:L,2,0),"")</f>
        <v/>
      </c>
      <c r="S16" s="16"/>
      <c r="T16" s="16"/>
      <c r="U16" s="17"/>
      <c r="V16" s="17"/>
      <c r="W16" s="20"/>
      <c r="X16" s="18"/>
      <c r="Y16" s="1"/>
      <c r="Z16" s="36" t="str">
        <f>IFERROR(VLOOKUP('A1 (Aktivlər)'!Y16,List!O:P,2,0),"")</f>
        <v/>
      </c>
      <c r="AA16" s="19"/>
      <c r="AB16" s="19"/>
      <c r="AC16" s="37">
        <f t="shared" si="0"/>
        <v>0</v>
      </c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21"/>
      <c r="AZ16" s="36" t="str">
        <f>IFERROR(VLOOKUP('A1 (Aktivlər)'!AY16,List!Q:R,2,0),"")</f>
        <v/>
      </c>
      <c r="BA16" s="38">
        <f t="shared" ref="BA16:BA25" si="3">AB16+AH16-AM16+AR16+AT16</f>
        <v>0</v>
      </c>
      <c r="BB16" s="38">
        <f t="shared" ref="BB16:BB43" si="4">BC16+BE16</f>
        <v>0</v>
      </c>
      <c r="BC16" s="39">
        <f t="shared" ref="BC16:BC43" si="5">AD16+AI16-AN16+AS16+AU16</f>
        <v>0</v>
      </c>
      <c r="BD16" s="39">
        <f t="shared" ref="BD16:BD43" si="6">AE16+AJ16-AO16+AV16</f>
        <v>0</v>
      </c>
      <c r="BE16" s="39">
        <f t="shared" ref="BE16:BE43" si="7">AF16+AK16-AP16+AW16</f>
        <v>0</v>
      </c>
      <c r="BF16" s="39">
        <f t="shared" ref="BF16:BF43" si="8">AG16+AL16-AQ16+AX16</f>
        <v>0</v>
      </c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34"/>
      <c r="CA16" s="18"/>
      <c r="CB16" s="20"/>
      <c r="CC16" s="36" t="str">
        <f>IFERROR(VLOOKUP('A1 (Aktivlər)'!CB16,List!Z:AA,2,0),"")</f>
        <v/>
      </c>
      <c r="CD16" s="34"/>
    </row>
    <row r="17" spans="1:82" s="112" customFormat="1" ht="21.75" customHeight="1" x14ac:dyDescent="0.2">
      <c r="A17" s="111">
        <v>3</v>
      </c>
      <c r="B17" s="35" t="str">
        <f t="shared" si="2"/>
        <v/>
      </c>
      <c r="C17" s="32"/>
      <c r="D17" s="33"/>
      <c r="E17" s="1"/>
      <c r="F17" s="36" t="str">
        <f>IFERROR(VLOOKUP('A1 (Aktivlər)'!E17,List!A:B,2,0),"")</f>
        <v/>
      </c>
      <c r="G17" s="1"/>
      <c r="H17" s="36" t="str">
        <f>IFERROR(VLOOKUP('A1 (Aktivlər)'!G17,List!G:H,2,0),"")</f>
        <v/>
      </c>
      <c r="I17" s="1"/>
      <c r="J17" s="36" t="str">
        <f>IFERROR(VLOOKUP('A1 (Aktivlər)'!I17,List!C:D,2,0),"")</f>
        <v/>
      </c>
      <c r="K17" s="1"/>
      <c r="L17" s="36" t="str">
        <f>IFERROR(VLOOKUP('A1 (Aktivlər)'!K17,List!E:F,2,0),"")</f>
        <v/>
      </c>
      <c r="M17" s="1"/>
      <c r="N17" s="36" t="str">
        <f>IFERROR(VLOOKUP('A1 (Aktivlər)'!M17,List!M:N,2,0),"")</f>
        <v/>
      </c>
      <c r="O17" s="1"/>
      <c r="P17" s="36" t="str">
        <f>IFERROR(VLOOKUP('A1 (Aktivlər)'!O17,List!S:T,2,0),"")</f>
        <v/>
      </c>
      <c r="Q17" s="1"/>
      <c r="R17" s="36" t="str">
        <f>IFERROR(VLOOKUP('A1 (Aktivlər)'!Q17,List!K:L,2,0),"")</f>
        <v/>
      </c>
      <c r="S17" s="16"/>
      <c r="T17" s="16"/>
      <c r="U17" s="17"/>
      <c r="V17" s="17"/>
      <c r="W17" s="20"/>
      <c r="X17" s="18"/>
      <c r="Y17" s="1"/>
      <c r="Z17" s="36" t="str">
        <f>IFERROR(VLOOKUP('A1 (Aktivlər)'!Y17,List!O:P,2,0),"")</f>
        <v/>
      </c>
      <c r="AA17" s="19"/>
      <c r="AB17" s="19"/>
      <c r="AC17" s="37">
        <f t="shared" si="0"/>
        <v>0</v>
      </c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21"/>
      <c r="AZ17" s="36" t="str">
        <f>IFERROR(VLOOKUP('A1 (Aktivlər)'!AY17,List!Q:R,2,0),"")</f>
        <v/>
      </c>
      <c r="BA17" s="38">
        <f t="shared" si="3"/>
        <v>0</v>
      </c>
      <c r="BB17" s="38">
        <f t="shared" si="4"/>
        <v>0</v>
      </c>
      <c r="BC17" s="39">
        <f t="shared" si="5"/>
        <v>0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34"/>
      <c r="CA17" s="18"/>
      <c r="CB17" s="20"/>
      <c r="CC17" s="36" t="str">
        <f>IFERROR(VLOOKUP('A1 (Aktivlər)'!CB17,List!Z:AA,2,0),"")</f>
        <v/>
      </c>
      <c r="CD17" s="34"/>
    </row>
    <row r="18" spans="1:82" s="112" customFormat="1" ht="21.75" customHeight="1" x14ac:dyDescent="0.2">
      <c r="A18" s="111">
        <v>4</v>
      </c>
      <c r="B18" s="35" t="str">
        <f t="shared" si="2"/>
        <v/>
      </c>
      <c r="C18" s="32"/>
      <c r="D18" s="33"/>
      <c r="E18" s="1"/>
      <c r="F18" s="36" t="str">
        <f>IFERROR(VLOOKUP('A1 (Aktivlər)'!E18,List!A:B,2,0),"")</f>
        <v/>
      </c>
      <c r="G18" s="1"/>
      <c r="H18" s="36" t="str">
        <f>IFERROR(VLOOKUP('A1 (Aktivlər)'!G18,List!G:H,2,0),"")</f>
        <v/>
      </c>
      <c r="I18" s="1"/>
      <c r="J18" s="36" t="str">
        <f>IFERROR(VLOOKUP('A1 (Aktivlər)'!I18,List!C:D,2,0),"")</f>
        <v/>
      </c>
      <c r="K18" s="1"/>
      <c r="L18" s="36" t="str">
        <f>IFERROR(VLOOKUP('A1 (Aktivlər)'!K18,List!E:F,2,0),"")</f>
        <v/>
      </c>
      <c r="M18" s="1"/>
      <c r="N18" s="36" t="str">
        <f>IFERROR(VLOOKUP('A1 (Aktivlər)'!M18,List!M:N,2,0),"")</f>
        <v/>
      </c>
      <c r="O18" s="1"/>
      <c r="P18" s="36" t="str">
        <f>IFERROR(VLOOKUP('A1 (Aktivlər)'!O18,List!S:T,2,0),"")</f>
        <v/>
      </c>
      <c r="Q18" s="1"/>
      <c r="R18" s="36" t="str">
        <f>IFERROR(VLOOKUP('A1 (Aktivlər)'!Q18,List!K:L,2,0),"")</f>
        <v/>
      </c>
      <c r="S18" s="16"/>
      <c r="T18" s="16"/>
      <c r="U18" s="17"/>
      <c r="V18" s="17"/>
      <c r="W18" s="20"/>
      <c r="X18" s="18"/>
      <c r="Y18" s="1"/>
      <c r="Z18" s="36" t="str">
        <f>IFERROR(VLOOKUP('A1 (Aktivlər)'!Y18,List!O:P,2,0),"")</f>
        <v/>
      </c>
      <c r="AA18" s="19"/>
      <c r="AB18" s="19"/>
      <c r="AC18" s="37">
        <f t="shared" si="0"/>
        <v>0</v>
      </c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21"/>
      <c r="AZ18" s="36" t="str">
        <f>IFERROR(VLOOKUP('A1 (Aktivlər)'!AY18,List!Q:R,2,0),"")</f>
        <v/>
      </c>
      <c r="BA18" s="38">
        <f t="shared" si="3"/>
        <v>0</v>
      </c>
      <c r="BB18" s="38">
        <f t="shared" si="4"/>
        <v>0</v>
      </c>
      <c r="BC18" s="39">
        <f t="shared" si="5"/>
        <v>0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34"/>
      <c r="CA18" s="18"/>
      <c r="CB18" s="20"/>
      <c r="CC18" s="36" t="str">
        <f>IFERROR(VLOOKUP('A1 (Aktivlər)'!CB18,List!Z:AA,2,0),"")</f>
        <v/>
      </c>
      <c r="CD18" s="34"/>
    </row>
    <row r="19" spans="1:82" s="112" customFormat="1" ht="21.75" customHeight="1" x14ac:dyDescent="0.2">
      <c r="A19" s="111">
        <v>5</v>
      </c>
      <c r="B19" s="35" t="str">
        <f t="shared" si="2"/>
        <v/>
      </c>
      <c r="C19" s="32"/>
      <c r="D19" s="33"/>
      <c r="E19" s="1"/>
      <c r="F19" s="36" t="str">
        <f>IFERROR(VLOOKUP('A1 (Aktivlər)'!E19,List!A:B,2,0),"")</f>
        <v/>
      </c>
      <c r="G19" s="1"/>
      <c r="H19" s="36" t="str">
        <f>IFERROR(VLOOKUP('A1 (Aktivlər)'!G19,List!G:H,2,0),"")</f>
        <v/>
      </c>
      <c r="I19" s="1"/>
      <c r="J19" s="36" t="str">
        <f>IFERROR(VLOOKUP('A1 (Aktivlər)'!I19,List!C:D,2,0),"")</f>
        <v/>
      </c>
      <c r="K19" s="1"/>
      <c r="L19" s="36" t="str">
        <f>IFERROR(VLOOKUP('A1 (Aktivlər)'!K19,List!E:F,2,0),"")</f>
        <v/>
      </c>
      <c r="M19" s="1"/>
      <c r="N19" s="36" t="str">
        <f>IFERROR(VLOOKUP('A1 (Aktivlər)'!M19,List!M:N,2,0),"")</f>
        <v/>
      </c>
      <c r="O19" s="1"/>
      <c r="P19" s="36" t="str">
        <f>IFERROR(VLOOKUP('A1 (Aktivlər)'!O19,List!S:T,2,0),"")</f>
        <v/>
      </c>
      <c r="Q19" s="1"/>
      <c r="R19" s="36" t="str">
        <f>IFERROR(VLOOKUP('A1 (Aktivlər)'!Q19,List!K:L,2,0),"")</f>
        <v/>
      </c>
      <c r="S19" s="16"/>
      <c r="T19" s="16"/>
      <c r="U19" s="17"/>
      <c r="V19" s="17"/>
      <c r="W19" s="20"/>
      <c r="X19" s="18"/>
      <c r="Y19" s="1"/>
      <c r="Z19" s="36" t="str">
        <f>IFERROR(VLOOKUP('A1 (Aktivlər)'!Y19,List!O:P,2,0),"")</f>
        <v/>
      </c>
      <c r="AA19" s="19"/>
      <c r="AB19" s="19"/>
      <c r="AC19" s="37">
        <f t="shared" si="0"/>
        <v>0</v>
      </c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21"/>
      <c r="AZ19" s="36" t="str">
        <f>IFERROR(VLOOKUP('A1 (Aktivlər)'!AY19,List!Q:R,2,0),"")</f>
        <v/>
      </c>
      <c r="BA19" s="38">
        <f t="shared" si="3"/>
        <v>0</v>
      </c>
      <c r="BB19" s="38">
        <f t="shared" si="4"/>
        <v>0</v>
      </c>
      <c r="BC19" s="39">
        <f t="shared" si="5"/>
        <v>0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34"/>
      <c r="CA19" s="18"/>
      <c r="CB19" s="20"/>
      <c r="CC19" s="36" t="str">
        <f>IFERROR(VLOOKUP('A1 (Aktivlər)'!CB19,List!Z:AA,2,0),"")</f>
        <v/>
      </c>
      <c r="CD19" s="34"/>
    </row>
    <row r="20" spans="1:82" s="112" customFormat="1" ht="21.75" customHeight="1" x14ac:dyDescent="0.2">
      <c r="A20" s="111">
        <v>6</v>
      </c>
      <c r="B20" s="35" t="str">
        <f t="shared" si="2"/>
        <v/>
      </c>
      <c r="C20" s="32"/>
      <c r="D20" s="33"/>
      <c r="E20" s="1"/>
      <c r="F20" s="36" t="str">
        <f>IFERROR(VLOOKUP('A1 (Aktivlər)'!E20,List!A:B,2,0),"")</f>
        <v/>
      </c>
      <c r="G20" s="1"/>
      <c r="H20" s="36" t="str">
        <f>IFERROR(VLOOKUP('A1 (Aktivlər)'!G20,List!G:H,2,0),"")</f>
        <v/>
      </c>
      <c r="I20" s="1"/>
      <c r="J20" s="36" t="str">
        <f>IFERROR(VLOOKUP('A1 (Aktivlər)'!I20,List!C:D,2,0),"")</f>
        <v/>
      </c>
      <c r="K20" s="1"/>
      <c r="L20" s="36" t="str">
        <f>IFERROR(VLOOKUP('A1 (Aktivlər)'!K20,List!E:F,2,0),"")</f>
        <v/>
      </c>
      <c r="M20" s="1"/>
      <c r="N20" s="36" t="str">
        <f>IFERROR(VLOOKUP('A1 (Aktivlər)'!M20,List!M:N,2,0),"")</f>
        <v/>
      </c>
      <c r="O20" s="1"/>
      <c r="P20" s="36" t="str">
        <f>IFERROR(VLOOKUP('A1 (Aktivlər)'!O20,List!S:T,2,0),"")</f>
        <v/>
      </c>
      <c r="Q20" s="1"/>
      <c r="R20" s="36" t="str">
        <f>IFERROR(VLOOKUP('A1 (Aktivlər)'!Q20,List!K:L,2,0),"")</f>
        <v/>
      </c>
      <c r="S20" s="16"/>
      <c r="T20" s="16"/>
      <c r="U20" s="17"/>
      <c r="V20" s="17"/>
      <c r="W20" s="20"/>
      <c r="X20" s="18"/>
      <c r="Y20" s="1"/>
      <c r="Z20" s="36" t="str">
        <f>IFERROR(VLOOKUP('A1 (Aktivlər)'!Y20,List!O:P,2,0),"")</f>
        <v/>
      </c>
      <c r="AA20" s="19"/>
      <c r="AB20" s="19"/>
      <c r="AC20" s="37">
        <f t="shared" si="0"/>
        <v>0</v>
      </c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21"/>
      <c r="AZ20" s="36" t="str">
        <f>IFERROR(VLOOKUP('A1 (Aktivlər)'!AY20,List!Q:R,2,0),"")</f>
        <v/>
      </c>
      <c r="BA20" s="38">
        <f t="shared" si="3"/>
        <v>0</v>
      </c>
      <c r="BB20" s="38">
        <f t="shared" si="4"/>
        <v>0</v>
      </c>
      <c r="BC20" s="39">
        <f t="shared" si="5"/>
        <v>0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34"/>
      <c r="CA20" s="18"/>
      <c r="CB20" s="20"/>
      <c r="CC20" s="36" t="str">
        <f>IFERROR(VLOOKUP('A1 (Aktivlər)'!CB20,List!Z:AA,2,0),"")</f>
        <v/>
      </c>
      <c r="CD20" s="34"/>
    </row>
    <row r="21" spans="1:82" s="112" customFormat="1" ht="21.75" customHeight="1" x14ac:dyDescent="0.2">
      <c r="A21" s="111">
        <v>7</v>
      </c>
      <c r="B21" s="35" t="str">
        <f t="shared" si="2"/>
        <v/>
      </c>
      <c r="C21" s="32"/>
      <c r="D21" s="33"/>
      <c r="E21" s="1"/>
      <c r="F21" s="36" t="str">
        <f>IFERROR(VLOOKUP('A1 (Aktivlər)'!E21,List!A:B,2,0),"")</f>
        <v/>
      </c>
      <c r="G21" s="1"/>
      <c r="H21" s="36" t="str">
        <f>IFERROR(VLOOKUP('A1 (Aktivlər)'!G21,List!G:H,2,0),"")</f>
        <v/>
      </c>
      <c r="I21" s="1"/>
      <c r="J21" s="36" t="str">
        <f>IFERROR(VLOOKUP('A1 (Aktivlər)'!I21,List!C:D,2,0),"")</f>
        <v/>
      </c>
      <c r="K21" s="1"/>
      <c r="L21" s="36" t="str">
        <f>IFERROR(VLOOKUP('A1 (Aktivlər)'!K21,List!E:F,2,0),"")</f>
        <v/>
      </c>
      <c r="M21" s="1"/>
      <c r="N21" s="36" t="str">
        <f>IFERROR(VLOOKUP('A1 (Aktivlər)'!M21,List!M:N,2,0),"")</f>
        <v/>
      </c>
      <c r="O21" s="1"/>
      <c r="P21" s="36" t="str">
        <f>IFERROR(VLOOKUP('A1 (Aktivlər)'!O21,List!S:T,2,0),"")</f>
        <v/>
      </c>
      <c r="Q21" s="1"/>
      <c r="R21" s="36" t="str">
        <f>IFERROR(VLOOKUP('A1 (Aktivlər)'!Q21,List!K:L,2,0),"")</f>
        <v/>
      </c>
      <c r="S21" s="16"/>
      <c r="T21" s="16"/>
      <c r="U21" s="17"/>
      <c r="V21" s="17"/>
      <c r="W21" s="20"/>
      <c r="X21" s="18"/>
      <c r="Y21" s="1"/>
      <c r="Z21" s="36" t="str">
        <f>IFERROR(VLOOKUP('A1 (Aktivlər)'!Y21,List!O:P,2,0),"")</f>
        <v/>
      </c>
      <c r="AA21" s="19"/>
      <c r="AB21" s="19"/>
      <c r="AC21" s="37">
        <f t="shared" si="0"/>
        <v>0</v>
      </c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21"/>
      <c r="AZ21" s="36" t="str">
        <f>IFERROR(VLOOKUP('A1 (Aktivlər)'!AY21,List!Q:R,2,0),"")</f>
        <v/>
      </c>
      <c r="BA21" s="38">
        <f t="shared" si="3"/>
        <v>0</v>
      </c>
      <c r="BB21" s="38">
        <f t="shared" si="4"/>
        <v>0</v>
      </c>
      <c r="BC21" s="39">
        <f t="shared" si="5"/>
        <v>0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34"/>
      <c r="CA21" s="18"/>
      <c r="CB21" s="20"/>
      <c r="CC21" s="36" t="str">
        <f>IFERROR(VLOOKUP('A1 (Aktivlər)'!CB21,List!Z:AA,2,0),"")</f>
        <v/>
      </c>
      <c r="CD21" s="34"/>
    </row>
    <row r="22" spans="1:82" s="112" customFormat="1" ht="21.75" customHeight="1" x14ac:dyDescent="0.2">
      <c r="A22" s="111">
        <v>8</v>
      </c>
      <c r="B22" s="35" t="str">
        <f t="shared" si="2"/>
        <v/>
      </c>
      <c r="C22" s="32"/>
      <c r="D22" s="33"/>
      <c r="E22" s="1"/>
      <c r="F22" s="36" t="str">
        <f>IFERROR(VLOOKUP('A1 (Aktivlər)'!E22,List!A:B,2,0),"")</f>
        <v/>
      </c>
      <c r="G22" s="1"/>
      <c r="H22" s="36" t="str">
        <f>IFERROR(VLOOKUP('A1 (Aktivlər)'!G22,List!G:H,2,0),"")</f>
        <v/>
      </c>
      <c r="I22" s="1"/>
      <c r="J22" s="36" t="str">
        <f>IFERROR(VLOOKUP('A1 (Aktivlər)'!I22,List!C:D,2,0),"")</f>
        <v/>
      </c>
      <c r="K22" s="1"/>
      <c r="L22" s="36" t="str">
        <f>IFERROR(VLOOKUP('A1 (Aktivlər)'!K22,List!E:F,2,0),"")</f>
        <v/>
      </c>
      <c r="M22" s="1"/>
      <c r="N22" s="36" t="str">
        <f>IFERROR(VLOOKUP('A1 (Aktivlər)'!M22,List!M:N,2,0),"")</f>
        <v/>
      </c>
      <c r="O22" s="1"/>
      <c r="P22" s="36" t="str">
        <f>IFERROR(VLOOKUP('A1 (Aktivlər)'!O22,List!S:T,2,0),"")</f>
        <v/>
      </c>
      <c r="Q22" s="1"/>
      <c r="R22" s="36" t="str">
        <f>IFERROR(VLOOKUP('A1 (Aktivlər)'!Q22,List!K:L,2,0),"")</f>
        <v/>
      </c>
      <c r="S22" s="16"/>
      <c r="T22" s="16"/>
      <c r="U22" s="17"/>
      <c r="V22" s="17"/>
      <c r="W22" s="20"/>
      <c r="X22" s="18"/>
      <c r="Y22" s="1"/>
      <c r="Z22" s="36" t="str">
        <f>IFERROR(VLOOKUP('A1 (Aktivlər)'!Y22,List!O:P,2,0),"")</f>
        <v/>
      </c>
      <c r="AA22" s="19"/>
      <c r="AB22" s="19"/>
      <c r="AC22" s="37">
        <f t="shared" si="0"/>
        <v>0</v>
      </c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21"/>
      <c r="AZ22" s="36" t="str">
        <f>IFERROR(VLOOKUP('A1 (Aktivlər)'!AY22,List!Q:R,2,0),"")</f>
        <v/>
      </c>
      <c r="BA22" s="38">
        <f t="shared" si="3"/>
        <v>0</v>
      </c>
      <c r="BB22" s="38">
        <f t="shared" si="4"/>
        <v>0</v>
      </c>
      <c r="BC22" s="39">
        <f t="shared" si="5"/>
        <v>0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34"/>
      <c r="CA22" s="18"/>
      <c r="CB22" s="20"/>
      <c r="CC22" s="36" t="str">
        <f>IFERROR(VLOOKUP('A1 (Aktivlər)'!CB22,List!Z:AA,2,0),"")</f>
        <v/>
      </c>
      <c r="CD22" s="34"/>
    </row>
    <row r="23" spans="1:82" s="112" customFormat="1" ht="21.75" customHeight="1" x14ac:dyDescent="0.2">
      <c r="A23" s="111">
        <v>9</v>
      </c>
      <c r="B23" s="35" t="str">
        <f t="shared" si="2"/>
        <v/>
      </c>
      <c r="C23" s="32"/>
      <c r="D23" s="33"/>
      <c r="E23" s="1"/>
      <c r="F23" s="36" t="str">
        <f>IFERROR(VLOOKUP('A1 (Aktivlər)'!E23,List!A:B,2,0),"")</f>
        <v/>
      </c>
      <c r="G23" s="1"/>
      <c r="H23" s="36" t="str">
        <f>IFERROR(VLOOKUP('A1 (Aktivlər)'!G23,List!G:H,2,0),"")</f>
        <v/>
      </c>
      <c r="I23" s="1"/>
      <c r="J23" s="36" t="str">
        <f>IFERROR(VLOOKUP('A1 (Aktivlər)'!I23,List!C:D,2,0),"")</f>
        <v/>
      </c>
      <c r="K23" s="1"/>
      <c r="L23" s="36" t="str">
        <f>IFERROR(VLOOKUP('A1 (Aktivlər)'!K23,List!E:F,2,0),"")</f>
        <v/>
      </c>
      <c r="M23" s="1"/>
      <c r="N23" s="36" t="str">
        <f>IFERROR(VLOOKUP('A1 (Aktivlər)'!M23,List!M:N,2,0),"")</f>
        <v/>
      </c>
      <c r="O23" s="1"/>
      <c r="P23" s="36" t="str">
        <f>IFERROR(VLOOKUP('A1 (Aktivlər)'!O23,List!S:T,2,0),"")</f>
        <v/>
      </c>
      <c r="Q23" s="1"/>
      <c r="R23" s="36" t="str">
        <f>IFERROR(VLOOKUP('A1 (Aktivlər)'!Q23,List!K:L,2,0),"")</f>
        <v/>
      </c>
      <c r="S23" s="16"/>
      <c r="T23" s="16"/>
      <c r="U23" s="17"/>
      <c r="V23" s="17"/>
      <c r="W23" s="20"/>
      <c r="X23" s="18"/>
      <c r="Y23" s="1"/>
      <c r="Z23" s="36" t="str">
        <f>IFERROR(VLOOKUP('A1 (Aktivlər)'!Y23,List!O:P,2,0),"")</f>
        <v/>
      </c>
      <c r="AA23" s="19"/>
      <c r="AB23" s="19"/>
      <c r="AC23" s="37">
        <f t="shared" si="0"/>
        <v>0</v>
      </c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21"/>
      <c r="AZ23" s="36" t="str">
        <f>IFERROR(VLOOKUP('A1 (Aktivlər)'!AY23,List!Q:R,2,0),"")</f>
        <v/>
      </c>
      <c r="BA23" s="38">
        <f t="shared" si="3"/>
        <v>0</v>
      </c>
      <c r="BB23" s="38">
        <f t="shared" si="4"/>
        <v>0</v>
      </c>
      <c r="BC23" s="39">
        <f t="shared" si="5"/>
        <v>0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34"/>
      <c r="CA23" s="18"/>
      <c r="CB23" s="20"/>
      <c r="CC23" s="36" t="str">
        <f>IFERROR(VLOOKUP('A1 (Aktivlər)'!CB23,List!Z:AA,2,0),"")</f>
        <v/>
      </c>
      <c r="CD23" s="34"/>
    </row>
    <row r="24" spans="1:82" s="112" customFormat="1" ht="21.75" customHeight="1" x14ac:dyDescent="0.2">
      <c r="A24" s="111">
        <v>10</v>
      </c>
      <c r="B24" s="35" t="str">
        <f t="shared" si="2"/>
        <v/>
      </c>
      <c r="C24" s="32"/>
      <c r="D24" s="33"/>
      <c r="E24" s="1"/>
      <c r="F24" s="36" t="str">
        <f>IFERROR(VLOOKUP('A1 (Aktivlər)'!E24,List!A:B,2,0),"")</f>
        <v/>
      </c>
      <c r="G24" s="1"/>
      <c r="H24" s="36" t="str">
        <f>IFERROR(VLOOKUP('A1 (Aktivlər)'!G24,List!G:H,2,0),"")</f>
        <v/>
      </c>
      <c r="I24" s="1"/>
      <c r="J24" s="36" t="str">
        <f>IFERROR(VLOOKUP('A1 (Aktivlər)'!I24,List!C:D,2,0),"")</f>
        <v/>
      </c>
      <c r="K24" s="1"/>
      <c r="L24" s="36" t="str">
        <f>IFERROR(VLOOKUP('A1 (Aktivlər)'!K24,List!E:F,2,0),"")</f>
        <v/>
      </c>
      <c r="M24" s="1"/>
      <c r="N24" s="36" t="str">
        <f>IFERROR(VLOOKUP('A1 (Aktivlər)'!M24,List!M:N,2,0),"")</f>
        <v/>
      </c>
      <c r="O24" s="1"/>
      <c r="P24" s="36" t="str">
        <f>IFERROR(VLOOKUP('A1 (Aktivlər)'!O24,List!S:T,2,0),"")</f>
        <v/>
      </c>
      <c r="Q24" s="1"/>
      <c r="R24" s="36" t="str">
        <f>IFERROR(VLOOKUP('A1 (Aktivlər)'!Q24,List!K:L,2,0),"")</f>
        <v/>
      </c>
      <c r="S24" s="16"/>
      <c r="T24" s="16"/>
      <c r="U24" s="17"/>
      <c r="V24" s="17"/>
      <c r="W24" s="20"/>
      <c r="X24" s="18"/>
      <c r="Y24" s="1"/>
      <c r="Z24" s="36" t="str">
        <f>IFERROR(VLOOKUP('A1 (Aktivlər)'!Y24,List!O:P,2,0),"")</f>
        <v/>
      </c>
      <c r="AA24" s="19"/>
      <c r="AB24" s="19"/>
      <c r="AC24" s="37">
        <f t="shared" si="0"/>
        <v>0</v>
      </c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21"/>
      <c r="AZ24" s="36" t="str">
        <f>IFERROR(VLOOKUP('A1 (Aktivlər)'!AY24,List!Q:R,2,0),"")</f>
        <v/>
      </c>
      <c r="BA24" s="38">
        <f t="shared" si="3"/>
        <v>0</v>
      </c>
      <c r="BB24" s="38">
        <f t="shared" si="4"/>
        <v>0</v>
      </c>
      <c r="BC24" s="39">
        <f t="shared" si="5"/>
        <v>0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34"/>
      <c r="CA24" s="18"/>
      <c r="CB24" s="20"/>
      <c r="CC24" s="36" t="str">
        <f>IFERROR(VLOOKUP('A1 (Aktivlər)'!CB24,List!Z:AA,2,0),"")</f>
        <v/>
      </c>
      <c r="CD24" s="34"/>
    </row>
    <row r="25" spans="1:82" s="112" customFormat="1" ht="21.75" customHeight="1" x14ac:dyDescent="0.2">
      <c r="A25" s="111">
        <v>11</v>
      </c>
      <c r="B25" s="35" t="str">
        <f t="shared" si="2"/>
        <v/>
      </c>
      <c r="C25" s="32"/>
      <c r="D25" s="33"/>
      <c r="E25" s="1"/>
      <c r="F25" s="36" t="str">
        <f>IFERROR(VLOOKUP('A1 (Aktivlər)'!E25,List!A:B,2,0),"")</f>
        <v/>
      </c>
      <c r="G25" s="1"/>
      <c r="H25" s="36" t="str">
        <f>IFERROR(VLOOKUP('A1 (Aktivlər)'!G25,List!G:H,2,0),"")</f>
        <v/>
      </c>
      <c r="I25" s="1"/>
      <c r="J25" s="36" t="str">
        <f>IFERROR(VLOOKUP('A1 (Aktivlər)'!I25,List!C:D,2,0),"")</f>
        <v/>
      </c>
      <c r="K25" s="1"/>
      <c r="L25" s="36" t="str">
        <f>IFERROR(VLOOKUP('A1 (Aktivlər)'!K25,List!E:F,2,0),"")</f>
        <v/>
      </c>
      <c r="M25" s="1"/>
      <c r="N25" s="36" t="str">
        <f>IFERROR(VLOOKUP('A1 (Aktivlər)'!M25,List!M:N,2,0),"")</f>
        <v/>
      </c>
      <c r="O25" s="1"/>
      <c r="P25" s="36" t="str">
        <f>IFERROR(VLOOKUP('A1 (Aktivlər)'!O25,List!S:T,2,0),"")</f>
        <v/>
      </c>
      <c r="Q25" s="1"/>
      <c r="R25" s="36" t="str">
        <f>IFERROR(VLOOKUP('A1 (Aktivlər)'!Q25,List!K:L,2,0),"")</f>
        <v/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  <v/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  <v/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  <v/>
      </c>
      <c r="CD25" s="34"/>
    </row>
    <row r="26" spans="1:82" s="112" customFormat="1" ht="21.75" customHeight="1" x14ac:dyDescent="0.2">
      <c r="A26" s="111">
        <v>12</v>
      </c>
      <c r="B26" s="35" t="str">
        <f t="shared" si="2"/>
        <v/>
      </c>
      <c r="C26" s="32"/>
      <c r="D26" s="33"/>
      <c r="E26" s="1"/>
      <c r="F26" s="36" t="str">
        <f>IFERROR(VLOOKUP('A1 (Aktivlər)'!E26,List!A:B,2,0),"")</f>
        <v/>
      </c>
      <c r="G26" s="1"/>
      <c r="H26" s="36" t="str">
        <f>IFERROR(VLOOKUP('A1 (Aktivlər)'!G26,List!G:H,2,0),"")</f>
        <v/>
      </c>
      <c r="I26" s="1"/>
      <c r="J26" s="36" t="str">
        <f>IFERROR(VLOOKUP('A1 (Aktivlər)'!I26,List!C:D,2,0),"")</f>
        <v/>
      </c>
      <c r="K26" s="1"/>
      <c r="L26" s="36" t="str">
        <f>IFERROR(VLOOKUP('A1 (Aktivlər)'!K26,List!E:F,2,0),"")</f>
        <v/>
      </c>
      <c r="M26" s="1"/>
      <c r="N26" s="36" t="str">
        <f>IFERROR(VLOOKUP('A1 (Aktivlər)'!M26,List!M:N,2,0),"")</f>
        <v/>
      </c>
      <c r="O26" s="1"/>
      <c r="P26" s="36" t="str">
        <f>IFERROR(VLOOKUP('A1 (Aktivlər)'!O26,List!S:T,2,0),"")</f>
        <v/>
      </c>
      <c r="Q26" s="1"/>
      <c r="R26" s="36" t="str">
        <f>IFERROR(VLOOKUP('A1 (Aktivlər)'!Q26,List!K:L,2,0),"")</f>
        <v/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  <v/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  <v/>
      </c>
      <c r="BA26" s="38">
        <f t="shared" ref="BA26:BA42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  <v/>
      </c>
      <c r="CD26" s="34"/>
    </row>
    <row r="27" spans="1:82" s="112" customFormat="1" ht="21.75" customHeight="1" x14ac:dyDescent="0.2">
      <c r="A27" s="111">
        <v>13</v>
      </c>
      <c r="B27" s="35" t="str">
        <f t="shared" si="2"/>
        <v/>
      </c>
      <c r="C27" s="32"/>
      <c r="D27" s="33"/>
      <c r="E27" s="1"/>
      <c r="F27" s="36" t="str">
        <f>IFERROR(VLOOKUP('A1 (Aktivlər)'!E27,List!A:B,2,0),"")</f>
        <v/>
      </c>
      <c r="G27" s="1"/>
      <c r="H27" s="36" t="str">
        <f>IFERROR(VLOOKUP('A1 (Aktivlər)'!G27,List!G:H,2,0),"")</f>
        <v/>
      </c>
      <c r="I27" s="1"/>
      <c r="J27" s="36" t="str">
        <f>IFERROR(VLOOKUP('A1 (Aktivlər)'!I27,List!C:D,2,0),"")</f>
        <v/>
      </c>
      <c r="K27" s="1"/>
      <c r="L27" s="36" t="str">
        <f>IFERROR(VLOOKUP('A1 (Aktivlər)'!K27,List!E:F,2,0),"")</f>
        <v/>
      </c>
      <c r="M27" s="1"/>
      <c r="N27" s="36" t="str">
        <f>IFERROR(VLOOKUP('A1 (Aktivlər)'!M27,List!M:N,2,0),"")</f>
        <v/>
      </c>
      <c r="O27" s="1"/>
      <c r="P27" s="36" t="str">
        <f>IFERROR(VLOOKUP('A1 (Aktivlər)'!O27,List!S:T,2,0),"")</f>
        <v/>
      </c>
      <c r="Q27" s="1"/>
      <c r="R27" s="36" t="str">
        <f>IFERROR(VLOOKUP('A1 (Aktivlər)'!Q27,List!K:L,2,0),"")</f>
        <v/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  <v/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  <v/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  <v/>
      </c>
      <c r="CD27" s="34"/>
    </row>
    <row r="28" spans="1:82" s="112" customFormat="1" ht="21.75" customHeight="1" x14ac:dyDescent="0.2">
      <c r="A28" s="111">
        <v>14</v>
      </c>
      <c r="B28" s="35" t="str">
        <f t="shared" si="2"/>
        <v/>
      </c>
      <c r="C28" s="32"/>
      <c r="D28" s="33"/>
      <c r="E28" s="1"/>
      <c r="F28" s="36" t="str">
        <f>IFERROR(VLOOKUP('A1 (Aktivlər)'!E28,List!A:B,2,0),"")</f>
        <v/>
      </c>
      <c r="G28" s="1"/>
      <c r="H28" s="36" t="str">
        <f>IFERROR(VLOOKUP('A1 (Aktivlər)'!G28,List!G:H,2,0),"")</f>
        <v/>
      </c>
      <c r="I28" s="1"/>
      <c r="J28" s="36" t="str">
        <f>IFERROR(VLOOKUP('A1 (Aktivlər)'!I28,List!C:D,2,0),"")</f>
        <v/>
      </c>
      <c r="K28" s="1"/>
      <c r="L28" s="36" t="str">
        <f>IFERROR(VLOOKUP('A1 (Aktivlər)'!K28,List!E:F,2,0),"")</f>
        <v/>
      </c>
      <c r="M28" s="1"/>
      <c r="N28" s="36" t="str">
        <f>IFERROR(VLOOKUP('A1 (Aktivlər)'!M28,List!M:N,2,0),"")</f>
        <v/>
      </c>
      <c r="O28" s="1"/>
      <c r="P28" s="36" t="str">
        <f>IFERROR(VLOOKUP('A1 (Aktivlər)'!O28,List!S:T,2,0),"")</f>
        <v/>
      </c>
      <c r="Q28" s="1"/>
      <c r="R28" s="36" t="str">
        <f>IFERROR(VLOOKUP('A1 (Aktivlər)'!Q28,List!K:L,2,0),"")</f>
        <v/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  <v/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  <v/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  <v/>
      </c>
      <c r="CD28" s="34"/>
    </row>
    <row r="29" spans="1:82" s="112" customFormat="1" ht="21.75" customHeight="1" x14ac:dyDescent="0.2">
      <c r="A29" s="111">
        <v>15</v>
      </c>
      <c r="B29" s="35" t="str">
        <f t="shared" si="2"/>
        <v/>
      </c>
      <c r="C29" s="32"/>
      <c r="D29" s="33"/>
      <c r="E29" s="1"/>
      <c r="F29" s="36" t="str">
        <f>IFERROR(VLOOKUP('A1 (Aktivlər)'!E29,List!A:B,2,0),"")</f>
        <v/>
      </c>
      <c r="G29" s="1"/>
      <c r="H29" s="36" t="str">
        <f>IFERROR(VLOOKUP('A1 (Aktivlər)'!G29,List!G:H,2,0),"")</f>
        <v/>
      </c>
      <c r="I29" s="1"/>
      <c r="J29" s="36" t="str">
        <f>IFERROR(VLOOKUP('A1 (Aktivlər)'!I29,List!C:D,2,0),"")</f>
        <v/>
      </c>
      <c r="K29" s="1"/>
      <c r="L29" s="36" t="str">
        <f>IFERROR(VLOOKUP('A1 (Aktivlər)'!K29,List!E:F,2,0),"")</f>
        <v/>
      </c>
      <c r="M29" s="1"/>
      <c r="N29" s="36" t="str">
        <f>IFERROR(VLOOKUP('A1 (Aktivlər)'!M29,List!M:N,2,0),"")</f>
        <v/>
      </c>
      <c r="O29" s="1"/>
      <c r="P29" s="36" t="str">
        <f>IFERROR(VLOOKUP('A1 (Aktivlər)'!O29,List!S:T,2,0),"")</f>
        <v/>
      </c>
      <c r="Q29" s="1"/>
      <c r="R29" s="36" t="str">
        <f>IFERROR(VLOOKUP('A1 (Aktivlər)'!Q29,List!K:L,2,0),"")</f>
        <v/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  <v/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  <v/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  <v/>
      </c>
      <c r="CD29" s="34"/>
    </row>
    <row r="30" spans="1:82" s="112" customFormat="1" ht="21.75" customHeight="1" x14ac:dyDescent="0.2">
      <c r="A30" s="111">
        <v>16</v>
      </c>
      <c r="B30" s="35" t="str">
        <f t="shared" si="2"/>
        <v/>
      </c>
      <c r="C30" s="32"/>
      <c r="D30" s="33"/>
      <c r="E30" s="1"/>
      <c r="F30" s="36" t="str">
        <f>IFERROR(VLOOKUP('A1 (Aktivlər)'!E30,List!A:B,2,0),"")</f>
        <v/>
      </c>
      <c r="G30" s="1"/>
      <c r="H30" s="36" t="str">
        <f>IFERROR(VLOOKUP('A1 (Aktivlər)'!G30,List!G:H,2,0),"")</f>
        <v/>
      </c>
      <c r="I30" s="1"/>
      <c r="J30" s="36" t="str">
        <f>IFERROR(VLOOKUP('A1 (Aktivlər)'!I30,List!C:D,2,0),"")</f>
        <v/>
      </c>
      <c r="K30" s="1"/>
      <c r="L30" s="36" t="str">
        <f>IFERROR(VLOOKUP('A1 (Aktivlər)'!K30,List!E:F,2,0),"")</f>
        <v/>
      </c>
      <c r="M30" s="1"/>
      <c r="N30" s="36" t="str">
        <f>IFERROR(VLOOKUP('A1 (Aktivlər)'!M30,List!M:N,2,0),"")</f>
        <v/>
      </c>
      <c r="O30" s="1"/>
      <c r="P30" s="36" t="str">
        <f>IFERROR(VLOOKUP('A1 (Aktivlər)'!O30,List!S:T,2,0),"")</f>
        <v/>
      </c>
      <c r="Q30" s="1"/>
      <c r="R30" s="36" t="str">
        <f>IFERROR(VLOOKUP('A1 (Aktivlər)'!Q30,List!K:L,2,0),"")</f>
        <v/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  <v/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  <v/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  <v/>
      </c>
      <c r="CD30" s="34"/>
    </row>
    <row r="31" spans="1:82" s="112" customFormat="1" ht="21.75" customHeight="1" x14ac:dyDescent="0.2">
      <c r="A31" s="111">
        <v>17</v>
      </c>
      <c r="B31" s="35" t="str">
        <f t="shared" si="2"/>
        <v/>
      </c>
      <c r="C31" s="32"/>
      <c r="D31" s="33"/>
      <c r="E31" s="1"/>
      <c r="F31" s="36" t="str">
        <f>IFERROR(VLOOKUP('A1 (Aktivlər)'!E31,List!A:B,2,0),"")</f>
        <v/>
      </c>
      <c r="G31" s="1"/>
      <c r="H31" s="36" t="str">
        <f>IFERROR(VLOOKUP('A1 (Aktivlər)'!G31,List!G:H,2,0),"")</f>
        <v/>
      </c>
      <c r="I31" s="1"/>
      <c r="J31" s="36" t="str">
        <f>IFERROR(VLOOKUP('A1 (Aktivlər)'!I31,List!C:D,2,0),"")</f>
        <v/>
      </c>
      <c r="K31" s="1"/>
      <c r="L31" s="36" t="str">
        <f>IFERROR(VLOOKUP('A1 (Aktivlər)'!K31,List!E:F,2,0),"")</f>
        <v/>
      </c>
      <c r="M31" s="1"/>
      <c r="N31" s="36" t="str">
        <f>IFERROR(VLOOKUP('A1 (Aktivlər)'!M31,List!M:N,2,0),"")</f>
        <v/>
      </c>
      <c r="O31" s="1"/>
      <c r="P31" s="36" t="str">
        <f>IFERROR(VLOOKUP('A1 (Aktivlər)'!O31,List!S:T,2,0),"")</f>
        <v/>
      </c>
      <c r="Q31" s="1"/>
      <c r="R31" s="36" t="str">
        <f>IFERROR(VLOOKUP('A1 (Aktivlər)'!Q31,List!K:L,2,0),"")</f>
        <v/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  <v/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  <v/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  <v/>
      </c>
      <c r="CD31" s="34"/>
    </row>
    <row r="32" spans="1:82" s="112" customFormat="1" ht="21.75" customHeight="1" x14ac:dyDescent="0.2">
      <c r="A32" s="111">
        <v>18</v>
      </c>
      <c r="B32" s="35" t="str">
        <f t="shared" si="2"/>
        <v/>
      </c>
      <c r="C32" s="32"/>
      <c r="D32" s="33"/>
      <c r="E32" s="1"/>
      <c r="F32" s="36" t="str">
        <f>IFERROR(VLOOKUP('A1 (Aktivlər)'!E32,List!A:B,2,0),"")</f>
        <v/>
      </c>
      <c r="G32" s="1"/>
      <c r="H32" s="36" t="str">
        <f>IFERROR(VLOOKUP('A1 (Aktivlər)'!G32,List!G:H,2,0),"")</f>
        <v/>
      </c>
      <c r="I32" s="1"/>
      <c r="J32" s="36" t="str">
        <f>IFERROR(VLOOKUP('A1 (Aktivlər)'!I32,List!C:D,2,0),"")</f>
        <v/>
      </c>
      <c r="K32" s="1"/>
      <c r="L32" s="36" t="str">
        <f>IFERROR(VLOOKUP('A1 (Aktivlər)'!K32,List!E:F,2,0),"")</f>
        <v/>
      </c>
      <c r="M32" s="1"/>
      <c r="N32" s="36" t="str">
        <f>IFERROR(VLOOKUP('A1 (Aktivlər)'!M32,List!M:N,2,0),"")</f>
        <v/>
      </c>
      <c r="O32" s="1"/>
      <c r="P32" s="36" t="str">
        <f>IFERROR(VLOOKUP('A1 (Aktivlər)'!O32,List!S:T,2,0),"")</f>
        <v/>
      </c>
      <c r="Q32" s="1"/>
      <c r="R32" s="36" t="str">
        <f>IFERROR(VLOOKUP('A1 (Aktivlər)'!Q32,List!K:L,2,0),"")</f>
        <v/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  <v/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  <v/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  <v/>
      </c>
      <c r="CD32" s="34"/>
    </row>
    <row r="33" spans="1:82" s="112" customFormat="1" ht="21.75" customHeight="1" x14ac:dyDescent="0.2">
      <c r="A33" s="111">
        <v>19</v>
      </c>
      <c r="B33" s="35" t="str">
        <f t="shared" si="2"/>
        <v/>
      </c>
      <c r="C33" s="32"/>
      <c r="D33" s="33"/>
      <c r="E33" s="1"/>
      <c r="F33" s="36" t="str">
        <f>IFERROR(VLOOKUP('A1 (Aktivlər)'!E33,List!A:B,2,0),"")</f>
        <v/>
      </c>
      <c r="G33" s="1"/>
      <c r="H33" s="36" t="str">
        <f>IFERROR(VLOOKUP('A1 (Aktivlər)'!G33,List!G:H,2,0),"")</f>
        <v/>
      </c>
      <c r="I33" s="1"/>
      <c r="J33" s="36" t="str">
        <f>IFERROR(VLOOKUP('A1 (Aktivlər)'!I33,List!C:D,2,0),"")</f>
        <v/>
      </c>
      <c r="K33" s="1"/>
      <c r="L33" s="36" t="str">
        <f>IFERROR(VLOOKUP('A1 (Aktivlər)'!K33,List!E:F,2,0),"")</f>
        <v/>
      </c>
      <c r="M33" s="1"/>
      <c r="N33" s="36" t="str">
        <f>IFERROR(VLOOKUP('A1 (Aktivlər)'!M33,List!M:N,2,0),"")</f>
        <v/>
      </c>
      <c r="O33" s="1"/>
      <c r="P33" s="36" t="str">
        <f>IFERROR(VLOOKUP('A1 (Aktivlər)'!O33,List!S:T,2,0),"")</f>
        <v/>
      </c>
      <c r="Q33" s="1"/>
      <c r="R33" s="36" t="str">
        <f>IFERROR(VLOOKUP('A1 (Aktivlər)'!Q33,List!K:L,2,0),"")</f>
        <v/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  <v/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  <v/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  <v/>
      </c>
      <c r="CD33" s="34"/>
    </row>
    <row r="34" spans="1:82" s="112" customFormat="1" ht="21.75" customHeight="1" x14ac:dyDescent="0.2">
      <c r="A34" s="111">
        <v>20</v>
      </c>
      <c r="B34" s="35" t="str">
        <f t="shared" si="2"/>
        <v/>
      </c>
      <c r="C34" s="32"/>
      <c r="D34" s="33"/>
      <c r="E34" s="1"/>
      <c r="F34" s="36" t="str">
        <f>IFERROR(VLOOKUP('A1 (Aktivlər)'!E34,List!A:B,2,0),"")</f>
        <v/>
      </c>
      <c r="G34" s="1"/>
      <c r="H34" s="36" t="str">
        <f>IFERROR(VLOOKUP('A1 (Aktivlər)'!G34,List!G:H,2,0),"")</f>
        <v/>
      </c>
      <c r="I34" s="1"/>
      <c r="J34" s="36" t="str">
        <f>IFERROR(VLOOKUP('A1 (Aktivlər)'!I34,List!C:D,2,0),"")</f>
        <v/>
      </c>
      <c r="K34" s="1"/>
      <c r="L34" s="36" t="str">
        <f>IFERROR(VLOOKUP('A1 (Aktivlər)'!K34,List!E:F,2,0),"")</f>
        <v/>
      </c>
      <c r="M34" s="1"/>
      <c r="N34" s="36" t="str">
        <f>IFERROR(VLOOKUP('A1 (Aktivlər)'!M34,List!M:N,2,0),"")</f>
        <v/>
      </c>
      <c r="O34" s="1"/>
      <c r="P34" s="36" t="str">
        <f>IFERROR(VLOOKUP('A1 (Aktivlər)'!O34,List!S:T,2,0),"")</f>
        <v/>
      </c>
      <c r="Q34" s="1"/>
      <c r="R34" s="36" t="str">
        <f>IFERROR(VLOOKUP('A1 (Aktivlər)'!Q34,List!K:L,2,0),"")</f>
        <v/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  <v/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  <v/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  <v/>
      </c>
      <c r="CD34" s="34"/>
    </row>
    <row r="35" spans="1:82" s="112" customFormat="1" ht="21.75" customHeight="1" x14ac:dyDescent="0.2">
      <c r="A35" s="111">
        <v>21</v>
      </c>
      <c r="B35" s="35" t="str">
        <f t="shared" si="2"/>
        <v/>
      </c>
      <c r="C35" s="32"/>
      <c r="D35" s="33"/>
      <c r="E35" s="1"/>
      <c r="F35" s="36" t="str">
        <f>IFERROR(VLOOKUP('A1 (Aktivlər)'!E35,List!A:B,2,0),"")</f>
        <v/>
      </c>
      <c r="G35" s="1"/>
      <c r="H35" s="36" t="str">
        <f>IFERROR(VLOOKUP('A1 (Aktivlər)'!G35,List!G:H,2,0),"")</f>
        <v/>
      </c>
      <c r="I35" s="1"/>
      <c r="J35" s="36" t="str">
        <f>IFERROR(VLOOKUP('A1 (Aktivlər)'!I35,List!C:D,2,0),"")</f>
        <v/>
      </c>
      <c r="K35" s="1"/>
      <c r="L35" s="36" t="str">
        <f>IFERROR(VLOOKUP('A1 (Aktivlər)'!K35,List!E:F,2,0),"")</f>
        <v/>
      </c>
      <c r="M35" s="1"/>
      <c r="N35" s="36" t="str">
        <f>IFERROR(VLOOKUP('A1 (Aktivlər)'!M35,List!M:N,2,0),"")</f>
        <v/>
      </c>
      <c r="O35" s="1"/>
      <c r="P35" s="36" t="str">
        <f>IFERROR(VLOOKUP('A1 (Aktivlər)'!O35,List!S:T,2,0),"")</f>
        <v/>
      </c>
      <c r="Q35" s="1"/>
      <c r="R35" s="36" t="str">
        <f>IFERROR(VLOOKUP('A1 (Aktivlər)'!Q35,List!K:L,2,0),"")</f>
        <v/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  <v/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  <v/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  <v/>
      </c>
      <c r="CD35" s="34"/>
    </row>
    <row r="36" spans="1:82" s="112" customFormat="1" ht="21.75" customHeight="1" x14ac:dyDescent="0.2">
      <c r="A36" s="111">
        <v>22</v>
      </c>
      <c r="B36" s="35" t="str">
        <f t="shared" si="2"/>
        <v/>
      </c>
      <c r="C36" s="32"/>
      <c r="D36" s="33"/>
      <c r="E36" s="1"/>
      <c r="F36" s="36" t="str">
        <f>IFERROR(VLOOKUP('A1 (Aktivlər)'!E36,List!A:B,2,0),"")</f>
        <v/>
      </c>
      <c r="G36" s="1"/>
      <c r="H36" s="36" t="str">
        <f>IFERROR(VLOOKUP('A1 (Aktivlər)'!G36,List!G:H,2,0),"")</f>
        <v/>
      </c>
      <c r="I36" s="1"/>
      <c r="J36" s="36" t="str">
        <f>IFERROR(VLOOKUP('A1 (Aktivlər)'!I36,List!C:D,2,0),"")</f>
        <v/>
      </c>
      <c r="K36" s="1"/>
      <c r="L36" s="36" t="str">
        <f>IFERROR(VLOOKUP('A1 (Aktivlər)'!K36,List!E:F,2,0),"")</f>
        <v/>
      </c>
      <c r="M36" s="1"/>
      <c r="N36" s="36" t="str">
        <f>IFERROR(VLOOKUP('A1 (Aktivlər)'!M36,List!M:N,2,0),"")</f>
        <v/>
      </c>
      <c r="O36" s="1"/>
      <c r="P36" s="36" t="str">
        <f>IFERROR(VLOOKUP('A1 (Aktivlər)'!O36,List!S:T,2,0),"")</f>
        <v/>
      </c>
      <c r="Q36" s="1"/>
      <c r="R36" s="36" t="str">
        <f>IFERROR(VLOOKUP('A1 (Aktivlər)'!Q36,List!K:L,2,0),"")</f>
        <v/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  <v/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  <v/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  <v/>
      </c>
      <c r="CD36" s="34"/>
    </row>
    <row r="37" spans="1:82" s="112" customFormat="1" ht="21.75" customHeight="1" x14ac:dyDescent="0.2">
      <c r="A37" s="111">
        <v>23</v>
      </c>
      <c r="B37" s="35" t="str">
        <f t="shared" si="2"/>
        <v/>
      </c>
      <c r="C37" s="32"/>
      <c r="D37" s="33"/>
      <c r="E37" s="1"/>
      <c r="F37" s="36" t="str">
        <f>IFERROR(VLOOKUP('A1 (Aktivlər)'!E37,List!A:B,2,0),"")</f>
        <v/>
      </c>
      <c r="G37" s="1"/>
      <c r="H37" s="36" t="str">
        <f>IFERROR(VLOOKUP('A1 (Aktivlər)'!G37,List!G:H,2,0),"")</f>
        <v/>
      </c>
      <c r="I37" s="1"/>
      <c r="J37" s="36" t="str">
        <f>IFERROR(VLOOKUP('A1 (Aktivlər)'!I37,List!C:D,2,0),"")</f>
        <v/>
      </c>
      <c r="K37" s="1"/>
      <c r="L37" s="36" t="str">
        <f>IFERROR(VLOOKUP('A1 (Aktivlər)'!K37,List!E:F,2,0),"")</f>
        <v/>
      </c>
      <c r="M37" s="1"/>
      <c r="N37" s="36" t="str">
        <f>IFERROR(VLOOKUP('A1 (Aktivlər)'!M37,List!M:N,2,0),"")</f>
        <v/>
      </c>
      <c r="O37" s="1"/>
      <c r="P37" s="36" t="str">
        <f>IFERROR(VLOOKUP('A1 (Aktivlər)'!O37,List!S:T,2,0),"")</f>
        <v/>
      </c>
      <c r="Q37" s="1"/>
      <c r="R37" s="36" t="str">
        <f>IFERROR(VLOOKUP('A1 (Aktivlər)'!Q37,List!K:L,2,0),"")</f>
        <v/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  <v/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  <v/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  <v/>
      </c>
      <c r="CD37" s="34"/>
    </row>
    <row r="38" spans="1:82" s="112" customFormat="1" ht="21.75" customHeight="1" x14ac:dyDescent="0.2">
      <c r="A38" s="111">
        <v>24</v>
      </c>
      <c r="B38" s="35" t="str">
        <f t="shared" si="2"/>
        <v/>
      </c>
      <c r="C38" s="32"/>
      <c r="D38" s="33"/>
      <c r="E38" s="1"/>
      <c r="F38" s="36" t="str">
        <f>IFERROR(VLOOKUP('A1 (Aktivlər)'!E38,List!A:B,2,0),"")</f>
        <v/>
      </c>
      <c r="G38" s="1"/>
      <c r="H38" s="36" t="str">
        <f>IFERROR(VLOOKUP('A1 (Aktivlər)'!G38,List!G:H,2,0),"")</f>
        <v/>
      </c>
      <c r="I38" s="1"/>
      <c r="J38" s="36" t="str">
        <f>IFERROR(VLOOKUP('A1 (Aktivlər)'!I38,List!C:D,2,0),"")</f>
        <v/>
      </c>
      <c r="K38" s="1"/>
      <c r="L38" s="36" t="str">
        <f>IFERROR(VLOOKUP('A1 (Aktivlər)'!K38,List!E:F,2,0),"")</f>
        <v/>
      </c>
      <c r="M38" s="1"/>
      <c r="N38" s="36" t="str">
        <f>IFERROR(VLOOKUP('A1 (Aktivlər)'!M38,List!M:N,2,0),"")</f>
        <v/>
      </c>
      <c r="O38" s="1"/>
      <c r="P38" s="36" t="str">
        <f>IFERROR(VLOOKUP('A1 (Aktivlər)'!O38,List!S:T,2,0),"")</f>
        <v/>
      </c>
      <c r="Q38" s="1"/>
      <c r="R38" s="36" t="str">
        <f>IFERROR(VLOOKUP('A1 (Aktivlər)'!Q38,List!K:L,2,0),"")</f>
        <v/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  <v/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  <v/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  <v/>
      </c>
      <c r="CD38" s="34"/>
    </row>
    <row r="39" spans="1:82" s="112" customFormat="1" ht="21.75" customHeight="1" x14ac:dyDescent="0.2">
      <c r="A39" s="111">
        <v>25</v>
      </c>
      <c r="B39" s="35" t="str">
        <f t="shared" si="2"/>
        <v/>
      </c>
      <c r="C39" s="32"/>
      <c r="D39" s="33"/>
      <c r="E39" s="1"/>
      <c r="F39" s="36" t="str">
        <f>IFERROR(VLOOKUP('A1 (Aktivlər)'!E39,List!A:B,2,0),"")</f>
        <v/>
      </c>
      <c r="G39" s="1"/>
      <c r="H39" s="36" t="str">
        <f>IFERROR(VLOOKUP('A1 (Aktivlər)'!G39,List!G:H,2,0),"")</f>
        <v/>
      </c>
      <c r="I39" s="1"/>
      <c r="J39" s="36" t="str">
        <f>IFERROR(VLOOKUP('A1 (Aktivlər)'!I39,List!C:D,2,0),"")</f>
        <v/>
      </c>
      <c r="K39" s="1"/>
      <c r="L39" s="36" t="str">
        <f>IFERROR(VLOOKUP('A1 (Aktivlər)'!K39,List!E:F,2,0),"")</f>
        <v/>
      </c>
      <c r="M39" s="1"/>
      <c r="N39" s="36" t="str">
        <f>IFERROR(VLOOKUP('A1 (Aktivlər)'!M39,List!M:N,2,0),"")</f>
        <v/>
      </c>
      <c r="O39" s="1"/>
      <c r="P39" s="36" t="str">
        <f>IFERROR(VLOOKUP('A1 (Aktivlər)'!O39,List!S:T,2,0),"")</f>
        <v/>
      </c>
      <c r="Q39" s="1"/>
      <c r="R39" s="36" t="str">
        <f>IFERROR(VLOOKUP('A1 (Aktivlər)'!Q39,List!K:L,2,0),"")</f>
        <v/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  <v/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  <v/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  <v/>
      </c>
      <c r="CD39" s="34"/>
    </row>
    <row r="40" spans="1:82" s="112" customFormat="1" ht="21.75" customHeight="1" x14ac:dyDescent="0.2">
      <c r="A40" s="111">
        <v>26</v>
      </c>
      <c r="B40" s="35" t="str">
        <f t="shared" si="2"/>
        <v/>
      </c>
      <c r="C40" s="32"/>
      <c r="D40" s="33"/>
      <c r="E40" s="1"/>
      <c r="F40" s="36" t="str">
        <f>IFERROR(VLOOKUP('A1 (Aktivlər)'!E40,List!A:B,2,0),"")</f>
        <v/>
      </c>
      <c r="G40" s="1"/>
      <c r="H40" s="36" t="str">
        <f>IFERROR(VLOOKUP('A1 (Aktivlər)'!G40,List!G:H,2,0),"")</f>
        <v/>
      </c>
      <c r="I40" s="1"/>
      <c r="J40" s="36" t="str">
        <f>IFERROR(VLOOKUP('A1 (Aktivlər)'!I40,List!C:D,2,0),"")</f>
        <v/>
      </c>
      <c r="K40" s="1"/>
      <c r="L40" s="36" t="str">
        <f>IFERROR(VLOOKUP('A1 (Aktivlər)'!K40,List!E:F,2,0),"")</f>
        <v/>
      </c>
      <c r="M40" s="1"/>
      <c r="N40" s="36" t="str">
        <f>IFERROR(VLOOKUP('A1 (Aktivlər)'!M40,List!M:N,2,0),"")</f>
        <v/>
      </c>
      <c r="O40" s="1"/>
      <c r="P40" s="36" t="str">
        <f>IFERROR(VLOOKUP('A1 (Aktivlər)'!O40,List!S:T,2,0),"")</f>
        <v/>
      </c>
      <c r="Q40" s="1"/>
      <c r="R40" s="36" t="str">
        <f>IFERROR(VLOOKUP('A1 (Aktivlər)'!Q40,List!K:L,2,0),"")</f>
        <v/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  <v/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  <v/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  <v/>
      </c>
      <c r="CD40" s="34"/>
    </row>
    <row r="41" spans="1:82" s="112" customFormat="1" ht="21.75" customHeight="1" x14ac:dyDescent="0.2">
      <c r="A41" s="111">
        <v>27</v>
      </c>
      <c r="B41" s="35" t="str">
        <f t="shared" si="2"/>
        <v/>
      </c>
      <c r="C41" s="32"/>
      <c r="D41" s="33"/>
      <c r="E41" s="1"/>
      <c r="F41" s="36" t="str">
        <f>IFERROR(VLOOKUP('A1 (Aktivlər)'!E41,List!A:B,2,0),"")</f>
        <v/>
      </c>
      <c r="G41" s="1"/>
      <c r="H41" s="36" t="str">
        <f>IFERROR(VLOOKUP('A1 (Aktivlər)'!G41,List!G:H,2,0),"")</f>
        <v/>
      </c>
      <c r="I41" s="1"/>
      <c r="J41" s="36" t="str">
        <f>IFERROR(VLOOKUP('A1 (Aktivlər)'!I41,List!C:D,2,0),"")</f>
        <v/>
      </c>
      <c r="K41" s="1"/>
      <c r="L41" s="36" t="str">
        <f>IFERROR(VLOOKUP('A1 (Aktivlər)'!K41,List!E:F,2,0),"")</f>
        <v/>
      </c>
      <c r="M41" s="1"/>
      <c r="N41" s="36" t="str">
        <f>IFERROR(VLOOKUP('A1 (Aktivlər)'!M41,List!M:N,2,0),"")</f>
        <v/>
      </c>
      <c r="O41" s="1"/>
      <c r="P41" s="36" t="str">
        <f>IFERROR(VLOOKUP('A1 (Aktivlər)'!O41,List!S:T,2,0),"")</f>
        <v/>
      </c>
      <c r="Q41" s="1"/>
      <c r="R41" s="36" t="str">
        <f>IFERROR(VLOOKUP('A1 (Aktivlər)'!Q41,List!K:L,2,0),"")</f>
        <v/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  <v/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  <v/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  <v/>
      </c>
      <c r="CD41" s="34"/>
    </row>
    <row r="42" spans="1:82" s="112" customFormat="1" ht="21.75" customHeight="1" x14ac:dyDescent="0.2">
      <c r="A42" s="111">
        <v>28</v>
      </c>
      <c r="B42" s="35" t="str">
        <f t="shared" si="2"/>
        <v/>
      </c>
      <c r="C42" s="32"/>
      <c r="D42" s="33"/>
      <c r="E42" s="1"/>
      <c r="F42" s="36" t="str">
        <f>IFERROR(VLOOKUP('A1 (Aktivlər)'!E42,List!A:B,2,0),"")</f>
        <v/>
      </c>
      <c r="G42" s="1"/>
      <c r="H42" s="36" t="str">
        <f>IFERROR(VLOOKUP('A1 (Aktivlər)'!G42,List!G:H,2,0),"")</f>
        <v/>
      </c>
      <c r="I42" s="1"/>
      <c r="J42" s="36" t="str">
        <f>IFERROR(VLOOKUP('A1 (Aktivlər)'!I42,List!C:D,2,0),"")</f>
        <v/>
      </c>
      <c r="K42" s="1"/>
      <c r="L42" s="36" t="str">
        <f>IFERROR(VLOOKUP('A1 (Aktivlər)'!K42,List!E:F,2,0),"")</f>
        <v/>
      </c>
      <c r="M42" s="1"/>
      <c r="N42" s="36" t="str">
        <f>IFERROR(VLOOKUP('A1 (Aktivlər)'!M42,List!M:N,2,0),"")</f>
        <v/>
      </c>
      <c r="O42" s="1"/>
      <c r="P42" s="36" t="str">
        <f>IFERROR(VLOOKUP('A1 (Aktivlər)'!O42,List!S:T,2,0),"")</f>
        <v/>
      </c>
      <c r="Q42" s="1"/>
      <c r="R42" s="36" t="str">
        <f>IFERROR(VLOOKUP('A1 (Aktivlər)'!Q42,List!K:L,2,0),"")</f>
        <v/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  <v/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  <v/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  <v/>
      </c>
      <c r="CD42" s="34"/>
    </row>
    <row r="43" spans="1:82" s="112" customFormat="1" ht="21.75" customHeight="1" x14ac:dyDescent="0.2">
      <c r="A43" s="111">
        <v>29</v>
      </c>
      <c r="B43" s="35" t="str">
        <f t="shared" si="2"/>
        <v/>
      </c>
      <c r="C43" s="32"/>
      <c r="D43" s="33"/>
      <c r="E43" s="1"/>
      <c r="F43" s="36" t="str">
        <f>IFERROR(VLOOKUP('A1 (Aktivlər)'!E43,List!A:B,2,0),"")</f>
        <v/>
      </c>
      <c r="G43" s="1"/>
      <c r="H43" s="36" t="str">
        <f>IFERROR(VLOOKUP('A1 (Aktivlər)'!G43,List!G:H,2,0),"")</f>
        <v/>
      </c>
      <c r="I43" s="1"/>
      <c r="J43" s="36" t="str">
        <f>IFERROR(VLOOKUP('A1 (Aktivlər)'!I43,List!C:D,2,0),"")</f>
        <v/>
      </c>
      <c r="K43" s="1"/>
      <c r="L43" s="36" t="str">
        <f>IFERROR(VLOOKUP('A1 (Aktivlər)'!K43,List!E:F,2,0),"")</f>
        <v/>
      </c>
      <c r="M43" s="1"/>
      <c r="N43" s="36" t="str">
        <f>IFERROR(VLOOKUP('A1 (Aktivlər)'!M43,List!M:N,2,0),"")</f>
        <v/>
      </c>
      <c r="O43" s="1"/>
      <c r="P43" s="36" t="str">
        <f>IFERROR(VLOOKUP('A1 (Aktivlər)'!O43,List!S:T,2,0),"")</f>
        <v/>
      </c>
      <c r="Q43" s="1"/>
      <c r="R43" s="36" t="str">
        <f>IFERROR(VLOOKUP('A1 (Aktivlər)'!Q43,List!K:L,2,0),"")</f>
        <v/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  <v/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  <v/>
      </c>
      <c r="BA43" s="38">
        <f t="shared" ref="BA43" si="10"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  <v/>
      </c>
      <c r="CD43" s="34"/>
    </row>
    <row r="44" spans="1:82" s="112" customFormat="1" ht="21.75" customHeight="1" x14ac:dyDescent="0.2">
      <c r="A44" s="111">
        <v>30</v>
      </c>
      <c r="B44" s="35" t="str">
        <f t="shared" ref="B44:B73" si="11">IF((C44&amp;"-"&amp;D44&amp;"-"&amp;F44&amp;"-"&amp;H44&amp;"-"&amp;P44&amp;"-"&amp;N44)="-----","",(C44&amp;"-"&amp;D44&amp;"-"&amp;F44&amp;"-"&amp;H44&amp;"-"&amp;P44&amp;"-"&amp;N44))</f>
        <v/>
      </c>
      <c r="C44" s="32"/>
      <c r="D44" s="33"/>
      <c r="E44" s="1"/>
      <c r="F44" s="36" t="str">
        <f>IFERROR(VLOOKUP('A1 (Aktivlər)'!E44,List!A:B,2,0),"")</f>
        <v/>
      </c>
      <c r="G44" s="1"/>
      <c r="H44" s="36" t="str">
        <f>IFERROR(VLOOKUP('A1 (Aktivlər)'!G44,List!G:H,2,0),"")</f>
        <v/>
      </c>
      <c r="I44" s="1"/>
      <c r="J44" s="36" t="str">
        <f>IFERROR(VLOOKUP('A1 (Aktivlər)'!I44,List!C:D,2,0),"")</f>
        <v/>
      </c>
      <c r="K44" s="1"/>
      <c r="L44" s="36" t="str">
        <f>IFERROR(VLOOKUP('A1 (Aktivlər)'!K44,List!E:F,2,0),"")</f>
        <v/>
      </c>
      <c r="M44" s="1"/>
      <c r="N44" s="36" t="str">
        <f>IFERROR(VLOOKUP('A1 (Aktivlər)'!M44,List!M:N,2,0),"")</f>
        <v/>
      </c>
      <c r="O44" s="1"/>
      <c r="P44" s="36" t="str">
        <f>IFERROR(VLOOKUP('A1 (Aktivlər)'!O44,List!S:T,2,0),"")</f>
        <v/>
      </c>
      <c r="Q44" s="1"/>
      <c r="R44" s="36" t="str">
        <f>IFERROR(VLOOKUP('A1 (Aktivlər)'!Q44,List!K:L,2,0),"")</f>
        <v/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  <v/>
      </c>
      <c r="AA44" s="19"/>
      <c r="AB44" s="19"/>
      <c r="AC44" s="37">
        <f t="shared" ref="AC44:AC73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  <v/>
      </c>
      <c r="BA44" s="38">
        <f t="shared" ref="BA44:BA73" si="13">AB44+AH44-AM44+AR44+AT44</f>
        <v>0</v>
      </c>
      <c r="BB44" s="38">
        <f t="shared" ref="BB44:BB73" si="14">BC44+BE44</f>
        <v>0</v>
      </c>
      <c r="BC44" s="39">
        <f t="shared" ref="BC44:BC73" si="15">AD44+AI44-AN44+AS44+AU44</f>
        <v>0</v>
      </c>
      <c r="BD44" s="39">
        <f t="shared" ref="BD44:BD73" si="16">AE44+AJ44-AO44+AV44</f>
        <v>0</v>
      </c>
      <c r="BE44" s="39">
        <f t="shared" ref="BE44:BE73" si="17">AF44+AK44-AP44+AW44</f>
        <v>0</v>
      </c>
      <c r="BF44" s="39">
        <f t="shared" ref="BF44:BF73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  <v/>
      </c>
      <c r="CD44" s="34"/>
    </row>
    <row r="45" spans="1:82" s="112" customFormat="1" ht="21.75" customHeight="1" x14ac:dyDescent="0.2">
      <c r="A45" s="111">
        <v>31</v>
      </c>
      <c r="B45" s="35" t="str">
        <f t="shared" si="11"/>
        <v/>
      </c>
      <c r="C45" s="32"/>
      <c r="D45" s="33"/>
      <c r="E45" s="1"/>
      <c r="F45" s="36" t="str">
        <f>IFERROR(VLOOKUP('A1 (Aktivlər)'!E45,List!A:B,2,0),"")</f>
        <v/>
      </c>
      <c r="G45" s="1"/>
      <c r="H45" s="36" t="str">
        <f>IFERROR(VLOOKUP('A1 (Aktivlər)'!G45,List!G:H,2,0),"")</f>
        <v/>
      </c>
      <c r="I45" s="1"/>
      <c r="J45" s="36" t="str">
        <f>IFERROR(VLOOKUP('A1 (Aktivlər)'!I45,List!C:D,2,0),"")</f>
        <v/>
      </c>
      <c r="K45" s="1"/>
      <c r="L45" s="36" t="str">
        <f>IFERROR(VLOOKUP('A1 (Aktivlər)'!K45,List!E:F,2,0),"")</f>
        <v/>
      </c>
      <c r="M45" s="1"/>
      <c r="N45" s="36" t="str">
        <f>IFERROR(VLOOKUP('A1 (Aktivlər)'!M45,List!M:N,2,0),"")</f>
        <v/>
      </c>
      <c r="O45" s="1"/>
      <c r="P45" s="36" t="str">
        <f>IFERROR(VLOOKUP('A1 (Aktivlər)'!O45,List!S:T,2,0),"")</f>
        <v/>
      </c>
      <c r="Q45" s="1"/>
      <c r="R45" s="36" t="str">
        <f>IFERROR(VLOOKUP('A1 (Aktivlər)'!Q45,List!K:L,2,0),"")</f>
        <v/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  <v/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  <v/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  <v/>
      </c>
      <c r="CD45" s="34"/>
    </row>
    <row r="46" spans="1:82" s="112" customFormat="1" ht="21.75" customHeight="1" x14ac:dyDescent="0.2">
      <c r="A46" s="111">
        <v>32</v>
      </c>
      <c r="B46" s="35" t="str">
        <f t="shared" si="11"/>
        <v/>
      </c>
      <c r="C46" s="32"/>
      <c r="D46" s="33"/>
      <c r="E46" s="1"/>
      <c r="F46" s="36" t="str">
        <f>IFERROR(VLOOKUP('A1 (Aktivlər)'!E46,List!A:B,2,0),"")</f>
        <v/>
      </c>
      <c r="G46" s="1"/>
      <c r="H46" s="36" t="str">
        <f>IFERROR(VLOOKUP('A1 (Aktivlər)'!G46,List!G:H,2,0),"")</f>
        <v/>
      </c>
      <c r="I46" s="1"/>
      <c r="J46" s="36" t="str">
        <f>IFERROR(VLOOKUP('A1 (Aktivlər)'!I46,List!C:D,2,0),"")</f>
        <v/>
      </c>
      <c r="K46" s="1"/>
      <c r="L46" s="36" t="str">
        <f>IFERROR(VLOOKUP('A1 (Aktivlər)'!K46,List!E:F,2,0),"")</f>
        <v/>
      </c>
      <c r="M46" s="1"/>
      <c r="N46" s="36" t="str">
        <f>IFERROR(VLOOKUP('A1 (Aktivlər)'!M46,List!M:N,2,0),"")</f>
        <v/>
      </c>
      <c r="O46" s="1"/>
      <c r="P46" s="36" t="str">
        <f>IFERROR(VLOOKUP('A1 (Aktivlər)'!O46,List!S:T,2,0),"")</f>
        <v/>
      </c>
      <c r="Q46" s="1"/>
      <c r="R46" s="36" t="str">
        <f>IFERROR(VLOOKUP('A1 (Aktivlər)'!Q46,List!K:L,2,0),"")</f>
        <v/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  <v/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  <v/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  <v/>
      </c>
      <c r="CD46" s="34"/>
    </row>
    <row r="47" spans="1:82" s="112" customFormat="1" ht="21.75" customHeight="1" x14ac:dyDescent="0.2">
      <c r="A47" s="111">
        <v>33</v>
      </c>
      <c r="B47" s="35" t="str">
        <f t="shared" si="11"/>
        <v/>
      </c>
      <c r="C47" s="32"/>
      <c r="D47" s="33"/>
      <c r="E47" s="1"/>
      <c r="F47" s="36" t="str">
        <f>IFERROR(VLOOKUP('A1 (Aktivlər)'!E47,List!A:B,2,0),"")</f>
        <v/>
      </c>
      <c r="G47" s="1"/>
      <c r="H47" s="36" t="str">
        <f>IFERROR(VLOOKUP('A1 (Aktivlər)'!G47,List!G:H,2,0),"")</f>
        <v/>
      </c>
      <c r="I47" s="1"/>
      <c r="J47" s="36" t="str">
        <f>IFERROR(VLOOKUP('A1 (Aktivlər)'!I47,List!C:D,2,0),"")</f>
        <v/>
      </c>
      <c r="K47" s="1"/>
      <c r="L47" s="36" t="str">
        <f>IFERROR(VLOOKUP('A1 (Aktivlər)'!K47,List!E:F,2,0),"")</f>
        <v/>
      </c>
      <c r="M47" s="1"/>
      <c r="N47" s="36" t="str">
        <f>IFERROR(VLOOKUP('A1 (Aktivlər)'!M47,List!M:N,2,0),"")</f>
        <v/>
      </c>
      <c r="O47" s="1"/>
      <c r="P47" s="36" t="str">
        <f>IFERROR(VLOOKUP('A1 (Aktivlər)'!O47,List!S:T,2,0),"")</f>
        <v/>
      </c>
      <c r="Q47" s="1"/>
      <c r="R47" s="36" t="str">
        <f>IFERROR(VLOOKUP('A1 (Aktivlər)'!Q47,List!K:L,2,0),"")</f>
        <v/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  <v/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  <v/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  <v/>
      </c>
      <c r="CD47" s="34"/>
    </row>
    <row r="48" spans="1:82" s="112" customFormat="1" ht="21.75" customHeight="1" x14ac:dyDescent="0.2">
      <c r="A48" s="111">
        <v>34</v>
      </c>
      <c r="B48" s="35" t="str">
        <f t="shared" si="11"/>
        <v/>
      </c>
      <c r="C48" s="32"/>
      <c r="D48" s="33"/>
      <c r="E48" s="1"/>
      <c r="F48" s="36" t="str">
        <f>IFERROR(VLOOKUP('A1 (Aktivlər)'!E48,List!A:B,2,0),"")</f>
        <v/>
      </c>
      <c r="G48" s="1"/>
      <c r="H48" s="36" t="str">
        <f>IFERROR(VLOOKUP('A1 (Aktivlər)'!G48,List!G:H,2,0),"")</f>
        <v/>
      </c>
      <c r="I48" s="1"/>
      <c r="J48" s="36" t="str">
        <f>IFERROR(VLOOKUP('A1 (Aktivlər)'!I48,List!C:D,2,0),"")</f>
        <v/>
      </c>
      <c r="K48" s="1"/>
      <c r="L48" s="36" t="str">
        <f>IFERROR(VLOOKUP('A1 (Aktivlər)'!K48,List!E:F,2,0),"")</f>
        <v/>
      </c>
      <c r="M48" s="1"/>
      <c r="N48" s="36" t="str">
        <f>IFERROR(VLOOKUP('A1 (Aktivlər)'!M48,List!M:N,2,0),"")</f>
        <v/>
      </c>
      <c r="O48" s="1"/>
      <c r="P48" s="36" t="str">
        <f>IFERROR(VLOOKUP('A1 (Aktivlər)'!O48,List!S:T,2,0),"")</f>
        <v/>
      </c>
      <c r="Q48" s="1"/>
      <c r="R48" s="36" t="str">
        <f>IFERROR(VLOOKUP('A1 (Aktivlər)'!Q48,List!K:L,2,0),"")</f>
        <v/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  <v/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  <v/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  <v/>
      </c>
      <c r="CD48" s="34"/>
    </row>
    <row r="49" spans="1:82" s="112" customFormat="1" ht="21.75" customHeight="1" x14ac:dyDescent="0.2">
      <c r="A49" s="111">
        <v>35</v>
      </c>
      <c r="B49" s="35" t="str">
        <f t="shared" si="11"/>
        <v/>
      </c>
      <c r="C49" s="32"/>
      <c r="D49" s="33"/>
      <c r="E49" s="1"/>
      <c r="F49" s="36" t="str">
        <f>IFERROR(VLOOKUP('A1 (Aktivlər)'!E49,List!A:B,2,0),"")</f>
        <v/>
      </c>
      <c r="G49" s="1"/>
      <c r="H49" s="36" t="str">
        <f>IFERROR(VLOOKUP('A1 (Aktivlər)'!G49,List!G:H,2,0),"")</f>
        <v/>
      </c>
      <c r="I49" s="1"/>
      <c r="J49" s="36" t="str">
        <f>IFERROR(VLOOKUP('A1 (Aktivlər)'!I49,List!C:D,2,0),"")</f>
        <v/>
      </c>
      <c r="K49" s="1"/>
      <c r="L49" s="36" t="str">
        <f>IFERROR(VLOOKUP('A1 (Aktivlər)'!K49,List!E:F,2,0),"")</f>
        <v/>
      </c>
      <c r="M49" s="1"/>
      <c r="N49" s="36" t="str">
        <f>IFERROR(VLOOKUP('A1 (Aktivlər)'!M49,List!M:N,2,0),"")</f>
        <v/>
      </c>
      <c r="O49" s="1"/>
      <c r="P49" s="36" t="str">
        <f>IFERROR(VLOOKUP('A1 (Aktivlər)'!O49,List!S:T,2,0),"")</f>
        <v/>
      </c>
      <c r="Q49" s="1"/>
      <c r="R49" s="36" t="str">
        <f>IFERROR(VLOOKUP('A1 (Aktivlər)'!Q49,List!K:L,2,0),"")</f>
        <v/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  <v/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  <v/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  <v/>
      </c>
      <c r="CD49" s="34"/>
    </row>
    <row r="50" spans="1:82" s="112" customFormat="1" ht="21.75" customHeight="1" x14ac:dyDescent="0.2">
      <c r="A50" s="111">
        <v>36</v>
      </c>
      <c r="B50" s="35" t="str">
        <f t="shared" si="11"/>
        <v/>
      </c>
      <c r="C50" s="32"/>
      <c r="D50" s="33"/>
      <c r="E50" s="1"/>
      <c r="F50" s="36" t="str">
        <f>IFERROR(VLOOKUP('A1 (Aktivlər)'!E50,List!A:B,2,0),"")</f>
        <v/>
      </c>
      <c r="G50" s="1"/>
      <c r="H50" s="36" t="str">
        <f>IFERROR(VLOOKUP('A1 (Aktivlər)'!G50,List!G:H,2,0),"")</f>
        <v/>
      </c>
      <c r="I50" s="1"/>
      <c r="J50" s="36" t="str">
        <f>IFERROR(VLOOKUP('A1 (Aktivlər)'!I50,List!C:D,2,0),"")</f>
        <v/>
      </c>
      <c r="K50" s="1"/>
      <c r="L50" s="36" t="str">
        <f>IFERROR(VLOOKUP('A1 (Aktivlər)'!K50,List!E:F,2,0),"")</f>
        <v/>
      </c>
      <c r="M50" s="1"/>
      <c r="N50" s="36" t="str">
        <f>IFERROR(VLOOKUP('A1 (Aktivlər)'!M50,List!M:N,2,0),"")</f>
        <v/>
      </c>
      <c r="O50" s="1"/>
      <c r="P50" s="36" t="str">
        <f>IFERROR(VLOOKUP('A1 (Aktivlər)'!O50,List!S:T,2,0),"")</f>
        <v/>
      </c>
      <c r="Q50" s="1"/>
      <c r="R50" s="36" t="str">
        <f>IFERROR(VLOOKUP('A1 (Aktivlər)'!Q50,List!K:L,2,0),"")</f>
        <v/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  <v/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  <v/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  <v/>
      </c>
      <c r="CD50" s="34"/>
    </row>
    <row r="51" spans="1:82" s="112" customFormat="1" ht="21.75" customHeight="1" x14ac:dyDescent="0.2">
      <c r="A51" s="111">
        <v>37</v>
      </c>
      <c r="B51" s="35" t="str">
        <f t="shared" si="11"/>
        <v/>
      </c>
      <c r="C51" s="32"/>
      <c r="D51" s="33"/>
      <c r="E51" s="1"/>
      <c r="F51" s="36" t="str">
        <f>IFERROR(VLOOKUP('A1 (Aktivlər)'!E51,List!A:B,2,0),"")</f>
        <v/>
      </c>
      <c r="G51" s="1"/>
      <c r="H51" s="36" t="str">
        <f>IFERROR(VLOOKUP('A1 (Aktivlər)'!G51,List!G:H,2,0),"")</f>
        <v/>
      </c>
      <c r="I51" s="1"/>
      <c r="J51" s="36" t="str">
        <f>IFERROR(VLOOKUP('A1 (Aktivlər)'!I51,List!C:D,2,0),"")</f>
        <v/>
      </c>
      <c r="K51" s="1"/>
      <c r="L51" s="36" t="str">
        <f>IFERROR(VLOOKUP('A1 (Aktivlər)'!K51,List!E:F,2,0),"")</f>
        <v/>
      </c>
      <c r="M51" s="1"/>
      <c r="N51" s="36" t="str">
        <f>IFERROR(VLOOKUP('A1 (Aktivlər)'!M51,List!M:N,2,0),"")</f>
        <v/>
      </c>
      <c r="O51" s="1"/>
      <c r="P51" s="36" t="str">
        <f>IFERROR(VLOOKUP('A1 (Aktivlər)'!O51,List!S:T,2,0),"")</f>
        <v/>
      </c>
      <c r="Q51" s="1"/>
      <c r="R51" s="36" t="str">
        <f>IFERROR(VLOOKUP('A1 (Aktivlər)'!Q51,List!K:L,2,0),"")</f>
        <v/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  <v/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  <v/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  <v/>
      </c>
      <c r="CD51" s="34"/>
    </row>
    <row r="52" spans="1:82" s="112" customFormat="1" ht="21.75" customHeight="1" x14ac:dyDescent="0.2">
      <c r="A52" s="111">
        <v>38</v>
      </c>
      <c r="B52" s="35" t="str">
        <f t="shared" si="11"/>
        <v/>
      </c>
      <c r="C52" s="32"/>
      <c r="D52" s="33"/>
      <c r="E52" s="1"/>
      <c r="F52" s="36" t="str">
        <f>IFERROR(VLOOKUP('A1 (Aktivlər)'!E52,List!A:B,2,0),"")</f>
        <v/>
      </c>
      <c r="G52" s="1"/>
      <c r="H52" s="36" t="str">
        <f>IFERROR(VLOOKUP('A1 (Aktivlər)'!G52,List!G:H,2,0),"")</f>
        <v/>
      </c>
      <c r="I52" s="1"/>
      <c r="J52" s="36" t="str">
        <f>IFERROR(VLOOKUP('A1 (Aktivlər)'!I52,List!C:D,2,0),"")</f>
        <v/>
      </c>
      <c r="K52" s="1"/>
      <c r="L52" s="36" t="str">
        <f>IFERROR(VLOOKUP('A1 (Aktivlər)'!K52,List!E:F,2,0),"")</f>
        <v/>
      </c>
      <c r="M52" s="1"/>
      <c r="N52" s="36" t="str">
        <f>IFERROR(VLOOKUP('A1 (Aktivlər)'!M52,List!M:N,2,0),"")</f>
        <v/>
      </c>
      <c r="O52" s="1"/>
      <c r="P52" s="36" t="str">
        <f>IFERROR(VLOOKUP('A1 (Aktivlər)'!O52,List!S:T,2,0),"")</f>
        <v/>
      </c>
      <c r="Q52" s="1"/>
      <c r="R52" s="36" t="str">
        <f>IFERROR(VLOOKUP('A1 (Aktivlər)'!Q52,List!K:L,2,0),"")</f>
        <v/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  <v/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  <v/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  <v/>
      </c>
      <c r="CD52" s="34"/>
    </row>
    <row r="53" spans="1:82" s="112" customFormat="1" ht="21.75" customHeight="1" x14ac:dyDescent="0.2">
      <c r="A53" s="111">
        <v>39</v>
      </c>
      <c r="B53" s="35" t="str">
        <f t="shared" si="11"/>
        <v/>
      </c>
      <c r="C53" s="32"/>
      <c r="D53" s="33"/>
      <c r="E53" s="1"/>
      <c r="F53" s="36" t="str">
        <f>IFERROR(VLOOKUP('A1 (Aktivlər)'!E53,List!A:B,2,0),"")</f>
        <v/>
      </c>
      <c r="G53" s="1"/>
      <c r="H53" s="36" t="str">
        <f>IFERROR(VLOOKUP('A1 (Aktivlər)'!G53,List!G:H,2,0),"")</f>
        <v/>
      </c>
      <c r="I53" s="1"/>
      <c r="J53" s="36" t="str">
        <f>IFERROR(VLOOKUP('A1 (Aktivlər)'!I53,List!C:D,2,0),"")</f>
        <v/>
      </c>
      <c r="K53" s="1"/>
      <c r="L53" s="36" t="str">
        <f>IFERROR(VLOOKUP('A1 (Aktivlər)'!K53,List!E:F,2,0),"")</f>
        <v/>
      </c>
      <c r="M53" s="1"/>
      <c r="N53" s="36" t="str">
        <f>IFERROR(VLOOKUP('A1 (Aktivlər)'!M53,List!M:N,2,0),"")</f>
        <v/>
      </c>
      <c r="O53" s="1"/>
      <c r="P53" s="36" t="str">
        <f>IFERROR(VLOOKUP('A1 (Aktivlər)'!O53,List!S:T,2,0),"")</f>
        <v/>
      </c>
      <c r="Q53" s="1"/>
      <c r="R53" s="36" t="str">
        <f>IFERROR(VLOOKUP('A1 (Aktivlər)'!Q53,List!K:L,2,0),"")</f>
        <v/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  <v/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  <v/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  <v/>
      </c>
      <c r="CD53" s="34"/>
    </row>
    <row r="54" spans="1:82" s="112" customFormat="1" ht="21.75" customHeight="1" x14ac:dyDescent="0.2">
      <c r="A54" s="111">
        <v>40</v>
      </c>
      <c r="B54" s="35" t="str">
        <f t="shared" si="11"/>
        <v/>
      </c>
      <c r="C54" s="32"/>
      <c r="D54" s="33"/>
      <c r="E54" s="1"/>
      <c r="F54" s="36" t="str">
        <f>IFERROR(VLOOKUP('A1 (Aktivlər)'!E54,List!A:B,2,0),"")</f>
        <v/>
      </c>
      <c r="G54" s="1"/>
      <c r="H54" s="36" t="str">
        <f>IFERROR(VLOOKUP('A1 (Aktivlər)'!G54,List!G:H,2,0),"")</f>
        <v/>
      </c>
      <c r="I54" s="1"/>
      <c r="J54" s="36" t="str">
        <f>IFERROR(VLOOKUP('A1 (Aktivlər)'!I54,List!C:D,2,0),"")</f>
        <v/>
      </c>
      <c r="K54" s="1"/>
      <c r="L54" s="36" t="str">
        <f>IFERROR(VLOOKUP('A1 (Aktivlər)'!K54,List!E:F,2,0),"")</f>
        <v/>
      </c>
      <c r="M54" s="1"/>
      <c r="N54" s="36" t="str">
        <f>IFERROR(VLOOKUP('A1 (Aktivlər)'!M54,List!M:N,2,0),"")</f>
        <v/>
      </c>
      <c r="O54" s="1"/>
      <c r="P54" s="36" t="str">
        <f>IFERROR(VLOOKUP('A1 (Aktivlər)'!O54,List!S:T,2,0),"")</f>
        <v/>
      </c>
      <c r="Q54" s="1"/>
      <c r="R54" s="36" t="str">
        <f>IFERROR(VLOOKUP('A1 (Aktivlər)'!Q54,List!K:L,2,0),"")</f>
        <v/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  <v/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  <v/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  <v/>
      </c>
      <c r="CD54" s="34"/>
    </row>
    <row r="55" spans="1:82" s="112" customFormat="1" ht="21.75" customHeight="1" x14ac:dyDescent="0.2">
      <c r="A55" s="111">
        <v>41</v>
      </c>
      <c r="B55" s="35" t="str">
        <f t="shared" si="11"/>
        <v/>
      </c>
      <c r="C55" s="32"/>
      <c r="D55" s="33"/>
      <c r="E55" s="1"/>
      <c r="F55" s="36" t="str">
        <f>IFERROR(VLOOKUP('A1 (Aktivlər)'!E55,List!A:B,2,0),"")</f>
        <v/>
      </c>
      <c r="G55" s="1"/>
      <c r="H55" s="36" t="str">
        <f>IFERROR(VLOOKUP('A1 (Aktivlər)'!G55,List!G:H,2,0),"")</f>
        <v/>
      </c>
      <c r="I55" s="1"/>
      <c r="J55" s="36" t="str">
        <f>IFERROR(VLOOKUP('A1 (Aktivlər)'!I55,List!C:D,2,0),"")</f>
        <v/>
      </c>
      <c r="K55" s="1"/>
      <c r="L55" s="36" t="str">
        <f>IFERROR(VLOOKUP('A1 (Aktivlər)'!K55,List!E:F,2,0),"")</f>
        <v/>
      </c>
      <c r="M55" s="1"/>
      <c r="N55" s="36" t="str">
        <f>IFERROR(VLOOKUP('A1 (Aktivlər)'!M55,List!M:N,2,0),"")</f>
        <v/>
      </c>
      <c r="O55" s="1"/>
      <c r="P55" s="36" t="str">
        <f>IFERROR(VLOOKUP('A1 (Aktivlər)'!O55,List!S:T,2,0),"")</f>
        <v/>
      </c>
      <c r="Q55" s="1"/>
      <c r="R55" s="36" t="str">
        <f>IFERROR(VLOOKUP('A1 (Aktivlər)'!Q55,List!K:L,2,0),"")</f>
        <v/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  <v/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  <v/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  <v/>
      </c>
      <c r="CD55" s="34"/>
    </row>
    <row r="56" spans="1:82" s="112" customFormat="1" ht="21.75" customHeight="1" x14ac:dyDescent="0.2">
      <c r="A56" s="111">
        <v>42</v>
      </c>
      <c r="B56" s="35" t="str">
        <f t="shared" si="11"/>
        <v/>
      </c>
      <c r="C56" s="32"/>
      <c r="D56" s="33"/>
      <c r="E56" s="1"/>
      <c r="F56" s="36" t="str">
        <f>IFERROR(VLOOKUP('A1 (Aktivlər)'!E56,List!A:B,2,0),"")</f>
        <v/>
      </c>
      <c r="G56" s="1"/>
      <c r="H56" s="36" t="str">
        <f>IFERROR(VLOOKUP('A1 (Aktivlər)'!G56,List!G:H,2,0),"")</f>
        <v/>
      </c>
      <c r="I56" s="1"/>
      <c r="J56" s="36" t="str">
        <f>IFERROR(VLOOKUP('A1 (Aktivlər)'!I56,List!C:D,2,0),"")</f>
        <v/>
      </c>
      <c r="K56" s="1"/>
      <c r="L56" s="36" t="str">
        <f>IFERROR(VLOOKUP('A1 (Aktivlər)'!K56,List!E:F,2,0),"")</f>
        <v/>
      </c>
      <c r="M56" s="1"/>
      <c r="N56" s="36" t="str">
        <f>IFERROR(VLOOKUP('A1 (Aktivlər)'!M56,List!M:N,2,0),"")</f>
        <v/>
      </c>
      <c r="O56" s="1"/>
      <c r="P56" s="36" t="str">
        <f>IFERROR(VLOOKUP('A1 (Aktivlər)'!O56,List!S:T,2,0),"")</f>
        <v/>
      </c>
      <c r="Q56" s="1"/>
      <c r="R56" s="36" t="str">
        <f>IFERROR(VLOOKUP('A1 (Aktivlər)'!Q56,List!K:L,2,0),"")</f>
        <v/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  <v/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  <v/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  <v/>
      </c>
      <c r="CD56" s="34"/>
    </row>
    <row r="57" spans="1:82" s="112" customFormat="1" ht="21.75" customHeight="1" x14ac:dyDescent="0.2">
      <c r="A57" s="111">
        <v>43</v>
      </c>
      <c r="B57" s="35" t="str">
        <f t="shared" si="11"/>
        <v/>
      </c>
      <c r="C57" s="32"/>
      <c r="D57" s="33"/>
      <c r="E57" s="1"/>
      <c r="F57" s="36" t="str">
        <f>IFERROR(VLOOKUP('A1 (Aktivlər)'!E57,List!A:B,2,0),"")</f>
        <v/>
      </c>
      <c r="G57" s="1"/>
      <c r="H57" s="36" t="str">
        <f>IFERROR(VLOOKUP('A1 (Aktivlər)'!G57,List!G:H,2,0),"")</f>
        <v/>
      </c>
      <c r="I57" s="1"/>
      <c r="J57" s="36" t="str">
        <f>IFERROR(VLOOKUP('A1 (Aktivlər)'!I57,List!C:D,2,0),"")</f>
        <v/>
      </c>
      <c r="K57" s="1"/>
      <c r="L57" s="36" t="str">
        <f>IFERROR(VLOOKUP('A1 (Aktivlər)'!K57,List!E:F,2,0),"")</f>
        <v/>
      </c>
      <c r="M57" s="1"/>
      <c r="N57" s="36" t="str">
        <f>IFERROR(VLOOKUP('A1 (Aktivlər)'!M57,List!M:N,2,0),"")</f>
        <v/>
      </c>
      <c r="O57" s="1"/>
      <c r="P57" s="36" t="str">
        <f>IFERROR(VLOOKUP('A1 (Aktivlər)'!O57,List!S:T,2,0),"")</f>
        <v/>
      </c>
      <c r="Q57" s="1"/>
      <c r="R57" s="36" t="str">
        <f>IFERROR(VLOOKUP('A1 (Aktivlər)'!Q57,List!K:L,2,0),"")</f>
        <v/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  <v/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  <v/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  <v/>
      </c>
      <c r="CD57" s="34"/>
    </row>
    <row r="58" spans="1:82" s="112" customFormat="1" ht="21.75" customHeight="1" x14ac:dyDescent="0.2">
      <c r="A58" s="111">
        <v>44</v>
      </c>
      <c r="B58" s="35" t="str">
        <f t="shared" si="11"/>
        <v/>
      </c>
      <c r="C58" s="32"/>
      <c r="D58" s="33"/>
      <c r="E58" s="1"/>
      <c r="F58" s="36" t="str">
        <f>IFERROR(VLOOKUP('A1 (Aktivlər)'!E58,List!A:B,2,0),"")</f>
        <v/>
      </c>
      <c r="G58" s="1"/>
      <c r="H58" s="36" t="str">
        <f>IFERROR(VLOOKUP('A1 (Aktivlər)'!G58,List!G:H,2,0),"")</f>
        <v/>
      </c>
      <c r="I58" s="1"/>
      <c r="J58" s="36" t="str">
        <f>IFERROR(VLOOKUP('A1 (Aktivlər)'!I58,List!C:D,2,0),"")</f>
        <v/>
      </c>
      <c r="K58" s="1"/>
      <c r="L58" s="36" t="str">
        <f>IFERROR(VLOOKUP('A1 (Aktivlər)'!K58,List!E:F,2,0),"")</f>
        <v/>
      </c>
      <c r="M58" s="1"/>
      <c r="N58" s="36" t="str">
        <f>IFERROR(VLOOKUP('A1 (Aktivlər)'!M58,List!M:N,2,0),"")</f>
        <v/>
      </c>
      <c r="O58" s="1"/>
      <c r="P58" s="36" t="str">
        <f>IFERROR(VLOOKUP('A1 (Aktivlər)'!O58,List!S:T,2,0),"")</f>
        <v/>
      </c>
      <c r="Q58" s="1"/>
      <c r="R58" s="36" t="str">
        <f>IFERROR(VLOOKUP('A1 (Aktivlər)'!Q58,List!K:L,2,0),"")</f>
        <v/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  <v/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  <v/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  <v/>
      </c>
      <c r="CD58" s="34"/>
    </row>
    <row r="59" spans="1:82" s="112" customFormat="1" ht="21.75" customHeight="1" x14ac:dyDescent="0.2">
      <c r="A59" s="111">
        <v>45</v>
      </c>
      <c r="B59" s="35" t="str">
        <f t="shared" si="11"/>
        <v/>
      </c>
      <c r="C59" s="32"/>
      <c r="D59" s="33"/>
      <c r="E59" s="1"/>
      <c r="F59" s="36" t="str">
        <f>IFERROR(VLOOKUP('A1 (Aktivlər)'!E59,List!A:B,2,0),"")</f>
        <v/>
      </c>
      <c r="G59" s="1"/>
      <c r="H59" s="36" t="str">
        <f>IFERROR(VLOOKUP('A1 (Aktivlər)'!G59,List!G:H,2,0),"")</f>
        <v/>
      </c>
      <c r="I59" s="1"/>
      <c r="J59" s="36" t="str">
        <f>IFERROR(VLOOKUP('A1 (Aktivlər)'!I59,List!C:D,2,0),"")</f>
        <v/>
      </c>
      <c r="K59" s="1"/>
      <c r="L59" s="36" t="str">
        <f>IFERROR(VLOOKUP('A1 (Aktivlər)'!K59,List!E:F,2,0),"")</f>
        <v/>
      </c>
      <c r="M59" s="1"/>
      <c r="N59" s="36" t="str">
        <f>IFERROR(VLOOKUP('A1 (Aktivlər)'!M59,List!M:N,2,0),"")</f>
        <v/>
      </c>
      <c r="O59" s="1"/>
      <c r="P59" s="36" t="str">
        <f>IFERROR(VLOOKUP('A1 (Aktivlər)'!O59,List!S:T,2,0),"")</f>
        <v/>
      </c>
      <c r="Q59" s="1"/>
      <c r="R59" s="36" t="str">
        <f>IFERROR(VLOOKUP('A1 (Aktivlər)'!Q59,List!K:L,2,0),"")</f>
        <v/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  <v/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  <v/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  <v/>
      </c>
      <c r="CD59" s="34"/>
    </row>
    <row r="60" spans="1:82" s="112" customFormat="1" ht="21.75" customHeight="1" x14ac:dyDescent="0.2">
      <c r="A60" s="111">
        <v>46</v>
      </c>
      <c r="B60" s="35" t="str">
        <f t="shared" si="11"/>
        <v/>
      </c>
      <c r="C60" s="32"/>
      <c r="D60" s="33"/>
      <c r="E60" s="1"/>
      <c r="F60" s="36" t="str">
        <f>IFERROR(VLOOKUP('A1 (Aktivlər)'!E60,List!A:B,2,0),"")</f>
        <v/>
      </c>
      <c r="G60" s="1"/>
      <c r="H60" s="36" t="str">
        <f>IFERROR(VLOOKUP('A1 (Aktivlər)'!G60,List!G:H,2,0),"")</f>
        <v/>
      </c>
      <c r="I60" s="1"/>
      <c r="J60" s="36" t="str">
        <f>IFERROR(VLOOKUP('A1 (Aktivlər)'!I60,List!C:D,2,0),"")</f>
        <v/>
      </c>
      <c r="K60" s="1"/>
      <c r="L60" s="36" t="str">
        <f>IFERROR(VLOOKUP('A1 (Aktivlər)'!K60,List!E:F,2,0),"")</f>
        <v/>
      </c>
      <c r="M60" s="1"/>
      <c r="N60" s="36" t="str">
        <f>IFERROR(VLOOKUP('A1 (Aktivlər)'!M60,List!M:N,2,0),"")</f>
        <v/>
      </c>
      <c r="O60" s="1"/>
      <c r="P60" s="36" t="str">
        <f>IFERROR(VLOOKUP('A1 (Aktivlər)'!O60,List!S:T,2,0),"")</f>
        <v/>
      </c>
      <c r="Q60" s="1"/>
      <c r="R60" s="36" t="str">
        <f>IFERROR(VLOOKUP('A1 (Aktivlər)'!Q60,List!K:L,2,0),"")</f>
        <v/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  <v/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  <v/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  <v/>
      </c>
      <c r="CD60" s="34"/>
    </row>
    <row r="61" spans="1:82" s="112" customFormat="1" ht="21.75" customHeight="1" x14ac:dyDescent="0.2">
      <c r="A61" s="111">
        <v>47</v>
      </c>
      <c r="B61" s="35" t="str">
        <f t="shared" si="11"/>
        <v/>
      </c>
      <c r="C61" s="32"/>
      <c r="D61" s="33"/>
      <c r="E61" s="1"/>
      <c r="F61" s="36" t="str">
        <f>IFERROR(VLOOKUP('A1 (Aktivlər)'!E61,List!A:B,2,0),"")</f>
        <v/>
      </c>
      <c r="G61" s="1"/>
      <c r="H61" s="36" t="str">
        <f>IFERROR(VLOOKUP('A1 (Aktivlər)'!G61,List!G:H,2,0),"")</f>
        <v/>
      </c>
      <c r="I61" s="1"/>
      <c r="J61" s="36" t="str">
        <f>IFERROR(VLOOKUP('A1 (Aktivlər)'!I61,List!C:D,2,0),"")</f>
        <v/>
      </c>
      <c r="K61" s="1"/>
      <c r="L61" s="36" t="str">
        <f>IFERROR(VLOOKUP('A1 (Aktivlər)'!K61,List!E:F,2,0),"")</f>
        <v/>
      </c>
      <c r="M61" s="1"/>
      <c r="N61" s="36" t="str">
        <f>IFERROR(VLOOKUP('A1 (Aktivlər)'!M61,List!M:N,2,0),"")</f>
        <v/>
      </c>
      <c r="O61" s="1"/>
      <c r="P61" s="36" t="str">
        <f>IFERROR(VLOOKUP('A1 (Aktivlər)'!O61,List!S:T,2,0),"")</f>
        <v/>
      </c>
      <c r="Q61" s="1"/>
      <c r="R61" s="36" t="str">
        <f>IFERROR(VLOOKUP('A1 (Aktivlər)'!Q61,List!K:L,2,0),"")</f>
        <v/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  <v/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  <v/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  <v/>
      </c>
      <c r="CD61" s="34"/>
    </row>
    <row r="62" spans="1:82" s="112" customFormat="1" ht="21.75" customHeight="1" x14ac:dyDescent="0.2">
      <c r="A62" s="111">
        <v>48</v>
      </c>
      <c r="B62" s="35" t="str">
        <f t="shared" si="11"/>
        <v/>
      </c>
      <c r="C62" s="32"/>
      <c r="D62" s="33"/>
      <c r="E62" s="1"/>
      <c r="F62" s="36" t="str">
        <f>IFERROR(VLOOKUP('A1 (Aktivlər)'!E62,List!A:B,2,0),"")</f>
        <v/>
      </c>
      <c r="G62" s="1"/>
      <c r="H62" s="36" t="str">
        <f>IFERROR(VLOOKUP('A1 (Aktivlər)'!G62,List!G:H,2,0),"")</f>
        <v/>
      </c>
      <c r="I62" s="1"/>
      <c r="J62" s="36" t="str">
        <f>IFERROR(VLOOKUP('A1 (Aktivlər)'!I62,List!C:D,2,0),"")</f>
        <v/>
      </c>
      <c r="K62" s="1"/>
      <c r="L62" s="36" t="str">
        <f>IFERROR(VLOOKUP('A1 (Aktivlər)'!K62,List!E:F,2,0),"")</f>
        <v/>
      </c>
      <c r="M62" s="1"/>
      <c r="N62" s="36" t="str">
        <f>IFERROR(VLOOKUP('A1 (Aktivlər)'!M62,List!M:N,2,0),"")</f>
        <v/>
      </c>
      <c r="O62" s="1"/>
      <c r="P62" s="36" t="str">
        <f>IFERROR(VLOOKUP('A1 (Aktivlər)'!O62,List!S:T,2,0),"")</f>
        <v/>
      </c>
      <c r="Q62" s="1"/>
      <c r="R62" s="36" t="str">
        <f>IFERROR(VLOOKUP('A1 (Aktivlər)'!Q62,List!K:L,2,0),"")</f>
        <v/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  <v/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  <v/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  <v/>
      </c>
      <c r="CD62" s="34"/>
    </row>
    <row r="63" spans="1:82" s="112" customFormat="1" ht="21.75" customHeight="1" x14ac:dyDescent="0.2">
      <c r="A63" s="111">
        <v>49</v>
      </c>
      <c r="B63" s="35" t="str">
        <f t="shared" si="11"/>
        <v/>
      </c>
      <c r="C63" s="32"/>
      <c r="D63" s="33"/>
      <c r="E63" s="1"/>
      <c r="F63" s="36" t="str">
        <f>IFERROR(VLOOKUP('A1 (Aktivlər)'!E63,List!A:B,2,0),"")</f>
        <v/>
      </c>
      <c r="G63" s="1"/>
      <c r="H63" s="36" t="str">
        <f>IFERROR(VLOOKUP('A1 (Aktivlər)'!G63,List!G:H,2,0),"")</f>
        <v/>
      </c>
      <c r="I63" s="1"/>
      <c r="J63" s="36" t="str">
        <f>IFERROR(VLOOKUP('A1 (Aktivlər)'!I63,List!C:D,2,0),"")</f>
        <v/>
      </c>
      <c r="K63" s="1"/>
      <c r="L63" s="36" t="str">
        <f>IFERROR(VLOOKUP('A1 (Aktivlər)'!K63,List!E:F,2,0),"")</f>
        <v/>
      </c>
      <c r="M63" s="1"/>
      <c r="N63" s="36" t="str">
        <f>IFERROR(VLOOKUP('A1 (Aktivlər)'!M63,List!M:N,2,0),"")</f>
        <v/>
      </c>
      <c r="O63" s="1"/>
      <c r="P63" s="36" t="str">
        <f>IFERROR(VLOOKUP('A1 (Aktivlər)'!O63,List!S:T,2,0),"")</f>
        <v/>
      </c>
      <c r="Q63" s="1"/>
      <c r="R63" s="36" t="str">
        <f>IFERROR(VLOOKUP('A1 (Aktivlər)'!Q63,List!K:L,2,0),"")</f>
        <v/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  <v/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  <v/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  <v/>
      </c>
      <c r="CD63" s="34"/>
    </row>
    <row r="64" spans="1:82" s="112" customFormat="1" ht="21.75" customHeight="1" x14ac:dyDescent="0.2">
      <c r="A64" s="111">
        <v>50</v>
      </c>
      <c r="B64" s="35" t="str">
        <f t="shared" si="11"/>
        <v/>
      </c>
      <c r="C64" s="32"/>
      <c r="D64" s="33"/>
      <c r="E64" s="1"/>
      <c r="F64" s="36" t="str">
        <f>IFERROR(VLOOKUP('A1 (Aktivlər)'!E64,List!A:B,2,0),"")</f>
        <v/>
      </c>
      <c r="G64" s="1"/>
      <c r="H64" s="36" t="str">
        <f>IFERROR(VLOOKUP('A1 (Aktivlər)'!G64,List!G:H,2,0),"")</f>
        <v/>
      </c>
      <c r="I64" s="1"/>
      <c r="J64" s="36" t="str">
        <f>IFERROR(VLOOKUP('A1 (Aktivlər)'!I64,List!C:D,2,0),"")</f>
        <v/>
      </c>
      <c r="K64" s="1"/>
      <c r="L64" s="36" t="str">
        <f>IFERROR(VLOOKUP('A1 (Aktivlər)'!K64,List!E:F,2,0),"")</f>
        <v/>
      </c>
      <c r="M64" s="1"/>
      <c r="N64" s="36" t="str">
        <f>IFERROR(VLOOKUP('A1 (Aktivlər)'!M64,List!M:N,2,0),"")</f>
        <v/>
      </c>
      <c r="O64" s="1"/>
      <c r="P64" s="36" t="str">
        <f>IFERROR(VLOOKUP('A1 (Aktivlər)'!O64,List!S:T,2,0),"")</f>
        <v/>
      </c>
      <c r="Q64" s="1"/>
      <c r="R64" s="36" t="str">
        <f>IFERROR(VLOOKUP('A1 (Aktivlər)'!Q64,List!K:L,2,0),"")</f>
        <v/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  <v/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  <v/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  <v/>
      </c>
      <c r="CD64" s="34"/>
    </row>
    <row r="65" spans="1:82" s="112" customFormat="1" ht="21.75" customHeight="1" x14ac:dyDescent="0.2">
      <c r="A65" s="111">
        <v>51</v>
      </c>
      <c r="B65" s="35" t="str">
        <f t="shared" si="11"/>
        <v/>
      </c>
      <c r="C65" s="32"/>
      <c r="D65" s="33"/>
      <c r="E65" s="1"/>
      <c r="F65" s="36" t="str">
        <f>IFERROR(VLOOKUP('A1 (Aktivlər)'!E65,List!A:B,2,0),"")</f>
        <v/>
      </c>
      <c r="G65" s="1"/>
      <c r="H65" s="36" t="str">
        <f>IFERROR(VLOOKUP('A1 (Aktivlər)'!G65,List!G:H,2,0),"")</f>
        <v/>
      </c>
      <c r="I65" s="1"/>
      <c r="J65" s="36" t="str">
        <f>IFERROR(VLOOKUP('A1 (Aktivlər)'!I65,List!C:D,2,0),"")</f>
        <v/>
      </c>
      <c r="K65" s="1"/>
      <c r="L65" s="36" t="str">
        <f>IFERROR(VLOOKUP('A1 (Aktivlər)'!K65,List!E:F,2,0),"")</f>
        <v/>
      </c>
      <c r="M65" s="1"/>
      <c r="N65" s="36" t="str">
        <f>IFERROR(VLOOKUP('A1 (Aktivlər)'!M65,List!M:N,2,0),"")</f>
        <v/>
      </c>
      <c r="O65" s="1"/>
      <c r="P65" s="36" t="str">
        <f>IFERROR(VLOOKUP('A1 (Aktivlər)'!O65,List!S:T,2,0),"")</f>
        <v/>
      </c>
      <c r="Q65" s="1"/>
      <c r="R65" s="36" t="str">
        <f>IFERROR(VLOOKUP('A1 (Aktivlər)'!Q65,List!K:L,2,0),"")</f>
        <v/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  <v/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  <v/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  <v/>
      </c>
      <c r="CD65" s="34"/>
    </row>
    <row r="66" spans="1:82" s="112" customFormat="1" ht="21.75" customHeight="1" x14ac:dyDescent="0.2">
      <c r="A66" s="111">
        <v>52</v>
      </c>
      <c r="B66" s="35" t="str">
        <f t="shared" si="11"/>
        <v/>
      </c>
      <c r="C66" s="32"/>
      <c r="D66" s="33"/>
      <c r="E66" s="1"/>
      <c r="F66" s="36" t="str">
        <f>IFERROR(VLOOKUP('A1 (Aktivlər)'!E66,List!A:B,2,0),"")</f>
        <v/>
      </c>
      <c r="G66" s="1"/>
      <c r="H66" s="36" t="str">
        <f>IFERROR(VLOOKUP('A1 (Aktivlər)'!G66,List!G:H,2,0),"")</f>
        <v/>
      </c>
      <c r="I66" s="1"/>
      <c r="J66" s="36" t="str">
        <f>IFERROR(VLOOKUP('A1 (Aktivlər)'!I66,List!C:D,2,0),"")</f>
        <v/>
      </c>
      <c r="K66" s="1"/>
      <c r="L66" s="36" t="str">
        <f>IFERROR(VLOOKUP('A1 (Aktivlər)'!K66,List!E:F,2,0),"")</f>
        <v/>
      </c>
      <c r="M66" s="1"/>
      <c r="N66" s="36" t="str">
        <f>IFERROR(VLOOKUP('A1 (Aktivlər)'!M66,List!M:N,2,0),"")</f>
        <v/>
      </c>
      <c r="O66" s="1"/>
      <c r="P66" s="36" t="str">
        <f>IFERROR(VLOOKUP('A1 (Aktivlər)'!O66,List!S:T,2,0),"")</f>
        <v/>
      </c>
      <c r="Q66" s="1"/>
      <c r="R66" s="36" t="str">
        <f>IFERROR(VLOOKUP('A1 (Aktivlər)'!Q66,List!K:L,2,0),"")</f>
        <v/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  <v/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  <v/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  <v/>
      </c>
      <c r="CD66" s="34"/>
    </row>
    <row r="67" spans="1:82" s="112" customFormat="1" ht="21.75" customHeight="1" x14ac:dyDescent="0.2">
      <c r="A67" s="111">
        <v>53</v>
      </c>
      <c r="B67" s="35" t="str">
        <f t="shared" si="11"/>
        <v/>
      </c>
      <c r="C67" s="32"/>
      <c r="D67" s="33"/>
      <c r="E67" s="1"/>
      <c r="F67" s="36" t="str">
        <f>IFERROR(VLOOKUP('A1 (Aktivlər)'!E67,List!A:B,2,0),"")</f>
        <v/>
      </c>
      <c r="G67" s="1"/>
      <c r="H67" s="36" t="str">
        <f>IFERROR(VLOOKUP('A1 (Aktivlər)'!G67,List!G:H,2,0),"")</f>
        <v/>
      </c>
      <c r="I67" s="1"/>
      <c r="J67" s="36" t="str">
        <f>IFERROR(VLOOKUP('A1 (Aktivlər)'!I67,List!C:D,2,0),"")</f>
        <v/>
      </c>
      <c r="K67" s="1"/>
      <c r="L67" s="36" t="str">
        <f>IFERROR(VLOOKUP('A1 (Aktivlər)'!K67,List!E:F,2,0),"")</f>
        <v/>
      </c>
      <c r="M67" s="1"/>
      <c r="N67" s="36" t="str">
        <f>IFERROR(VLOOKUP('A1 (Aktivlər)'!M67,List!M:N,2,0),"")</f>
        <v/>
      </c>
      <c r="O67" s="1"/>
      <c r="P67" s="36" t="str">
        <f>IFERROR(VLOOKUP('A1 (Aktivlər)'!O67,List!S:T,2,0),"")</f>
        <v/>
      </c>
      <c r="Q67" s="1"/>
      <c r="R67" s="36" t="str">
        <f>IFERROR(VLOOKUP('A1 (Aktivlər)'!Q67,List!K:L,2,0),"")</f>
        <v/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  <v/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  <v/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  <v/>
      </c>
      <c r="CD67" s="34"/>
    </row>
    <row r="68" spans="1:82" s="112" customFormat="1" ht="21.75" customHeight="1" x14ac:dyDescent="0.2">
      <c r="A68" s="111">
        <v>54</v>
      </c>
      <c r="B68" s="35" t="str">
        <f t="shared" si="11"/>
        <v/>
      </c>
      <c r="C68" s="32"/>
      <c r="D68" s="33"/>
      <c r="E68" s="1"/>
      <c r="F68" s="36" t="str">
        <f>IFERROR(VLOOKUP('A1 (Aktivlər)'!E68,List!A:B,2,0),"")</f>
        <v/>
      </c>
      <c r="G68" s="1"/>
      <c r="H68" s="36" t="str">
        <f>IFERROR(VLOOKUP('A1 (Aktivlər)'!G68,List!G:H,2,0),"")</f>
        <v/>
      </c>
      <c r="I68" s="1"/>
      <c r="J68" s="36" t="str">
        <f>IFERROR(VLOOKUP('A1 (Aktivlər)'!I68,List!C:D,2,0),"")</f>
        <v/>
      </c>
      <c r="K68" s="1"/>
      <c r="L68" s="36" t="str">
        <f>IFERROR(VLOOKUP('A1 (Aktivlər)'!K68,List!E:F,2,0),"")</f>
        <v/>
      </c>
      <c r="M68" s="1"/>
      <c r="N68" s="36" t="str">
        <f>IFERROR(VLOOKUP('A1 (Aktivlər)'!M68,List!M:N,2,0),"")</f>
        <v/>
      </c>
      <c r="O68" s="1"/>
      <c r="P68" s="36" t="str">
        <f>IFERROR(VLOOKUP('A1 (Aktivlər)'!O68,List!S:T,2,0),"")</f>
        <v/>
      </c>
      <c r="Q68" s="1"/>
      <c r="R68" s="36" t="str">
        <f>IFERROR(VLOOKUP('A1 (Aktivlər)'!Q68,List!K:L,2,0),"")</f>
        <v/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  <v/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  <v/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  <v/>
      </c>
      <c r="CD68" s="34"/>
    </row>
    <row r="69" spans="1:82" s="112" customFormat="1" ht="21.75" customHeight="1" x14ac:dyDescent="0.2">
      <c r="A69" s="111">
        <v>55</v>
      </c>
      <c r="B69" s="35" t="str">
        <f t="shared" si="11"/>
        <v/>
      </c>
      <c r="C69" s="32"/>
      <c r="D69" s="33"/>
      <c r="E69" s="1"/>
      <c r="F69" s="36" t="str">
        <f>IFERROR(VLOOKUP('A1 (Aktivlər)'!E69,List!A:B,2,0),"")</f>
        <v/>
      </c>
      <c r="G69" s="1"/>
      <c r="H69" s="36" t="str">
        <f>IFERROR(VLOOKUP('A1 (Aktivlər)'!G69,List!G:H,2,0),"")</f>
        <v/>
      </c>
      <c r="I69" s="1"/>
      <c r="J69" s="36" t="str">
        <f>IFERROR(VLOOKUP('A1 (Aktivlər)'!I69,List!C:D,2,0),"")</f>
        <v/>
      </c>
      <c r="K69" s="1"/>
      <c r="L69" s="36" t="str">
        <f>IFERROR(VLOOKUP('A1 (Aktivlər)'!K69,List!E:F,2,0),"")</f>
        <v/>
      </c>
      <c r="M69" s="1"/>
      <c r="N69" s="36" t="str">
        <f>IFERROR(VLOOKUP('A1 (Aktivlər)'!M69,List!M:N,2,0),"")</f>
        <v/>
      </c>
      <c r="O69" s="1"/>
      <c r="P69" s="36" t="str">
        <f>IFERROR(VLOOKUP('A1 (Aktivlər)'!O69,List!S:T,2,0),"")</f>
        <v/>
      </c>
      <c r="Q69" s="1"/>
      <c r="R69" s="36" t="str">
        <f>IFERROR(VLOOKUP('A1 (Aktivlər)'!Q69,List!K:L,2,0),"")</f>
        <v/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  <v/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  <v/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  <v/>
      </c>
      <c r="CD69" s="34"/>
    </row>
    <row r="70" spans="1:82" s="112" customFormat="1" ht="21.75" customHeight="1" x14ac:dyDescent="0.2">
      <c r="A70" s="111">
        <v>56</v>
      </c>
      <c r="B70" s="35" t="str">
        <f t="shared" si="11"/>
        <v/>
      </c>
      <c r="C70" s="32"/>
      <c r="D70" s="33"/>
      <c r="E70" s="1"/>
      <c r="F70" s="36" t="str">
        <f>IFERROR(VLOOKUP('A1 (Aktivlər)'!E70,List!A:B,2,0),"")</f>
        <v/>
      </c>
      <c r="G70" s="1"/>
      <c r="H70" s="36" t="str">
        <f>IFERROR(VLOOKUP('A1 (Aktivlər)'!G70,List!G:H,2,0),"")</f>
        <v/>
      </c>
      <c r="I70" s="1"/>
      <c r="J70" s="36" t="str">
        <f>IFERROR(VLOOKUP('A1 (Aktivlər)'!I70,List!C:D,2,0),"")</f>
        <v/>
      </c>
      <c r="K70" s="1"/>
      <c r="L70" s="36" t="str">
        <f>IFERROR(VLOOKUP('A1 (Aktivlər)'!K70,List!E:F,2,0),"")</f>
        <v/>
      </c>
      <c r="M70" s="1"/>
      <c r="N70" s="36" t="str">
        <f>IFERROR(VLOOKUP('A1 (Aktivlər)'!M70,List!M:N,2,0),"")</f>
        <v/>
      </c>
      <c r="O70" s="1"/>
      <c r="P70" s="36" t="str">
        <f>IFERROR(VLOOKUP('A1 (Aktivlər)'!O70,List!S:T,2,0),"")</f>
        <v/>
      </c>
      <c r="Q70" s="1"/>
      <c r="R70" s="36" t="str">
        <f>IFERROR(VLOOKUP('A1 (Aktivlər)'!Q70,List!K:L,2,0),"")</f>
        <v/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  <v/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  <v/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  <v/>
      </c>
      <c r="CD70" s="34"/>
    </row>
    <row r="71" spans="1:82" s="112" customFormat="1" ht="21.75" customHeight="1" x14ac:dyDescent="0.2">
      <c r="A71" s="111">
        <v>57</v>
      </c>
      <c r="B71" s="35" t="str">
        <f t="shared" si="11"/>
        <v/>
      </c>
      <c r="C71" s="32"/>
      <c r="D71" s="33"/>
      <c r="E71" s="1"/>
      <c r="F71" s="36" t="str">
        <f>IFERROR(VLOOKUP('A1 (Aktivlər)'!E71,List!A:B,2,0),"")</f>
        <v/>
      </c>
      <c r="G71" s="1"/>
      <c r="H71" s="36" t="str">
        <f>IFERROR(VLOOKUP('A1 (Aktivlər)'!G71,List!G:H,2,0),"")</f>
        <v/>
      </c>
      <c r="I71" s="1"/>
      <c r="J71" s="36" t="str">
        <f>IFERROR(VLOOKUP('A1 (Aktivlər)'!I71,List!C:D,2,0),"")</f>
        <v/>
      </c>
      <c r="K71" s="1"/>
      <c r="L71" s="36" t="str">
        <f>IFERROR(VLOOKUP('A1 (Aktivlər)'!K71,List!E:F,2,0),"")</f>
        <v/>
      </c>
      <c r="M71" s="1"/>
      <c r="N71" s="36" t="str">
        <f>IFERROR(VLOOKUP('A1 (Aktivlər)'!M71,List!M:N,2,0),"")</f>
        <v/>
      </c>
      <c r="O71" s="1"/>
      <c r="P71" s="36" t="str">
        <f>IFERROR(VLOOKUP('A1 (Aktivlər)'!O71,List!S:T,2,0),"")</f>
        <v/>
      </c>
      <c r="Q71" s="1"/>
      <c r="R71" s="36" t="str">
        <f>IFERROR(VLOOKUP('A1 (Aktivlər)'!Q71,List!K:L,2,0),"")</f>
        <v/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  <v/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  <v/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  <v/>
      </c>
      <c r="CD71" s="34"/>
    </row>
    <row r="72" spans="1:82" s="112" customFormat="1" ht="21.75" customHeight="1" x14ac:dyDescent="0.2">
      <c r="A72" s="111">
        <v>58</v>
      </c>
      <c r="B72" s="35" t="str">
        <f t="shared" si="11"/>
        <v/>
      </c>
      <c r="C72" s="32"/>
      <c r="D72" s="33"/>
      <c r="E72" s="1"/>
      <c r="F72" s="36" t="str">
        <f>IFERROR(VLOOKUP('A1 (Aktivlər)'!E72,List!A:B,2,0),"")</f>
        <v/>
      </c>
      <c r="G72" s="1"/>
      <c r="H72" s="36" t="str">
        <f>IFERROR(VLOOKUP('A1 (Aktivlər)'!G72,List!G:H,2,0),"")</f>
        <v/>
      </c>
      <c r="I72" s="1"/>
      <c r="J72" s="36" t="str">
        <f>IFERROR(VLOOKUP('A1 (Aktivlər)'!I72,List!C:D,2,0),"")</f>
        <v/>
      </c>
      <c r="K72" s="1"/>
      <c r="L72" s="36" t="str">
        <f>IFERROR(VLOOKUP('A1 (Aktivlər)'!K72,List!E:F,2,0),"")</f>
        <v/>
      </c>
      <c r="M72" s="1"/>
      <c r="N72" s="36" t="str">
        <f>IFERROR(VLOOKUP('A1 (Aktivlər)'!M72,List!M:N,2,0),"")</f>
        <v/>
      </c>
      <c r="O72" s="1"/>
      <c r="P72" s="36" t="str">
        <f>IFERROR(VLOOKUP('A1 (Aktivlər)'!O72,List!S:T,2,0),"")</f>
        <v/>
      </c>
      <c r="Q72" s="1"/>
      <c r="R72" s="36" t="str">
        <f>IFERROR(VLOOKUP('A1 (Aktivlər)'!Q72,List!K:L,2,0),"")</f>
        <v/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  <v/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  <v/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  <v/>
      </c>
      <c r="CD72" s="34"/>
    </row>
    <row r="73" spans="1:82" s="112" customFormat="1" ht="21.75" customHeight="1" x14ac:dyDescent="0.2">
      <c r="A73" s="111">
        <v>59</v>
      </c>
      <c r="B73" s="35" t="str">
        <f t="shared" si="11"/>
        <v/>
      </c>
      <c r="C73" s="32"/>
      <c r="D73" s="33"/>
      <c r="E73" s="1"/>
      <c r="F73" s="36" t="str">
        <f>IFERROR(VLOOKUP('A1 (Aktivlər)'!E73,List!A:B,2,0),"")</f>
        <v/>
      </c>
      <c r="G73" s="1"/>
      <c r="H73" s="36" t="str">
        <f>IFERROR(VLOOKUP('A1 (Aktivlər)'!G73,List!G:H,2,0),"")</f>
        <v/>
      </c>
      <c r="I73" s="1"/>
      <c r="J73" s="36" t="str">
        <f>IFERROR(VLOOKUP('A1 (Aktivlər)'!I73,List!C:D,2,0),"")</f>
        <v/>
      </c>
      <c r="K73" s="1"/>
      <c r="L73" s="36" t="str">
        <f>IFERROR(VLOOKUP('A1 (Aktivlər)'!K73,List!E:F,2,0),"")</f>
        <v/>
      </c>
      <c r="M73" s="1"/>
      <c r="N73" s="36" t="str">
        <f>IFERROR(VLOOKUP('A1 (Aktivlər)'!M73,List!M:N,2,0),"")</f>
        <v/>
      </c>
      <c r="O73" s="1"/>
      <c r="P73" s="36" t="str">
        <f>IFERROR(VLOOKUP('A1 (Aktivlər)'!O73,List!S:T,2,0),"")</f>
        <v/>
      </c>
      <c r="Q73" s="1"/>
      <c r="R73" s="36" t="str">
        <f>IFERROR(VLOOKUP('A1 (Aktivlər)'!Q73,List!K:L,2,0),"")</f>
        <v/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  <v/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  <v/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  <v/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 count="72"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>
      <formula1>-1000000000000</formula1>
      <formula2>1000000000000</formula2>
    </dataValidation>
    <dataValidation allowBlank="1" showInputMessage="1" showErrorMessage="1" errorTitle="Diqqət!" error="Ədədi düzgün daxil edin!" sqref="AV12:AX13"/>
    <dataValidation type="decimal" allowBlank="1" showInputMessage="1" showErrorMessage="1" errorTitle="Diqqət!" error="Ədədi düzgün daxil edin!" sqref="AA15:AB73 BG15:BY73 AL15:AM73 AN43:AX73 AN15:AQ42 AD15:AJ73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>
      <formula1>0</formula1>
      <formula2>1</formula2>
    </dataValidation>
    <dataValidation type="date" allowBlank="1" showInputMessage="1" showErrorMessage="1" errorTitle="Diqqət!" error="Tarixi düzgün daxil edin!" sqref="U15:V73">
      <formula1>34318</formula1>
      <formula2>73415</formula2>
    </dataValidation>
    <dataValidation type="decimal" allowBlank="1" showInputMessage="1" showErrorMessage="1" errorTitle="Diqqət!" error="Ədədi düzgün daxil edin!" sqref="D15:D73">
      <formula1>0</formula1>
      <formula2>999999999999999</formula2>
    </dataValidation>
    <dataValidation type="list" allowBlank="1" showInputMessage="1" showErrorMessage="1" sqref="E15:E73">
      <formula1>investisiya_bolme_adi</formula1>
    </dataValidation>
    <dataValidation type="list" allowBlank="1" showInputMessage="1" showErrorMessage="1" sqref="G15:G73">
      <formula1>investisiya_madde1</formula1>
    </dataValidation>
    <dataValidation type="list" allowBlank="1" showInputMessage="1" showErrorMessage="1" sqref="I15:I73">
      <formula1>qeyrirezident_elaqe</formula1>
    </dataValidation>
    <dataValidation type="list" allowBlank="1" showInputMessage="1" showErrorMessage="1" sqref="K15:K73">
      <formula1>qeyrirezident_sektor</formula1>
    </dataValidation>
    <dataValidation type="list" allowBlank="1" showInputMessage="1" showErrorMessage="1" sqref="M15:M73">
      <formula1>Country2</formula1>
    </dataValidation>
    <dataValidation type="list" allowBlank="1" showInputMessage="1" showErrorMessage="1" sqref="O15:O73">
      <formula1>valyuta</formula1>
    </dataValidation>
    <dataValidation type="list" allowBlank="1" showInputMessage="1" showErrorMessage="1" sqref="Q15:Q73">
      <formula1>restrukturizasiya</formula1>
    </dataValidation>
    <dataValidation type="list" allowBlank="1" showInputMessage="1" showErrorMessage="1" sqref="Y15:Y73">
      <formula1>faiz_novu</formula1>
    </dataValidation>
    <dataValidation type="list" allowBlank="1" showInputMessage="1" showErrorMessage="1" sqref="AY15:AY73">
      <formula1>diger_deyishiklik</formula1>
    </dataValidation>
    <dataValidation type="list" allowBlank="1" showInputMessage="1" showErrorMessage="1" sqref="CB15:CB73">
      <formula1>kupon_muddet</formula1>
    </dataValidation>
    <dataValidation type="list" allowBlank="1" showInputMessage="1" showErrorMessage="1" sqref="BZ15:BZ73">
      <formula1>zemanet</formula1>
    </dataValidation>
    <dataValidation type="whole" allowBlank="1" showInputMessage="1" showErrorMessage="1" errorTitle="Diqqət!" error="Ədədi düzgün daxil edin!" sqref="C15:C73">
      <formula1>0</formula1>
      <formula2>1000000000000</formula2>
    </dataValidation>
  </dataValidations>
  <pageMargins left="0.7" right="0.7" top="0.75" bottom="0.75" header="0.3" footer="0.3"/>
  <pageSetup scale="64" orientation="landscape" r:id="rId1"/>
  <colBreaks count="3" manualBreakCount="3">
    <brk id="40" min="2" max="23" man="1"/>
    <brk id="52" min="2" max="23" man="1"/>
    <brk id="64" min="2" max="2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style="64" customWidth="1"/>
    <col min="2" max="2" width="29.140625" style="64" customWidth="1"/>
    <col min="3" max="3" width="21.85546875" style="64" customWidth="1"/>
    <col min="4" max="4" width="18.42578125" style="64" customWidth="1"/>
    <col min="5" max="5" width="21.7109375" style="65" customWidth="1"/>
    <col min="6" max="6" width="13.140625" style="64" customWidth="1"/>
    <col min="7" max="7" width="30.5703125" style="66" customWidth="1"/>
    <col min="8" max="8" width="8.42578125" style="64" customWidth="1"/>
    <col min="9" max="9" width="30.85546875" style="64" customWidth="1"/>
    <col min="10" max="10" width="7.85546875" style="64" customWidth="1"/>
    <col min="11" max="11" width="31.28515625" style="66" customWidth="1"/>
    <col min="12" max="12" width="8.42578125" style="64" customWidth="1"/>
    <col min="13" max="13" width="33.5703125" style="66" customWidth="1"/>
    <col min="14" max="14" width="7.28515625" style="64" customWidth="1"/>
    <col min="15" max="15" width="14.5703125" style="64" customWidth="1"/>
    <col min="16" max="16" width="7.42578125" style="64" customWidth="1"/>
    <col min="17" max="17" width="28.85546875" style="64" customWidth="1"/>
    <col min="18" max="18" width="8.140625" style="64" customWidth="1"/>
    <col min="19" max="19" width="13" style="64" customWidth="1"/>
    <col min="20" max="20" width="12.140625" style="64" customWidth="1"/>
    <col min="21" max="21" width="12.5703125" style="64" customWidth="1"/>
    <col min="22" max="22" width="13.28515625" style="64" customWidth="1"/>
    <col min="23" max="23" width="11" style="67" customWidth="1"/>
    <col min="24" max="24" width="11" style="64" customWidth="1"/>
    <col min="25" max="25" width="15.5703125" style="64" customWidth="1"/>
    <col min="26" max="26" width="14.7109375" style="64" customWidth="1"/>
    <col min="27" max="27" width="12.28515625" style="64" customWidth="1"/>
    <col min="28" max="29" width="18.7109375" style="68" customWidth="1"/>
    <col min="30" max="30" width="23.140625" style="64" customWidth="1"/>
    <col min="31" max="31" width="15.42578125" style="64" customWidth="1"/>
    <col min="32" max="32" width="18.7109375" style="64" customWidth="1"/>
    <col min="33" max="33" width="19.28515625" style="64" customWidth="1"/>
    <col min="34" max="34" width="22.28515625" style="64" customWidth="1"/>
    <col min="35" max="35" width="22.5703125" style="64" customWidth="1"/>
    <col min="36" max="36" width="18" style="64" customWidth="1"/>
    <col min="37" max="37" width="18.7109375" style="64" customWidth="1"/>
    <col min="38" max="38" width="22" style="64" customWidth="1"/>
    <col min="39" max="39" width="19.42578125" style="64" customWidth="1"/>
    <col min="40" max="40" width="24.5703125" style="64" customWidth="1"/>
    <col min="41" max="41" width="19.28515625" style="64" customWidth="1"/>
    <col min="42" max="42" width="19.5703125" style="64" customWidth="1"/>
    <col min="43" max="43" width="19.28515625" style="64" customWidth="1"/>
    <col min="44" max="44" width="21.42578125" style="64" customWidth="1"/>
    <col min="45" max="45" width="24" style="64" customWidth="1"/>
    <col min="46" max="46" width="19.7109375" style="66" customWidth="1"/>
    <col min="47" max="47" width="26.85546875" style="64" customWidth="1"/>
    <col min="48" max="50" width="19.7109375" style="64" customWidth="1"/>
    <col min="51" max="52" width="18.7109375" style="64" customWidth="1"/>
    <col min="53" max="53" width="21.7109375" style="64" customWidth="1"/>
    <col min="54" max="54" width="17.28515625" style="64" customWidth="1"/>
    <col min="55" max="55" width="19.5703125" style="64" customWidth="1"/>
    <col min="56" max="56" width="14.5703125" style="64" customWidth="1"/>
    <col min="57" max="58" width="16.140625" style="64" customWidth="1"/>
    <col min="59" max="59" width="17.5703125" style="64" customWidth="1"/>
    <col min="60" max="60" width="12.140625" style="64" customWidth="1"/>
    <col min="61" max="61" width="13.28515625" style="64" customWidth="1"/>
    <col min="62" max="62" width="12.140625" style="64" customWidth="1"/>
    <col min="63" max="63" width="13" style="64" customWidth="1"/>
    <col min="64" max="64" width="12.140625" style="64" customWidth="1"/>
    <col min="65" max="65" width="12.85546875" style="64" customWidth="1"/>
    <col min="66" max="66" width="12.140625" style="64" customWidth="1"/>
    <col min="67" max="67" width="12.85546875" style="64" customWidth="1"/>
    <col min="68" max="68" width="12.140625" style="64" customWidth="1"/>
    <col min="69" max="69" width="13" style="64" customWidth="1"/>
    <col min="70" max="70" width="14.85546875" style="64" customWidth="1"/>
    <col min="71" max="77" width="14.7109375" style="64"/>
    <col min="78" max="79" width="14.85546875" style="64" customWidth="1"/>
    <col min="80" max="80" width="18.28515625" style="64" customWidth="1"/>
    <col min="81" max="82" width="14.85546875" style="64" customWidth="1"/>
    <col min="83" max="83" width="14.7109375" style="64"/>
    <col min="84" max="84" width="0" style="64" hidden="1" customWidth="1"/>
    <col min="85" max="16384" width="14.7109375" style="64"/>
  </cols>
  <sheetData>
    <row r="1" spans="1:84" x14ac:dyDescent="0.2">
      <c r="G1" s="144" t="s">
        <v>2387</v>
      </c>
      <c r="H1" s="144"/>
      <c r="I1" s="144"/>
    </row>
    <row r="2" spans="1:84" x14ac:dyDescent="0.2">
      <c r="G2" s="144" t="s">
        <v>2388</v>
      </c>
      <c r="H2" s="144"/>
      <c r="I2" s="144"/>
    </row>
    <row r="3" spans="1:84" x14ac:dyDescent="0.2">
      <c r="G3" s="144" t="s">
        <v>440</v>
      </c>
      <c r="H3" s="144"/>
      <c r="I3" s="144"/>
      <c r="O3" s="69"/>
      <c r="P3" s="69"/>
      <c r="V3" s="69"/>
      <c r="Y3" s="69"/>
      <c r="Z3" s="69"/>
      <c r="AA3" s="69"/>
    </row>
    <row r="4" spans="1:84" ht="15.75" customHeight="1" x14ac:dyDescent="0.25">
      <c r="A4" s="185" t="s">
        <v>1</v>
      </c>
      <c r="B4" s="185"/>
      <c r="C4" s="65" t="str">
        <f>IF(XBBIS!D10="","",XBBIS!D10)</f>
        <v>BANK MELLİ İRAN BAKI FİLİALI</v>
      </c>
      <c r="D4" s="65"/>
      <c r="F4" s="65"/>
      <c r="G4" s="144" t="s">
        <v>2385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spans="1:84" s="67" customFormat="1" ht="18" x14ac:dyDescent="0.25">
      <c r="A5" s="186" t="s">
        <v>0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414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spans="1:84" s="67" customFormat="1" ht="20.25" customHeight="1" x14ac:dyDescent="0.25">
      <c r="A6" s="186" t="s">
        <v>177</v>
      </c>
      <c r="B6" s="186"/>
      <c r="C6" s="77">
        <f>IF(XBBIS!D16="","",XBBIS!D16)</f>
        <v>0</v>
      </c>
      <c r="D6" s="70"/>
      <c r="E6" s="78"/>
      <c r="F6" s="70"/>
      <c r="G6" s="144" t="s">
        <v>142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spans="1:84" s="67" customFormat="1" ht="15.75" x14ac:dyDescent="0.2">
      <c r="A7" s="187" t="s">
        <v>406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547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spans="1:84" s="67" customFormat="1" ht="18" x14ac:dyDescent="0.2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spans="1:84" s="67" customFormat="1" ht="27.75" customHeight="1" x14ac:dyDescent="0.5">
      <c r="B9" s="83"/>
      <c r="C9" s="83"/>
      <c r="D9" s="83"/>
      <c r="G9" s="85" t="s">
        <v>2089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spans="1:84" s="90" customFormat="1" ht="25.5" customHeight="1" x14ac:dyDescent="0.35">
      <c r="A10" s="67"/>
      <c r="B10" s="67"/>
      <c r="C10" s="67"/>
      <c r="F10" s="91"/>
      <c r="G10" s="92" t="s">
        <v>444</v>
      </c>
      <c r="H10" s="91"/>
      <c r="I10" s="92"/>
      <c r="J10" s="93"/>
      <c r="K10" s="94"/>
      <c r="L10" s="95"/>
      <c r="M10" s="92"/>
      <c r="N10" s="95"/>
      <c r="O10" s="92" t="s">
        <v>143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143</v>
      </c>
      <c r="CD10" s="92"/>
    </row>
    <row r="11" spans="1:84" s="103" customFormat="1" ht="38.25" customHeight="1" x14ac:dyDescent="0.25">
      <c r="A11" s="188" t="s">
        <v>553</v>
      </c>
      <c r="B11" s="156" t="s">
        <v>445</v>
      </c>
      <c r="C11" s="156" t="s">
        <v>468</v>
      </c>
      <c r="D11" s="156" t="s">
        <v>448</v>
      </c>
      <c r="E11" s="152" t="s">
        <v>485</v>
      </c>
      <c r="F11" s="153"/>
      <c r="G11" s="152" t="s">
        <v>486</v>
      </c>
      <c r="H11" s="153"/>
      <c r="I11" s="152" t="s">
        <v>456</v>
      </c>
      <c r="J11" s="153"/>
      <c r="K11" s="152" t="s">
        <v>429</v>
      </c>
      <c r="L11" s="153"/>
      <c r="M11" s="152" t="s">
        <v>163</v>
      </c>
      <c r="N11" s="153"/>
      <c r="O11" s="152" t="s">
        <v>469</v>
      </c>
      <c r="P11" s="153"/>
      <c r="Q11" s="152" t="s">
        <v>160</v>
      </c>
      <c r="R11" s="153"/>
      <c r="S11" s="152" t="s">
        <v>407</v>
      </c>
      <c r="T11" s="153"/>
      <c r="U11" s="156" t="s">
        <v>158</v>
      </c>
      <c r="V11" s="156" t="s">
        <v>159</v>
      </c>
      <c r="W11" s="156" t="s">
        <v>161</v>
      </c>
      <c r="X11" s="156" t="s">
        <v>474</v>
      </c>
      <c r="Y11" s="152" t="s">
        <v>174</v>
      </c>
      <c r="Z11" s="153"/>
      <c r="AA11" s="149" t="s">
        <v>167</v>
      </c>
      <c r="AB11" s="150"/>
      <c r="AC11" s="150"/>
      <c r="AD11" s="150"/>
      <c r="AE11" s="150"/>
      <c r="AF11" s="150"/>
      <c r="AG11" s="151"/>
      <c r="AH11" s="160" t="s">
        <v>431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545</v>
      </c>
      <c r="AS11" s="153"/>
      <c r="AT11" s="160" t="s">
        <v>166</v>
      </c>
      <c r="AU11" s="160"/>
      <c r="AV11" s="160"/>
      <c r="AW11" s="160"/>
      <c r="AX11" s="160"/>
      <c r="AY11" s="152" t="s">
        <v>181</v>
      </c>
      <c r="AZ11" s="153"/>
      <c r="BA11" s="149" t="s">
        <v>168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565</v>
      </c>
      <c r="BK11" s="177"/>
      <c r="BL11" s="165" t="s">
        <v>149</v>
      </c>
      <c r="BM11" s="175"/>
      <c r="BN11" s="175"/>
      <c r="BO11" s="175"/>
      <c r="BP11" s="175"/>
      <c r="BQ11" s="175"/>
      <c r="BR11" s="175"/>
      <c r="BS11" s="166"/>
      <c r="BT11" s="174" t="s">
        <v>144</v>
      </c>
      <c r="BU11" s="174"/>
      <c r="BV11" s="174"/>
      <c r="BW11" s="174"/>
      <c r="BX11" s="165" t="s">
        <v>145</v>
      </c>
      <c r="BY11" s="166"/>
      <c r="BZ11" s="174" t="s">
        <v>540</v>
      </c>
      <c r="CA11" s="182" t="s">
        <v>554</v>
      </c>
      <c r="CB11" s="152" t="s">
        <v>555</v>
      </c>
      <c r="CC11" s="153"/>
      <c r="CD11" s="174" t="s">
        <v>541</v>
      </c>
    </row>
    <row r="12" spans="1:84" s="67" customFormat="1" ht="41.25" customHeight="1" x14ac:dyDescent="0.2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481</v>
      </c>
      <c r="AB12" s="148" t="s">
        <v>491</v>
      </c>
      <c r="AC12" s="148" t="s">
        <v>449</v>
      </c>
      <c r="AD12" s="157" t="s">
        <v>496</v>
      </c>
      <c r="AE12" s="159" t="s">
        <v>436</v>
      </c>
      <c r="AF12" s="157" t="s">
        <v>2378</v>
      </c>
      <c r="AG12" s="159" t="s">
        <v>487</v>
      </c>
      <c r="AH12" s="170" t="s">
        <v>164</v>
      </c>
      <c r="AI12" s="171"/>
      <c r="AJ12" s="171"/>
      <c r="AK12" s="171"/>
      <c r="AL12" s="172"/>
      <c r="AM12" s="170" t="s">
        <v>148</v>
      </c>
      <c r="AN12" s="171"/>
      <c r="AO12" s="171"/>
      <c r="AP12" s="171"/>
      <c r="AQ12" s="172"/>
      <c r="AR12" s="154"/>
      <c r="AS12" s="155"/>
      <c r="AT12" s="147" t="s">
        <v>550</v>
      </c>
      <c r="AU12" s="156" t="s">
        <v>549</v>
      </c>
      <c r="AV12" s="158" t="s">
        <v>437</v>
      </c>
      <c r="AW12" s="156" t="s">
        <v>463</v>
      </c>
      <c r="AX12" s="158" t="s">
        <v>488</v>
      </c>
      <c r="AY12" s="154"/>
      <c r="AZ12" s="155"/>
      <c r="BA12" s="147" t="s">
        <v>491</v>
      </c>
      <c r="BB12" s="147" t="s">
        <v>450</v>
      </c>
      <c r="BC12" s="156" t="s">
        <v>498</v>
      </c>
      <c r="BD12" s="158" t="s">
        <v>436</v>
      </c>
      <c r="BE12" s="157" t="s">
        <v>2378</v>
      </c>
      <c r="BF12" s="158" t="s">
        <v>489</v>
      </c>
      <c r="BG12" s="167" t="s">
        <v>493</v>
      </c>
      <c r="BH12" s="168"/>
      <c r="BI12" s="169"/>
      <c r="BJ12" s="178"/>
      <c r="BK12" s="179"/>
      <c r="BL12" s="164" t="s">
        <v>150</v>
      </c>
      <c r="BM12" s="164"/>
      <c r="BN12" s="164" t="s">
        <v>151</v>
      </c>
      <c r="BO12" s="164"/>
      <c r="BP12" s="145" t="s">
        <v>152</v>
      </c>
      <c r="BQ12" s="146"/>
      <c r="BR12" s="145" t="s">
        <v>153</v>
      </c>
      <c r="BS12" s="146"/>
      <c r="BT12" s="145" t="s">
        <v>154</v>
      </c>
      <c r="BU12" s="146"/>
      <c r="BV12" s="145" t="s">
        <v>433</v>
      </c>
      <c r="BW12" s="146"/>
      <c r="BX12" s="145" t="s">
        <v>434</v>
      </c>
      <c r="BY12" s="146"/>
      <c r="BZ12" s="174"/>
      <c r="CA12" s="183"/>
      <c r="CB12" s="154"/>
      <c r="CC12" s="155"/>
      <c r="CD12" s="174"/>
    </row>
    <row r="13" spans="1:84" s="89" customFormat="1" ht="90.75" customHeight="1" x14ac:dyDescent="0.2">
      <c r="A13" s="189"/>
      <c r="B13" s="157"/>
      <c r="C13" s="157"/>
      <c r="D13" s="157"/>
      <c r="E13" s="104" t="s">
        <v>465</v>
      </c>
      <c r="F13" s="104" t="s">
        <v>180</v>
      </c>
      <c r="G13" s="104" t="s">
        <v>438</v>
      </c>
      <c r="H13" s="104" t="s">
        <v>180</v>
      </c>
      <c r="I13" s="104" t="s">
        <v>438</v>
      </c>
      <c r="J13" s="104" t="s">
        <v>180</v>
      </c>
      <c r="K13" s="104" t="s">
        <v>465</v>
      </c>
      <c r="L13" s="104" t="s">
        <v>180</v>
      </c>
      <c r="M13" s="104" t="s">
        <v>465</v>
      </c>
      <c r="N13" s="104" t="s">
        <v>180</v>
      </c>
      <c r="O13" s="104" t="s">
        <v>465</v>
      </c>
      <c r="P13" s="104" t="s">
        <v>180</v>
      </c>
      <c r="Q13" s="104" t="s">
        <v>465</v>
      </c>
      <c r="R13" s="104" t="s">
        <v>180</v>
      </c>
      <c r="S13" s="104" t="s">
        <v>408</v>
      </c>
      <c r="T13" s="104" t="s">
        <v>415</v>
      </c>
      <c r="U13" s="157"/>
      <c r="V13" s="157"/>
      <c r="W13" s="157"/>
      <c r="X13" s="157"/>
      <c r="Y13" s="104" t="s">
        <v>438</v>
      </c>
      <c r="Z13" s="104" t="s">
        <v>180</v>
      </c>
      <c r="AA13" s="173"/>
      <c r="AB13" s="161"/>
      <c r="AC13" s="148"/>
      <c r="AD13" s="157"/>
      <c r="AE13" s="157"/>
      <c r="AF13" s="157"/>
      <c r="AG13" s="157"/>
      <c r="AH13" s="104" t="s">
        <v>482</v>
      </c>
      <c r="AI13" s="104" t="s">
        <v>497</v>
      </c>
      <c r="AJ13" s="105" t="s">
        <v>436</v>
      </c>
      <c r="AK13" s="104" t="s">
        <v>2378</v>
      </c>
      <c r="AL13" s="105" t="s">
        <v>464</v>
      </c>
      <c r="AM13" s="104" t="s">
        <v>483</v>
      </c>
      <c r="AN13" s="104" t="s">
        <v>497</v>
      </c>
      <c r="AO13" s="105" t="s">
        <v>436</v>
      </c>
      <c r="AP13" s="104" t="s">
        <v>484</v>
      </c>
      <c r="AQ13" s="105" t="s">
        <v>487</v>
      </c>
      <c r="AR13" s="106" t="s">
        <v>2379</v>
      </c>
      <c r="AS13" s="106" t="s">
        <v>2380</v>
      </c>
      <c r="AT13" s="161"/>
      <c r="AU13" s="157"/>
      <c r="AV13" s="159"/>
      <c r="AW13" s="157"/>
      <c r="AX13" s="157"/>
      <c r="AY13" s="104" t="s">
        <v>438</v>
      </c>
      <c r="AZ13" s="104" t="s">
        <v>180</v>
      </c>
      <c r="BA13" s="161"/>
      <c r="BB13" s="148"/>
      <c r="BC13" s="157"/>
      <c r="BD13" s="157"/>
      <c r="BE13" s="157"/>
      <c r="BF13" s="157"/>
      <c r="BG13" s="107" t="s">
        <v>494</v>
      </c>
      <c r="BH13" s="108" t="s">
        <v>492</v>
      </c>
      <c r="BI13" s="108" t="s">
        <v>495</v>
      </c>
      <c r="BJ13" s="109" t="s">
        <v>432</v>
      </c>
      <c r="BK13" s="110" t="s">
        <v>490</v>
      </c>
      <c r="BL13" s="109" t="s">
        <v>432</v>
      </c>
      <c r="BM13" s="110" t="s">
        <v>490</v>
      </c>
      <c r="BN13" s="109" t="s">
        <v>432</v>
      </c>
      <c r="BO13" s="110" t="s">
        <v>490</v>
      </c>
      <c r="BP13" s="109" t="s">
        <v>432</v>
      </c>
      <c r="BQ13" s="110" t="s">
        <v>490</v>
      </c>
      <c r="BR13" s="109" t="s">
        <v>432</v>
      </c>
      <c r="BS13" s="110" t="s">
        <v>490</v>
      </c>
      <c r="BT13" s="109" t="s">
        <v>432</v>
      </c>
      <c r="BU13" s="110" t="s">
        <v>490</v>
      </c>
      <c r="BV13" s="109" t="s">
        <v>432</v>
      </c>
      <c r="BW13" s="110" t="s">
        <v>490</v>
      </c>
      <c r="BX13" s="109" t="s">
        <v>432</v>
      </c>
      <c r="BY13" s="110" t="s">
        <v>490</v>
      </c>
      <c r="BZ13" s="182"/>
      <c r="CA13" s="184"/>
      <c r="CB13" s="104" t="s">
        <v>438</v>
      </c>
      <c r="CC13" s="104" t="s">
        <v>180</v>
      </c>
      <c r="CD13" s="182"/>
    </row>
    <row r="14" spans="1:84" s="67" customFormat="1" ht="19.5" customHeight="1" x14ac:dyDescent="0.2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475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476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477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478</v>
      </c>
      <c r="AS14" s="104">
        <v>41</v>
      </c>
      <c r="AT14" s="104" t="s">
        <v>479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480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spans="1:84" s="112" customFormat="1" ht="19.5" customHeight="1" x14ac:dyDescent="0.2">
      <c r="A15" s="111">
        <v>1</v>
      </c>
      <c r="B15" s="35" t="str">
        <f t="shared" ref="B15" si="0">IF((C15&amp;"-"&amp;D15&amp;"-"&amp;F15&amp;"-"&amp;H15&amp;"-"&amp;P15&amp;"-"&amp;N15)="-----","",(C15&amp;"-"&amp;D15&amp;"-"&amp;F15&amp;"-"&amp;H15&amp;"-"&amp;P15&amp;"-"&amp;N15))</f>
        <v/>
      </c>
      <c r="C15" s="32"/>
      <c r="D15" s="15"/>
      <c r="E15" s="1"/>
      <c r="F15" s="36" t="str">
        <f>IFERROR(VLOOKUP('A2 (Öhdəliklər)'!E15,List!A:B,2,0),"")</f>
        <v/>
      </c>
      <c r="G15" s="1"/>
      <c r="H15" s="36" t="str">
        <f>IFERROR(VLOOKUP('A2 (Öhdəliklər)'!G15,List!G:H,2,0),"")</f>
        <v/>
      </c>
      <c r="I15" s="1"/>
      <c r="J15" s="36" t="str">
        <f>IFERROR(VLOOKUP('A2 (Öhdəliklər)'!I15,List!C:D,2,0),"")</f>
        <v/>
      </c>
      <c r="K15" s="1"/>
      <c r="L15" s="36" t="str">
        <f>IFERROR(VLOOKUP('A2 (Öhdəliklər)'!K15,List!E:F,2,0),"")</f>
        <v/>
      </c>
      <c r="M15" s="1"/>
      <c r="N15" s="36" t="str">
        <f>IFERROR(VLOOKUP('A2 (Öhdəliklər)'!M15,List!M:N,2,0),"")</f>
        <v/>
      </c>
      <c r="O15" s="1"/>
      <c r="P15" s="36" t="str">
        <f>IFERROR(VLOOKUP('A2 (Öhdəliklər)'!O15,List!S:T,2,0),"")</f>
        <v/>
      </c>
      <c r="Q15" s="1"/>
      <c r="R15" s="36" t="str">
        <f>IFERROR(VLOOKUP('A2 (Öhdəliklər)'!Q15,List!K:L,2,0),"")</f>
        <v/>
      </c>
      <c r="S15" s="16"/>
      <c r="T15" s="16"/>
      <c r="U15" s="17"/>
      <c r="V15" s="17"/>
      <c r="W15" s="20"/>
      <c r="X15" s="18"/>
      <c r="Y15" s="1"/>
      <c r="Z15" s="36" t="str">
        <f>IFERROR(VLOOKUP('A2 (Öhdəliklər)'!Y15,List!O:P,2,0),"")</f>
        <v/>
      </c>
      <c r="AA15" s="19"/>
      <c r="AB15" s="19"/>
      <c r="AC15" s="37">
        <f t="shared" ref="AC15" si="1">AD15+AF15</f>
        <v>0</v>
      </c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21"/>
      <c r="AZ15" s="36" t="str">
        <f>IFERROR(VLOOKUP('A2 (Öhdəliklər)'!AY15,List!Q:R,2,0),"")</f>
        <v/>
      </c>
      <c r="BA15" s="38">
        <f t="shared" ref="BA15" si="2">AB15+AH15-AM15+AR15+AT15</f>
        <v>0</v>
      </c>
      <c r="BB15" s="38">
        <f t="shared" ref="BB15" si="3">BC15+BE15</f>
        <v>0</v>
      </c>
      <c r="BC15" s="39">
        <f t="shared" ref="BC15" si="4">AD15+AI15-AN15+AS15+AU15</f>
        <v>0</v>
      </c>
      <c r="BD15" s="39">
        <f t="shared" ref="BD15" si="5">AE15+AJ15-AO15+AV15</f>
        <v>0</v>
      </c>
      <c r="BE15" s="39">
        <f t="shared" ref="BE15" si="6">AF15+AK15-AP15+AW15</f>
        <v>0</v>
      </c>
      <c r="BF15" s="39">
        <f t="shared" ref="BF15" si="7">AG15+AL15-AQ15+AX15</f>
        <v>0</v>
      </c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34"/>
      <c r="CA15" s="18"/>
      <c r="CB15" s="20"/>
      <c r="CC15" s="36" t="str">
        <f>IFERROR(VLOOKUP('A2 (Öhdəliklər)'!CB15,List!$Z$2:$AA$8,2,0),"")</f>
        <v/>
      </c>
      <c r="CD15" s="34"/>
    </row>
    <row r="16" spans="1:84" s="112" customFormat="1" ht="19.5" customHeight="1" x14ac:dyDescent="0.2">
      <c r="A16" s="111">
        <v>2</v>
      </c>
      <c r="B16" s="35" t="str">
        <f t="shared" ref="B16:B65" si="8">IF((C16&amp;"-"&amp;D16&amp;"-"&amp;F16&amp;"-"&amp;H16&amp;"-"&amp;P16&amp;"-"&amp;N16)="-----","",(C16&amp;"-"&amp;D16&amp;"-"&amp;F16&amp;"-"&amp;H16&amp;"-"&amp;P16&amp;"-"&amp;N16))</f>
        <v/>
      </c>
      <c r="C16" s="32"/>
      <c r="D16" s="15"/>
      <c r="E16" s="1"/>
      <c r="F16" s="36" t="str">
        <f>IFERROR(VLOOKUP('A2 (Öhdəliklər)'!E16,List!A:B,2,0),"")</f>
        <v/>
      </c>
      <c r="G16" s="1"/>
      <c r="H16" s="36" t="str">
        <f>IFERROR(VLOOKUP('A2 (Öhdəliklər)'!G16,List!G:H,2,0),"")</f>
        <v/>
      </c>
      <c r="I16" s="1"/>
      <c r="J16" s="36" t="str">
        <f>IFERROR(VLOOKUP('A2 (Öhdəliklər)'!I16,List!C:D,2,0),"")</f>
        <v/>
      </c>
      <c r="K16" s="1"/>
      <c r="L16" s="36" t="str">
        <f>IFERROR(VLOOKUP('A2 (Öhdəliklər)'!K16,List!E:F,2,0),"")</f>
        <v/>
      </c>
      <c r="M16" s="1"/>
      <c r="N16" s="36" t="str">
        <f>IFERROR(VLOOKUP('A2 (Öhdəliklər)'!M16,List!M:N,2,0),"")</f>
        <v/>
      </c>
      <c r="O16" s="1"/>
      <c r="P16" s="36" t="str">
        <f>IFERROR(VLOOKUP('A2 (Öhdəliklər)'!O16,List!S:T,2,0),"")</f>
        <v/>
      </c>
      <c r="Q16" s="1"/>
      <c r="R16" s="36" t="str">
        <f>IFERROR(VLOOKUP('A2 (Öhdəliklər)'!Q16,List!K:L,2,0),"")</f>
        <v/>
      </c>
      <c r="S16" s="16"/>
      <c r="T16" s="16"/>
      <c r="U16" s="17"/>
      <c r="V16" s="17"/>
      <c r="W16" s="20"/>
      <c r="X16" s="18"/>
      <c r="Y16" s="1"/>
      <c r="Z16" s="36" t="str">
        <f>IFERROR(VLOOKUP('A2 (Öhdəliklər)'!Y16,List!O:P,2,0),"")</f>
        <v/>
      </c>
      <c r="AA16" s="19"/>
      <c r="AB16" s="19"/>
      <c r="AC16" s="37">
        <f t="shared" ref="AC16:AC65" si="9">AD16+AF16</f>
        <v>0</v>
      </c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21"/>
      <c r="AZ16" s="36" t="str">
        <f>IFERROR(VLOOKUP('A2 (Öhdəliklər)'!AY16,List!Q:R,2,0),"")</f>
        <v/>
      </c>
      <c r="BA16" s="38">
        <f t="shared" ref="BA16:BA65" si="10">AB16+AH16-AM16+AR16+AT16</f>
        <v>0</v>
      </c>
      <c r="BB16" s="38">
        <f t="shared" ref="BB16:BB65" si="11">BC16+BE16</f>
        <v>0</v>
      </c>
      <c r="BC16" s="39">
        <f t="shared" ref="BC16:BC65" si="12">AD16+AI16-AN16+AS16+AU16</f>
        <v>0</v>
      </c>
      <c r="BD16" s="39">
        <f t="shared" ref="BD16:BD65" si="13">AE16+AJ16-AO16+AV16</f>
        <v>0</v>
      </c>
      <c r="BE16" s="39">
        <f t="shared" ref="BE16:BE65" si="14">AF16+AK16-AP16+AW16</f>
        <v>0</v>
      </c>
      <c r="BF16" s="39">
        <f t="shared" ref="BF16:BF65" si="15">AG16+AL16-AQ16+AX16</f>
        <v>0</v>
      </c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34"/>
      <c r="CA16" s="18"/>
      <c r="CB16" s="20"/>
      <c r="CC16" s="36" t="str">
        <f>IFERROR(VLOOKUP('A2 (Öhdəliklər)'!CB16,List!$Z$2:$AA$8,2,0),"")</f>
        <v/>
      </c>
      <c r="CD16" s="34"/>
    </row>
    <row r="17" spans="1:82" s="112" customFormat="1" ht="19.5" customHeight="1" x14ac:dyDescent="0.2">
      <c r="A17" s="111">
        <v>3</v>
      </c>
      <c r="B17" s="35" t="str">
        <f t="shared" si="8"/>
        <v/>
      </c>
      <c r="C17" s="32"/>
      <c r="D17" s="15"/>
      <c r="E17" s="1"/>
      <c r="F17" s="36" t="str">
        <f>IFERROR(VLOOKUP('A2 (Öhdəliklər)'!E17,List!A:B,2,0),"")</f>
        <v/>
      </c>
      <c r="G17" s="1"/>
      <c r="H17" s="36" t="str">
        <f>IFERROR(VLOOKUP('A2 (Öhdəliklər)'!G17,List!G:H,2,0),"")</f>
        <v/>
      </c>
      <c r="I17" s="1"/>
      <c r="J17" s="36" t="str">
        <f>IFERROR(VLOOKUP('A2 (Öhdəliklər)'!I17,List!C:D,2,0),"")</f>
        <v/>
      </c>
      <c r="K17" s="1"/>
      <c r="L17" s="36" t="str">
        <f>IFERROR(VLOOKUP('A2 (Öhdəliklər)'!K17,List!E:F,2,0),"")</f>
        <v/>
      </c>
      <c r="M17" s="1"/>
      <c r="N17" s="36" t="str">
        <f>IFERROR(VLOOKUP('A2 (Öhdəliklər)'!M17,List!M:N,2,0),"")</f>
        <v/>
      </c>
      <c r="O17" s="1"/>
      <c r="P17" s="36" t="str">
        <f>IFERROR(VLOOKUP('A2 (Öhdəliklər)'!O17,List!S:T,2,0),"")</f>
        <v/>
      </c>
      <c r="Q17" s="1"/>
      <c r="R17" s="36" t="str">
        <f>IFERROR(VLOOKUP('A2 (Öhdəliklər)'!Q17,List!K:L,2,0),"")</f>
        <v/>
      </c>
      <c r="S17" s="16"/>
      <c r="T17" s="16"/>
      <c r="U17" s="17"/>
      <c r="V17" s="17"/>
      <c r="W17" s="20"/>
      <c r="X17" s="18"/>
      <c r="Y17" s="1"/>
      <c r="Z17" s="36" t="str">
        <f>IFERROR(VLOOKUP('A2 (Öhdəliklər)'!Y17,List!O:P,2,0),"")</f>
        <v/>
      </c>
      <c r="AA17" s="19"/>
      <c r="AB17" s="19"/>
      <c r="AC17" s="37">
        <f t="shared" si="9"/>
        <v>0</v>
      </c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21"/>
      <c r="AZ17" s="36" t="str">
        <f>IFERROR(VLOOKUP('A2 (Öhdəliklər)'!AY17,List!Q:R,2,0),"")</f>
        <v/>
      </c>
      <c r="BA17" s="38">
        <f t="shared" si="10"/>
        <v>0</v>
      </c>
      <c r="BB17" s="38">
        <f t="shared" si="11"/>
        <v>0</v>
      </c>
      <c r="BC17" s="39">
        <f t="shared" si="12"/>
        <v>0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34"/>
      <c r="CA17" s="18"/>
      <c r="CB17" s="20"/>
      <c r="CC17" s="36" t="str">
        <f>IFERROR(VLOOKUP('A2 (Öhdəliklər)'!CB17,List!$Z$2:$AA$8,2,0),"")</f>
        <v/>
      </c>
      <c r="CD17" s="34"/>
    </row>
    <row r="18" spans="1:82" s="112" customFormat="1" ht="19.5" customHeight="1" x14ac:dyDescent="0.2">
      <c r="A18" s="111">
        <v>4</v>
      </c>
      <c r="B18" s="35" t="str">
        <f t="shared" si="8"/>
        <v/>
      </c>
      <c r="C18" s="32"/>
      <c r="D18" s="15"/>
      <c r="E18" s="1"/>
      <c r="F18" s="36" t="str">
        <f>IFERROR(VLOOKUP('A2 (Öhdəliklər)'!E18,List!A:B,2,0),"")</f>
        <v/>
      </c>
      <c r="G18" s="1"/>
      <c r="H18" s="36" t="str">
        <f>IFERROR(VLOOKUP('A2 (Öhdəliklər)'!G18,List!G:H,2,0),"")</f>
        <v/>
      </c>
      <c r="I18" s="1"/>
      <c r="J18" s="36" t="str">
        <f>IFERROR(VLOOKUP('A2 (Öhdəliklər)'!I18,List!C:D,2,0),"")</f>
        <v/>
      </c>
      <c r="K18" s="1"/>
      <c r="L18" s="36" t="str">
        <f>IFERROR(VLOOKUP('A2 (Öhdəliklər)'!K18,List!E:F,2,0),"")</f>
        <v/>
      </c>
      <c r="M18" s="1"/>
      <c r="N18" s="36" t="str">
        <f>IFERROR(VLOOKUP('A2 (Öhdəliklər)'!M18,List!M:N,2,0),"")</f>
        <v/>
      </c>
      <c r="O18" s="1"/>
      <c r="P18" s="36" t="str">
        <f>IFERROR(VLOOKUP('A2 (Öhdəliklər)'!O18,List!S:T,2,0),"")</f>
        <v/>
      </c>
      <c r="Q18" s="1"/>
      <c r="R18" s="36" t="str">
        <f>IFERROR(VLOOKUP('A2 (Öhdəliklər)'!Q18,List!K:L,2,0),"")</f>
        <v/>
      </c>
      <c r="S18" s="16"/>
      <c r="T18" s="16"/>
      <c r="U18" s="17"/>
      <c r="V18" s="17"/>
      <c r="W18" s="20"/>
      <c r="X18" s="18"/>
      <c r="Y18" s="1"/>
      <c r="Z18" s="36" t="str">
        <f>IFERROR(VLOOKUP('A2 (Öhdəliklər)'!Y18,List!O:P,2,0),"")</f>
        <v/>
      </c>
      <c r="AA18" s="19"/>
      <c r="AB18" s="19"/>
      <c r="AC18" s="37">
        <f t="shared" si="9"/>
        <v>0</v>
      </c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21"/>
      <c r="AZ18" s="36" t="str">
        <f>IFERROR(VLOOKUP('A2 (Öhdəliklər)'!AY18,List!Q:R,2,0),"")</f>
        <v/>
      </c>
      <c r="BA18" s="38">
        <f t="shared" si="10"/>
        <v>0</v>
      </c>
      <c r="BB18" s="38">
        <f t="shared" si="11"/>
        <v>0</v>
      </c>
      <c r="BC18" s="39">
        <f t="shared" si="12"/>
        <v>0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34"/>
      <c r="CA18" s="18"/>
      <c r="CB18" s="20"/>
      <c r="CC18" s="36" t="str">
        <f>IFERROR(VLOOKUP('A2 (Öhdəliklər)'!CB18,List!$Z$2:$AA$8,2,0),"")</f>
        <v/>
      </c>
      <c r="CD18" s="34"/>
    </row>
    <row r="19" spans="1:82" s="112" customFormat="1" ht="19.5" customHeight="1" x14ac:dyDescent="0.2">
      <c r="A19" s="111">
        <v>5</v>
      </c>
      <c r="B19" s="35" t="str">
        <f t="shared" si="8"/>
        <v/>
      </c>
      <c r="C19" s="32"/>
      <c r="D19" s="15"/>
      <c r="E19" s="1"/>
      <c r="F19" s="36" t="str">
        <f>IFERROR(VLOOKUP('A2 (Öhdəliklər)'!E19,List!A:B,2,0),"")</f>
        <v/>
      </c>
      <c r="G19" s="1"/>
      <c r="H19" s="36" t="str">
        <f>IFERROR(VLOOKUP('A2 (Öhdəliklər)'!G19,List!G:H,2,0),"")</f>
        <v/>
      </c>
      <c r="I19" s="1"/>
      <c r="J19" s="36" t="str">
        <f>IFERROR(VLOOKUP('A2 (Öhdəliklər)'!I19,List!C:D,2,0),"")</f>
        <v/>
      </c>
      <c r="K19" s="1"/>
      <c r="L19" s="36" t="str">
        <f>IFERROR(VLOOKUP('A2 (Öhdəliklər)'!K19,List!E:F,2,0),"")</f>
        <v/>
      </c>
      <c r="M19" s="1"/>
      <c r="N19" s="36" t="str">
        <f>IFERROR(VLOOKUP('A2 (Öhdəliklər)'!M19,List!M:N,2,0),"")</f>
        <v/>
      </c>
      <c r="O19" s="1"/>
      <c r="P19" s="36" t="str">
        <f>IFERROR(VLOOKUP('A2 (Öhdəliklər)'!O19,List!S:T,2,0),"")</f>
        <v/>
      </c>
      <c r="Q19" s="1"/>
      <c r="R19" s="36" t="str">
        <f>IFERROR(VLOOKUP('A2 (Öhdəliklər)'!Q19,List!K:L,2,0),"")</f>
        <v/>
      </c>
      <c r="S19" s="16"/>
      <c r="T19" s="16"/>
      <c r="U19" s="17"/>
      <c r="V19" s="17"/>
      <c r="W19" s="20"/>
      <c r="X19" s="18"/>
      <c r="Y19" s="1"/>
      <c r="Z19" s="36" t="str">
        <f>IFERROR(VLOOKUP('A2 (Öhdəliklər)'!Y19,List!O:P,2,0),"")</f>
        <v/>
      </c>
      <c r="AA19" s="19"/>
      <c r="AB19" s="19"/>
      <c r="AC19" s="37">
        <f t="shared" si="9"/>
        <v>0</v>
      </c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21"/>
      <c r="AZ19" s="36" t="str">
        <f>IFERROR(VLOOKUP('A2 (Öhdəliklər)'!AY19,List!Q:R,2,0),"")</f>
        <v/>
      </c>
      <c r="BA19" s="38">
        <f t="shared" si="10"/>
        <v>0</v>
      </c>
      <c r="BB19" s="38">
        <f t="shared" si="11"/>
        <v>0</v>
      </c>
      <c r="BC19" s="39">
        <f t="shared" si="12"/>
        <v>0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34"/>
      <c r="CA19" s="18"/>
      <c r="CB19" s="20"/>
      <c r="CC19" s="36" t="str">
        <f>IFERROR(VLOOKUP('A2 (Öhdəliklər)'!CB19,List!$Z$2:$AA$8,2,0),"")</f>
        <v/>
      </c>
      <c r="CD19" s="34"/>
    </row>
    <row r="20" spans="1:82" s="112" customFormat="1" ht="19.5" customHeight="1" x14ac:dyDescent="0.2">
      <c r="A20" s="111">
        <v>6</v>
      </c>
      <c r="B20" s="35" t="str">
        <f t="shared" si="8"/>
        <v/>
      </c>
      <c r="C20" s="32"/>
      <c r="D20" s="15"/>
      <c r="E20" s="1"/>
      <c r="F20" s="36" t="str">
        <f>IFERROR(VLOOKUP('A2 (Öhdəliklər)'!E20,List!A:B,2,0),"")</f>
        <v/>
      </c>
      <c r="G20" s="1"/>
      <c r="H20" s="36" t="str">
        <f>IFERROR(VLOOKUP('A2 (Öhdəliklər)'!G20,List!G:H,2,0),"")</f>
        <v/>
      </c>
      <c r="I20" s="1"/>
      <c r="J20" s="36" t="str">
        <f>IFERROR(VLOOKUP('A2 (Öhdəliklər)'!I20,List!C:D,2,0),"")</f>
        <v/>
      </c>
      <c r="K20" s="1"/>
      <c r="L20" s="36" t="str">
        <f>IFERROR(VLOOKUP('A2 (Öhdəliklər)'!K20,List!E:F,2,0),"")</f>
        <v/>
      </c>
      <c r="M20" s="1"/>
      <c r="N20" s="36" t="str">
        <f>IFERROR(VLOOKUP('A2 (Öhdəliklər)'!M20,List!M:N,2,0),"")</f>
        <v/>
      </c>
      <c r="O20" s="1"/>
      <c r="P20" s="36" t="str">
        <f>IFERROR(VLOOKUP('A2 (Öhdəliklər)'!O20,List!S:T,2,0),"")</f>
        <v/>
      </c>
      <c r="Q20" s="1"/>
      <c r="R20" s="36" t="str">
        <f>IFERROR(VLOOKUP('A2 (Öhdəliklər)'!Q20,List!K:L,2,0),"")</f>
        <v/>
      </c>
      <c r="S20" s="16"/>
      <c r="T20" s="16"/>
      <c r="U20" s="17"/>
      <c r="V20" s="17"/>
      <c r="W20" s="20"/>
      <c r="X20" s="18"/>
      <c r="Y20" s="1"/>
      <c r="Z20" s="36" t="str">
        <f>IFERROR(VLOOKUP('A2 (Öhdəliklər)'!Y20,List!O:P,2,0),"")</f>
        <v/>
      </c>
      <c r="AA20" s="19"/>
      <c r="AB20" s="19"/>
      <c r="AC20" s="37">
        <f t="shared" si="9"/>
        <v>0</v>
      </c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21"/>
      <c r="AZ20" s="36" t="str">
        <f>IFERROR(VLOOKUP('A2 (Öhdəliklər)'!AY20,List!Q:R,2,0),"")</f>
        <v/>
      </c>
      <c r="BA20" s="38">
        <f t="shared" si="10"/>
        <v>0</v>
      </c>
      <c r="BB20" s="38">
        <f t="shared" si="11"/>
        <v>0</v>
      </c>
      <c r="BC20" s="39">
        <f t="shared" si="12"/>
        <v>0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34"/>
      <c r="CA20" s="18"/>
      <c r="CB20" s="20"/>
      <c r="CC20" s="36" t="str">
        <f>IFERROR(VLOOKUP('A2 (Öhdəliklər)'!CB20,List!$Z$2:$AA$8,2,0),"")</f>
        <v/>
      </c>
      <c r="CD20" s="34"/>
    </row>
    <row r="21" spans="1:82" s="112" customFormat="1" ht="19.5" customHeight="1" x14ac:dyDescent="0.2">
      <c r="A21" s="111">
        <v>7</v>
      </c>
      <c r="B21" s="35" t="str">
        <f t="shared" si="8"/>
        <v/>
      </c>
      <c r="C21" s="32"/>
      <c r="D21" s="15"/>
      <c r="E21" s="1"/>
      <c r="F21" s="36" t="str">
        <f>IFERROR(VLOOKUP('A2 (Öhdəliklər)'!E21,List!A:B,2,0),"")</f>
        <v/>
      </c>
      <c r="G21" s="1"/>
      <c r="H21" s="36" t="str">
        <f>IFERROR(VLOOKUP('A2 (Öhdəliklər)'!G21,List!G:H,2,0),"")</f>
        <v/>
      </c>
      <c r="I21" s="1"/>
      <c r="J21" s="36" t="str">
        <f>IFERROR(VLOOKUP('A2 (Öhdəliklər)'!I21,List!C:D,2,0),"")</f>
        <v/>
      </c>
      <c r="K21" s="1"/>
      <c r="L21" s="36" t="str">
        <f>IFERROR(VLOOKUP('A2 (Öhdəliklər)'!K21,List!E:F,2,0),"")</f>
        <v/>
      </c>
      <c r="M21" s="1"/>
      <c r="N21" s="36" t="str">
        <f>IFERROR(VLOOKUP('A2 (Öhdəliklər)'!M21,List!M:N,2,0),"")</f>
        <v/>
      </c>
      <c r="O21" s="1"/>
      <c r="P21" s="36" t="str">
        <f>IFERROR(VLOOKUP('A2 (Öhdəliklər)'!O21,List!S:T,2,0),"")</f>
        <v/>
      </c>
      <c r="Q21" s="1"/>
      <c r="R21" s="36" t="str">
        <f>IFERROR(VLOOKUP('A2 (Öhdəliklər)'!Q21,List!K:L,2,0),"")</f>
        <v/>
      </c>
      <c r="S21" s="16"/>
      <c r="T21" s="16"/>
      <c r="U21" s="17"/>
      <c r="V21" s="17"/>
      <c r="W21" s="20"/>
      <c r="X21" s="18"/>
      <c r="Y21" s="1"/>
      <c r="Z21" s="36" t="str">
        <f>IFERROR(VLOOKUP('A2 (Öhdəliklər)'!Y21,List!O:P,2,0),"")</f>
        <v/>
      </c>
      <c r="AA21" s="19"/>
      <c r="AB21" s="19"/>
      <c r="AC21" s="37">
        <f t="shared" si="9"/>
        <v>0</v>
      </c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21"/>
      <c r="AZ21" s="36" t="str">
        <f>IFERROR(VLOOKUP('A2 (Öhdəliklər)'!AY21,List!Q:R,2,0),"")</f>
        <v/>
      </c>
      <c r="BA21" s="38">
        <f t="shared" si="10"/>
        <v>0</v>
      </c>
      <c r="BB21" s="38">
        <f t="shared" si="11"/>
        <v>0</v>
      </c>
      <c r="BC21" s="39">
        <f t="shared" si="12"/>
        <v>0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34"/>
      <c r="CA21" s="18"/>
      <c r="CB21" s="20"/>
      <c r="CC21" s="36" t="str">
        <f>IFERROR(VLOOKUP('A2 (Öhdəliklər)'!CB21,List!$Z$2:$AA$8,2,0),"")</f>
        <v/>
      </c>
      <c r="CD21" s="34"/>
    </row>
    <row r="22" spans="1:82" s="112" customFormat="1" ht="19.5" customHeight="1" x14ac:dyDescent="0.2">
      <c r="A22" s="111">
        <v>8</v>
      </c>
      <c r="B22" s="35" t="str">
        <f t="shared" si="8"/>
        <v/>
      </c>
      <c r="C22" s="32"/>
      <c r="D22" s="15"/>
      <c r="E22" s="1"/>
      <c r="F22" s="36" t="str">
        <f>IFERROR(VLOOKUP('A2 (Öhdəliklər)'!E22,List!A:B,2,0),"")</f>
        <v/>
      </c>
      <c r="G22" s="1"/>
      <c r="H22" s="36" t="str">
        <f>IFERROR(VLOOKUP('A2 (Öhdəliklər)'!G22,List!G:H,2,0),"")</f>
        <v/>
      </c>
      <c r="I22" s="1"/>
      <c r="J22" s="36" t="str">
        <f>IFERROR(VLOOKUP('A2 (Öhdəliklər)'!I22,List!C:D,2,0),"")</f>
        <v/>
      </c>
      <c r="K22" s="1"/>
      <c r="L22" s="36" t="str">
        <f>IFERROR(VLOOKUP('A2 (Öhdəliklər)'!K22,List!E:F,2,0),"")</f>
        <v/>
      </c>
      <c r="M22" s="1"/>
      <c r="N22" s="36" t="str">
        <f>IFERROR(VLOOKUP('A2 (Öhdəliklər)'!M22,List!M:N,2,0),"")</f>
        <v/>
      </c>
      <c r="O22" s="1"/>
      <c r="P22" s="36" t="str">
        <f>IFERROR(VLOOKUP('A2 (Öhdəliklər)'!O22,List!S:T,2,0),"")</f>
        <v/>
      </c>
      <c r="Q22" s="1"/>
      <c r="R22" s="36" t="str">
        <f>IFERROR(VLOOKUP('A2 (Öhdəliklər)'!Q22,List!K:L,2,0),"")</f>
        <v/>
      </c>
      <c r="S22" s="16"/>
      <c r="T22" s="16"/>
      <c r="U22" s="17"/>
      <c r="V22" s="17"/>
      <c r="W22" s="20"/>
      <c r="X22" s="18"/>
      <c r="Y22" s="1"/>
      <c r="Z22" s="36" t="str">
        <f>IFERROR(VLOOKUP('A2 (Öhdəliklər)'!Y22,List!O:P,2,0),"")</f>
        <v/>
      </c>
      <c r="AA22" s="19"/>
      <c r="AB22" s="19"/>
      <c r="AC22" s="37">
        <f t="shared" si="9"/>
        <v>0</v>
      </c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21"/>
      <c r="AZ22" s="36" t="str">
        <f>IFERROR(VLOOKUP('A2 (Öhdəliklər)'!AY22,List!Q:R,2,0),"")</f>
        <v/>
      </c>
      <c r="BA22" s="38">
        <f t="shared" si="10"/>
        <v>0</v>
      </c>
      <c r="BB22" s="38">
        <f t="shared" si="11"/>
        <v>0</v>
      </c>
      <c r="BC22" s="39">
        <f t="shared" si="12"/>
        <v>0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34"/>
      <c r="CA22" s="18"/>
      <c r="CB22" s="20"/>
      <c r="CC22" s="36" t="str">
        <f>IFERROR(VLOOKUP('A2 (Öhdəliklər)'!CB22,List!$Z$2:$AA$8,2,0),"")</f>
        <v/>
      </c>
      <c r="CD22" s="34"/>
    </row>
    <row r="23" spans="1:82" s="112" customFormat="1" ht="19.5" customHeight="1" x14ac:dyDescent="0.2">
      <c r="A23" s="111">
        <v>9</v>
      </c>
      <c r="B23" s="35" t="str">
        <f t="shared" si="8"/>
        <v/>
      </c>
      <c r="C23" s="32"/>
      <c r="D23" s="15"/>
      <c r="E23" s="1"/>
      <c r="F23" s="36" t="str">
        <f>IFERROR(VLOOKUP('A2 (Öhdəliklər)'!E23,List!A:B,2,0),"")</f>
        <v/>
      </c>
      <c r="G23" s="1"/>
      <c r="H23" s="36" t="str">
        <f>IFERROR(VLOOKUP('A2 (Öhdəliklər)'!G23,List!G:H,2,0),"")</f>
        <v/>
      </c>
      <c r="I23" s="1"/>
      <c r="J23" s="36" t="str">
        <f>IFERROR(VLOOKUP('A2 (Öhdəliklər)'!I23,List!C:D,2,0),"")</f>
        <v/>
      </c>
      <c r="K23" s="1"/>
      <c r="L23" s="36" t="str">
        <f>IFERROR(VLOOKUP('A2 (Öhdəliklər)'!K23,List!E:F,2,0),"")</f>
        <v/>
      </c>
      <c r="M23" s="1"/>
      <c r="N23" s="36" t="str">
        <f>IFERROR(VLOOKUP('A2 (Öhdəliklər)'!M23,List!M:N,2,0),"")</f>
        <v/>
      </c>
      <c r="O23" s="1"/>
      <c r="P23" s="36" t="str">
        <f>IFERROR(VLOOKUP('A2 (Öhdəliklər)'!O23,List!S:T,2,0),"")</f>
        <v/>
      </c>
      <c r="Q23" s="1"/>
      <c r="R23" s="36" t="str">
        <f>IFERROR(VLOOKUP('A2 (Öhdəliklər)'!Q23,List!K:L,2,0),"")</f>
        <v/>
      </c>
      <c r="S23" s="16"/>
      <c r="T23" s="16"/>
      <c r="U23" s="17"/>
      <c r="V23" s="17"/>
      <c r="W23" s="20"/>
      <c r="X23" s="18"/>
      <c r="Y23" s="1"/>
      <c r="Z23" s="36" t="str">
        <f>IFERROR(VLOOKUP('A2 (Öhdəliklər)'!Y23,List!O:P,2,0),"")</f>
        <v/>
      </c>
      <c r="AA23" s="19"/>
      <c r="AB23" s="19"/>
      <c r="AC23" s="37">
        <f t="shared" si="9"/>
        <v>0</v>
      </c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21"/>
      <c r="AZ23" s="36" t="str">
        <f>IFERROR(VLOOKUP('A2 (Öhdəliklər)'!AY23,List!Q:R,2,0),"")</f>
        <v/>
      </c>
      <c r="BA23" s="38">
        <f t="shared" si="10"/>
        <v>0</v>
      </c>
      <c r="BB23" s="38">
        <f t="shared" si="11"/>
        <v>0</v>
      </c>
      <c r="BC23" s="39">
        <f t="shared" si="12"/>
        <v>0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34"/>
      <c r="CA23" s="18"/>
      <c r="CB23" s="20"/>
      <c r="CC23" s="36" t="str">
        <f>IFERROR(VLOOKUP('A2 (Öhdəliklər)'!CB23,List!$Z$2:$AA$8,2,0),"")</f>
        <v/>
      </c>
      <c r="CD23" s="34"/>
    </row>
    <row r="24" spans="1:82" s="112" customFormat="1" ht="19.5" customHeight="1" x14ac:dyDescent="0.2">
      <c r="A24" s="111">
        <v>10</v>
      </c>
      <c r="B24" s="35" t="str">
        <f t="shared" si="8"/>
        <v/>
      </c>
      <c r="C24" s="32"/>
      <c r="D24" s="15"/>
      <c r="E24" s="1"/>
      <c r="F24" s="36" t="str">
        <f>IFERROR(VLOOKUP('A2 (Öhdəliklər)'!E24,List!A:B,2,0),"")</f>
        <v/>
      </c>
      <c r="G24" s="1"/>
      <c r="H24" s="36" t="str">
        <f>IFERROR(VLOOKUP('A2 (Öhdəliklər)'!G24,List!G:H,2,0),"")</f>
        <v/>
      </c>
      <c r="I24" s="1"/>
      <c r="J24" s="36" t="str">
        <f>IFERROR(VLOOKUP('A2 (Öhdəliklər)'!I24,List!C:D,2,0),"")</f>
        <v/>
      </c>
      <c r="K24" s="1"/>
      <c r="L24" s="36" t="str">
        <f>IFERROR(VLOOKUP('A2 (Öhdəliklər)'!K24,List!E:F,2,0),"")</f>
        <v/>
      </c>
      <c r="M24" s="1"/>
      <c r="N24" s="36" t="str">
        <f>IFERROR(VLOOKUP('A2 (Öhdəliklər)'!M24,List!M:N,2,0),"")</f>
        <v/>
      </c>
      <c r="O24" s="1"/>
      <c r="P24" s="36" t="str">
        <f>IFERROR(VLOOKUP('A2 (Öhdəliklər)'!O24,List!S:T,2,0),"")</f>
        <v/>
      </c>
      <c r="Q24" s="1"/>
      <c r="R24" s="36" t="str">
        <f>IFERROR(VLOOKUP('A2 (Öhdəliklər)'!Q24,List!K:L,2,0),"")</f>
        <v/>
      </c>
      <c r="S24" s="16"/>
      <c r="T24" s="16"/>
      <c r="U24" s="17"/>
      <c r="V24" s="17"/>
      <c r="W24" s="20"/>
      <c r="X24" s="18"/>
      <c r="Y24" s="1"/>
      <c r="Z24" s="36" t="str">
        <f>IFERROR(VLOOKUP('A2 (Öhdəliklər)'!Y24,List!O:P,2,0),"")</f>
        <v/>
      </c>
      <c r="AA24" s="19"/>
      <c r="AB24" s="19"/>
      <c r="AC24" s="37">
        <f t="shared" si="9"/>
        <v>0</v>
      </c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21"/>
      <c r="AZ24" s="36" t="str">
        <f>IFERROR(VLOOKUP('A2 (Öhdəliklər)'!AY24,List!Q:R,2,0),"")</f>
        <v/>
      </c>
      <c r="BA24" s="38">
        <f t="shared" si="10"/>
        <v>0</v>
      </c>
      <c r="BB24" s="38">
        <f t="shared" si="11"/>
        <v>0</v>
      </c>
      <c r="BC24" s="39">
        <f t="shared" si="12"/>
        <v>0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34"/>
      <c r="CA24" s="18"/>
      <c r="CB24" s="20"/>
      <c r="CC24" s="36" t="str">
        <f>IFERROR(VLOOKUP('A2 (Öhdəliklər)'!CB24,List!$Z$2:$AA$8,2,0),"")</f>
        <v/>
      </c>
      <c r="CD24" s="34"/>
    </row>
    <row r="25" spans="1:82" s="112" customFormat="1" ht="19.5" customHeight="1" x14ac:dyDescent="0.2">
      <c r="A25" s="111">
        <v>11</v>
      </c>
      <c r="B25" s="35" t="str">
        <f t="shared" si="8"/>
        <v/>
      </c>
      <c r="C25" s="32"/>
      <c r="D25" s="15"/>
      <c r="E25" s="1"/>
      <c r="F25" s="36" t="str">
        <f>IFERROR(VLOOKUP('A2 (Öhdəliklər)'!E25,List!A:B,2,0),"")</f>
        <v/>
      </c>
      <c r="G25" s="1"/>
      <c r="H25" s="36" t="str">
        <f>IFERROR(VLOOKUP('A2 (Öhdəliklər)'!G25,List!G:H,2,0),"")</f>
        <v/>
      </c>
      <c r="I25" s="1"/>
      <c r="J25" s="36" t="str">
        <f>IFERROR(VLOOKUP('A2 (Öhdəliklər)'!I25,List!C:D,2,0),"")</f>
        <v/>
      </c>
      <c r="K25" s="1"/>
      <c r="L25" s="36" t="str">
        <f>IFERROR(VLOOKUP('A2 (Öhdəliklər)'!K25,List!E:F,2,0),"")</f>
        <v/>
      </c>
      <c r="M25" s="1"/>
      <c r="N25" s="36" t="str">
        <f>IFERROR(VLOOKUP('A2 (Öhdəliklər)'!M25,List!M:N,2,0),"")</f>
        <v/>
      </c>
      <c r="O25" s="1"/>
      <c r="P25" s="36" t="str">
        <f>IFERROR(VLOOKUP('A2 (Öhdəliklər)'!O25,List!S:T,2,0),"")</f>
        <v/>
      </c>
      <c r="Q25" s="1"/>
      <c r="R25" s="36" t="str">
        <f>IFERROR(VLOOKUP('A2 (Öhdəliklər)'!Q25,List!K:L,2,0),"")</f>
        <v/>
      </c>
      <c r="S25" s="16"/>
      <c r="T25" s="16"/>
      <c r="U25" s="17"/>
      <c r="V25" s="17"/>
      <c r="W25" s="20"/>
      <c r="X25" s="18"/>
      <c r="Y25" s="1"/>
      <c r="Z25" s="36" t="str">
        <f>IFERROR(VLOOKUP('A2 (Öhdəliklər)'!Y25,List!O:P,2,0),"")</f>
        <v/>
      </c>
      <c r="AA25" s="19"/>
      <c r="AB25" s="19"/>
      <c r="AC25" s="37">
        <f t="shared" si="9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IFERROR(VLOOKUP('A2 (Öhdəliklər)'!AY25,List!Q:R,2,0),"")</f>
        <v/>
      </c>
      <c r="BA25" s="38">
        <f t="shared" si="10"/>
        <v>0</v>
      </c>
      <c r="BB25" s="38">
        <f t="shared" si="11"/>
        <v>0</v>
      </c>
      <c r="BC25" s="39">
        <f t="shared" si="12"/>
        <v>0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IFERROR(VLOOKUP('A2 (Öhdəliklər)'!CB25,List!$Z$2:$AA$8,2,0),"")</f>
        <v/>
      </c>
      <c r="CD25" s="34"/>
    </row>
    <row r="26" spans="1:82" s="112" customFormat="1" ht="19.5" customHeight="1" x14ac:dyDescent="0.2">
      <c r="A26" s="111">
        <v>12</v>
      </c>
      <c r="B26" s="35" t="str">
        <f t="shared" si="8"/>
        <v/>
      </c>
      <c r="C26" s="32"/>
      <c r="D26" s="15"/>
      <c r="E26" s="1"/>
      <c r="F26" s="36" t="str">
        <f>IFERROR(VLOOKUP('A2 (Öhdəliklər)'!E26,List!A:B,2,0),"")</f>
        <v/>
      </c>
      <c r="G26" s="1"/>
      <c r="H26" s="36" t="str">
        <f>IFERROR(VLOOKUP('A2 (Öhdəliklər)'!G26,List!G:H,2,0),"")</f>
        <v/>
      </c>
      <c r="I26" s="1"/>
      <c r="J26" s="36" t="str">
        <f>IFERROR(VLOOKUP('A2 (Öhdəliklər)'!I26,List!C:D,2,0),"")</f>
        <v/>
      </c>
      <c r="K26" s="1"/>
      <c r="L26" s="36" t="str">
        <f>IFERROR(VLOOKUP('A2 (Öhdəliklər)'!K26,List!E:F,2,0),"")</f>
        <v/>
      </c>
      <c r="M26" s="1"/>
      <c r="N26" s="36" t="str">
        <f>IFERROR(VLOOKUP('A2 (Öhdəliklər)'!M26,List!M:N,2,0),"")</f>
        <v/>
      </c>
      <c r="O26" s="1"/>
      <c r="P26" s="36" t="str">
        <f>IFERROR(VLOOKUP('A2 (Öhdəliklər)'!O26,List!S:T,2,0),"")</f>
        <v/>
      </c>
      <c r="Q26" s="1"/>
      <c r="R26" s="36" t="str">
        <f>IFERROR(VLOOKUP('A2 (Öhdəliklər)'!Q26,List!K:L,2,0),"")</f>
        <v/>
      </c>
      <c r="S26" s="16"/>
      <c r="T26" s="16"/>
      <c r="U26" s="17"/>
      <c r="V26" s="17"/>
      <c r="W26" s="20"/>
      <c r="X26" s="18"/>
      <c r="Y26" s="1"/>
      <c r="Z26" s="36" t="str">
        <f>IFERROR(VLOOKUP('A2 (Öhdəliklər)'!Y26,List!O:P,2,0),"")</f>
        <v/>
      </c>
      <c r="AA26" s="19"/>
      <c r="AB26" s="19"/>
      <c r="AC26" s="37">
        <f t="shared" si="9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IFERROR(VLOOKUP('A2 (Öhdəliklər)'!AY26,List!Q:R,2,0),"")</f>
        <v/>
      </c>
      <c r="BA26" s="38">
        <f t="shared" si="10"/>
        <v>0</v>
      </c>
      <c r="BB26" s="38">
        <f t="shared" si="11"/>
        <v>0</v>
      </c>
      <c r="BC26" s="39">
        <f t="shared" si="12"/>
        <v>0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IFERROR(VLOOKUP('A2 (Öhdəliklər)'!CB26,List!$Z$2:$AA$8,2,0),"")</f>
        <v/>
      </c>
      <c r="CD26" s="34"/>
    </row>
    <row r="27" spans="1:82" s="112" customFormat="1" ht="19.5" customHeight="1" x14ac:dyDescent="0.2">
      <c r="A27" s="111">
        <v>13</v>
      </c>
      <c r="B27" s="35" t="str">
        <f t="shared" si="8"/>
        <v/>
      </c>
      <c r="C27" s="32"/>
      <c r="D27" s="15"/>
      <c r="E27" s="1"/>
      <c r="F27" s="36" t="str">
        <f>IFERROR(VLOOKUP('A2 (Öhdəliklər)'!E27,List!A:B,2,0),"")</f>
        <v/>
      </c>
      <c r="G27" s="1"/>
      <c r="H27" s="36" t="str">
        <f>IFERROR(VLOOKUP('A2 (Öhdəliklər)'!G27,List!G:H,2,0),"")</f>
        <v/>
      </c>
      <c r="I27" s="1"/>
      <c r="J27" s="36" t="str">
        <f>IFERROR(VLOOKUP('A2 (Öhdəliklər)'!I27,List!C:D,2,0),"")</f>
        <v/>
      </c>
      <c r="K27" s="1"/>
      <c r="L27" s="36" t="str">
        <f>IFERROR(VLOOKUP('A2 (Öhdəliklər)'!K27,List!E:F,2,0),"")</f>
        <v/>
      </c>
      <c r="M27" s="1"/>
      <c r="N27" s="36" t="str">
        <f>IFERROR(VLOOKUP('A2 (Öhdəliklər)'!M27,List!M:N,2,0),"")</f>
        <v/>
      </c>
      <c r="O27" s="1"/>
      <c r="P27" s="36" t="str">
        <f>IFERROR(VLOOKUP('A2 (Öhdəliklər)'!O27,List!S:T,2,0),"")</f>
        <v/>
      </c>
      <c r="Q27" s="1"/>
      <c r="R27" s="36" t="str">
        <f>IFERROR(VLOOKUP('A2 (Öhdəliklər)'!Q27,List!K:L,2,0),"")</f>
        <v/>
      </c>
      <c r="S27" s="16"/>
      <c r="T27" s="16"/>
      <c r="U27" s="17"/>
      <c r="V27" s="17"/>
      <c r="W27" s="20"/>
      <c r="X27" s="18"/>
      <c r="Y27" s="1"/>
      <c r="Z27" s="36" t="str">
        <f>IFERROR(VLOOKUP('A2 (Öhdəliklər)'!Y27,List!O:P,2,0),"")</f>
        <v/>
      </c>
      <c r="AA27" s="19"/>
      <c r="AB27" s="19"/>
      <c r="AC27" s="37">
        <f t="shared" si="9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IFERROR(VLOOKUP('A2 (Öhdəliklər)'!AY27,List!Q:R,2,0),"")</f>
        <v/>
      </c>
      <c r="BA27" s="38">
        <f t="shared" si="10"/>
        <v>0</v>
      </c>
      <c r="BB27" s="38">
        <f t="shared" si="11"/>
        <v>0</v>
      </c>
      <c r="BC27" s="39">
        <f t="shared" si="12"/>
        <v>0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IFERROR(VLOOKUP('A2 (Öhdəliklər)'!CB27,List!$Z$2:$AA$8,2,0),"")</f>
        <v/>
      </c>
      <c r="CD27" s="34"/>
    </row>
    <row r="28" spans="1:82" s="112" customFormat="1" ht="19.5" customHeight="1" x14ac:dyDescent="0.2">
      <c r="A28" s="111">
        <v>14</v>
      </c>
      <c r="B28" s="35" t="str">
        <f t="shared" si="8"/>
        <v/>
      </c>
      <c r="C28" s="32"/>
      <c r="D28" s="15"/>
      <c r="E28" s="1"/>
      <c r="F28" s="36" t="str">
        <f>IFERROR(VLOOKUP('A2 (Öhdəliklər)'!E28,List!A:B,2,0),"")</f>
        <v/>
      </c>
      <c r="G28" s="1"/>
      <c r="H28" s="36" t="str">
        <f>IFERROR(VLOOKUP('A2 (Öhdəliklər)'!G28,List!G:H,2,0),"")</f>
        <v/>
      </c>
      <c r="I28" s="1"/>
      <c r="J28" s="36" t="str">
        <f>IFERROR(VLOOKUP('A2 (Öhdəliklər)'!I28,List!C:D,2,0),"")</f>
        <v/>
      </c>
      <c r="K28" s="1"/>
      <c r="L28" s="36" t="str">
        <f>IFERROR(VLOOKUP('A2 (Öhdəliklər)'!K28,List!E:F,2,0),"")</f>
        <v/>
      </c>
      <c r="M28" s="1"/>
      <c r="N28" s="36" t="str">
        <f>IFERROR(VLOOKUP('A2 (Öhdəliklər)'!M28,List!M:N,2,0),"")</f>
        <v/>
      </c>
      <c r="O28" s="1"/>
      <c r="P28" s="36" t="str">
        <f>IFERROR(VLOOKUP('A2 (Öhdəliklər)'!O28,List!S:T,2,0),"")</f>
        <v/>
      </c>
      <c r="Q28" s="1"/>
      <c r="R28" s="36" t="str">
        <f>IFERROR(VLOOKUP('A2 (Öhdəliklər)'!Q28,List!K:L,2,0),"")</f>
        <v/>
      </c>
      <c r="S28" s="16"/>
      <c r="T28" s="16"/>
      <c r="U28" s="17"/>
      <c r="V28" s="17"/>
      <c r="W28" s="20"/>
      <c r="X28" s="18"/>
      <c r="Y28" s="1"/>
      <c r="Z28" s="36" t="str">
        <f>IFERROR(VLOOKUP('A2 (Öhdəliklər)'!Y28,List!O:P,2,0),"")</f>
        <v/>
      </c>
      <c r="AA28" s="19"/>
      <c r="AB28" s="19"/>
      <c r="AC28" s="37">
        <f t="shared" si="9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IFERROR(VLOOKUP('A2 (Öhdəliklər)'!AY28,List!Q:R,2,0),"")</f>
        <v/>
      </c>
      <c r="BA28" s="38">
        <f t="shared" si="10"/>
        <v>0</v>
      </c>
      <c r="BB28" s="38">
        <f t="shared" si="11"/>
        <v>0</v>
      </c>
      <c r="BC28" s="39">
        <f t="shared" si="12"/>
        <v>0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IFERROR(VLOOKUP('A2 (Öhdəliklər)'!CB28,List!$Z$2:$AA$8,2,0),"")</f>
        <v/>
      </c>
      <c r="CD28" s="34"/>
    </row>
    <row r="29" spans="1:82" s="112" customFormat="1" ht="19.5" customHeight="1" x14ac:dyDescent="0.2">
      <c r="A29" s="111">
        <v>15</v>
      </c>
      <c r="B29" s="35" t="str">
        <f t="shared" si="8"/>
        <v/>
      </c>
      <c r="C29" s="32"/>
      <c r="D29" s="15"/>
      <c r="E29" s="1"/>
      <c r="F29" s="36" t="str">
        <f>IFERROR(VLOOKUP('A2 (Öhdəliklər)'!E29,List!A:B,2,0),"")</f>
        <v/>
      </c>
      <c r="G29" s="1"/>
      <c r="H29" s="36" t="str">
        <f>IFERROR(VLOOKUP('A2 (Öhdəliklər)'!G29,List!G:H,2,0),"")</f>
        <v/>
      </c>
      <c r="I29" s="1"/>
      <c r="J29" s="36" t="str">
        <f>IFERROR(VLOOKUP('A2 (Öhdəliklər)'!I29,List!C:D,2,0),"")</f>
        <v/>
      </c>
      <c r="K29" s="1"/>
      <c r="L29" s="36" t="str">
        <f>IFERROR(VLOOKUP('A2 (Öhdəliklər)'!K29,List!E:F,2,0),"")</f>
        <v/>
      </c>
      <c r="M29" s="1"/>
      <c r="N29" s="36" t="str">
        <f>IFERROR(VLOOKUP('A2 (Öhdəliklər)'!M29,List!M:N,2,0),"")</f>
        <v/>
      </c>
      <c r="O29" s="1"/>
      <c r="P29" s="36" t="str">
        <f>IFERROR(VLOOKUP('A2 (Öhdəliklər)'!O29,List!S:T,2,0),"")</f>
        <v/>
      </c>
      <c r="Q29" s="1"/>
      <c r="R29" s="36" t="str">
        <f>IFERROR(VLOOKUP('A2 (Öhdəliklər)'!Q29,List!K:L,2,0),"")</f>
        <v/>
      </c>
      <c r="S29" s="16"/>
      <c r="T29" s="16"/>
      <c r="U29" s="17"/>
      <c r="V29" s="17"/>
      <c r="W29" s="20"/>
      <c r="X29" s="18"/>
      <c r="Y29" s="1"/>
      <c r="Z29" s="36" t="str">
        <f>IFERROR(VLOOKUP('A2 (Öhdəliklər)'!Y29,List!O:P,2,0),"")</f>
        <v/>
      </c>
      <c r="AA29" s="19"/>
      <c r="AB29" s="19"/>
      <c r="AC29" s="37">
        <f t="shared" si="9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IFERROR(VLOOKUP('A2 (Öhdəliklər)'!AY29,List!Q:R,2,0),"")</f>
        <v/>
      </c>
      <c r="BA29" s="38">
        <f t="shared" si="10"/>
        <v>0</v>
      </c>
      <c r="BB29" s="38">
        <f t="shared" si="11"/>
        <v>0</v>
      </c>
      <c r="BC29" s="39">
        <f t="shared" si="12"/>
        <v>0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IFERROR(VLOOKUP('A2 (Öhdəliklər)'!CB29,List!$Z$2:$AA$8,2,0),"")</f>
        <v/>
      </c>
      <c r="CD29" s="34"/>
    </row>
    <row r="30" spans="1:82" s="112" customFormat="1" ht="19.5" customHeight="1" x14ac:dyDescent="0.2">
      <c r="A30" s="111">
        <v>16</v>
      </c>
      <c r="B30" s="35" t="str">
        <f t="shared" si="8"/>
        <v/>
      </c>
      <c r="C30" s="32"/>
      <c r="D30" s="15"/>
      <c r="E30" s="1"/>
      <c r="F30" s="36" t="str">
        <f>IFERROR(VLOOKUP('A2 (Öhdəliklər)'!E30,List!A:B,2,0),"")</f>
        <v/>
      </c>
      <c r="G30" s="1"/>
      <c r="H30" s="36" t="str">
        <f>IFERROR(VLOOKUP('A2 (Öhdəliklər)'!G30,List!G:H,2,0),"")</f>
        <v/>
      </c>
      <c r="I30" s="1"/>
      <c r="J30" s="36" t="str">
        <f>IFERROR(VLOOKUP('A2 (Öhdəliklər)'!I30,List!C:D,2,0),"")</f>
        <v/>
      </c>
      <c r="K30" s="1"/>
      <c r="L30" s="36" t="str">
        <f>IFERROR(VLOOKUP('A2 (Öhdəliklər)'!K30,List!E:F,2,0),"")</f>
        <v/>
      </c>
      <c r="M30" s="1"/>
      <c r="N30" s="36" t="str">
        <f>IFERROR(VLOOKUP('A2 (Öhdəliklər)'!M30,List!M:N,2,0),"")</f>
        <v/>
      </c>
      <c r="O30" s="1"/>
      <c r="P30" s="36" t="str">
        <f>IFERROR(VLOOKUP('A2 (Öhdəliklər)'!O30,List!S:T,2,0),"")</f>
        <v/>
      </c>
      <c r="Q30" s="1"/>
      <c r="R30" s="36" t="str">
        <f>IFERROR(VLOOKUP('A2 (Öhdəliklər)'!Q30,List!K:L,2,0),"")</f>
        <v/>
      </c>
      <c r="S30" s="16"/>
      <c r="T30" s="16"/>
      <c r="U30" s="17"/>
      <c r="V30" s="17"/>
      <c r="W30" s="20"/>
      <c r="X30" s="18"/>
      <c r="Y30" s="1"/>
      <c r="Z30" s="36" t="str">
        <f>IFERROR(VLOOKUP('A2 (Öhdəliklər)'!Y30,List!O:P,2,0),"")</f>
        <v/>
      </c>
      <c r="AA30" s="19"/>
      <c r="AB30" s="19"/>
      <c r="AC30" s="37">
        <f t="shared" si="9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IFERROR(VLOOKUP('A2 (Öhdəliklər)'!AY30,List!Q:R,2,0),"")</f>
        <v/>
      </c>
      <c r="BA30" s="38">
        <f t="shared" si="10"/>
        <v>0</v>
      </c>
      <c r="BB30" s="38">
        <f t="shared" si="11"/>
        <v>0</v>
      </c>
      <c r="BC30" s="39">
        <f t="shared" si="12"/>
        <v>0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IFERROR(VLOOKUP('A2 (Öhdəliklər)'!CB30,List!$Z$2:$AA$8,2,0),"")</f>
        <v/>
      </c>
      <c r="CD30" s="34"/>
    </row>
    <row r="31" spans="1:82" s="112" customFormat="1" ht="19.5" customHeight="1" x14ac:dyDescent="0.2">
      <c r="A31" s="111">
        <v>17</v>
      </c>
      <c r="B31" s="35" t="str">
        <f t="shared" si="8"/>
        <v/>
      </c>
      <c r="C31" s="32"/>
      <c r="D31" s="15"/>
      <c r="E31" s="1"/>
      <c r="F31" s="36" t="str">
        <f>IFERROR(VLOOKUP('A2 (Öhdəliklər)'!E31,List!A:B,2,0),"")</f>
        <v/>
      </c>
      <c r="G31" s="1"/>
      <c r="H31" s="36" t="str">
        <f>IFERROR(VLOOKUP('A2 (Öhdəliklər)'!G31,List!G:H,2,0),"")</f>
        <v/>
      </c>
      <c r="I31" s="1"/>
      <c r="J31" s="36" t="str">
        <f>IFERROR(VLOOKUP('A2 (Öhdəliklər)'!I31,List!C:D,2,0),"")</f>
        <v/>
      </c>
      <c r="K31" s="1"/>
      <c r="L31" s="36" t="str">
        <f>IFERROR(VLOOKUP('A2 (Öhdəliklər)'!K31,List!E:F,2,0),"")</f>
        <v/>
      </c>
      <c r="M31" s="1"/>
      <c r="N31" s="36" t="str">
        <f>IFERROR(VLOOKUP('A2 (Öhdəliklər)'!M31,List!M:N,2,0),"")</f>
        <v/>
      </c>
      <c r="O31" s="1"/>
      <c r="P31" s="36" t="str">
        <f>IFERROR(VLOOKUP('A2 (Öhdəliklər)'!O31,List!S:T,2,0),"")</f>
        <v/>
      </c>
      <c r="Q31" s="1"/>
      <c r="R31" s="36" t="str">
        <f>IFERROR(VLOOKUP('A2 (Öhdəliklər)'!Q31,List!K:L,2,0),"")</f>
        <v/>
      </c>
      <c r="S31" s="16"/>
      <c r="T31" s="16"/>
      <c r="U31" s="17"/>
      <c r="V31" s="17"/>
      <c r="W31" s="20"/>
      <c r="X31" s="18"/>
      <c r="Y31" s="1"/>
      <c r="Z31" s="36" t="str">
        <f>IFERROR(VLOOKUP('A2 (Öhdəliklər)'!Y31,List!O:P,2,0),"")</f>
        <v/>
      </c>
      <c r="AA31" s="19"/>
      <c r="AB31" s="19"/>
      <c r="AC31" s="37">
        <f t="shared" si="9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IFERROR(VLOOKUP('A2 (Öhdəliklər)'!AY31,List!Q:R,2,0),"")</f>
        <v/>
      </c>
      <c r="BA31" s="38">
        <f t="shared" si="10"/>
        <v>0</v>
      </c>
      <c r="BB31" s="38">
        <f t="shared" si="11"/>
        <v>0</v>
      </c>
      <c r="BC31" s="39">
        <f t="shared" si="12"/>
        <v>0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IFERROR(VLOOKUP('A2 (Öhdəliklər)'!CB31,List!$Z$2:$AA$8,2,0),"")</f>
        <v/>
      </c>
      <c r="CD31" s="34"/>
    </row>
    <row r="32" spans="1:82" s="112" customFormat="1" ht="19.5" customHeight="1" x14ac:dyDescent="0.2">
      <c r="A32" s="111">
        <v>18</v>
      </c>
      <c r="B32" s="35" t="str">
        <f t="shared" si="8"/>
        <v/>
      </c>
      <c r="C32" s="32"/>
      <c r="D32" s="15"/>
      <c r="E32" s="1"/>
      <c r="F32" s="36" t="str">
        <f>IFERROR(VLOOKUP('A2 (Öhdəliklər)'!E32,List!A:B,2,0),"")</f>
        <v/>
      </c>
      <c r="G32" s="1"/>
      <c r="H32" s="36" t="str">
        <f>IFERROR(VLOOKUP('A2 (Öhdəliklər)'!G32,List!G:H,2,0),"")</f>
        <v/>
      </c>
      <c r="I32" s="1"/>
      <c r="J32" s="36" t="str">
        <f>IFERROR(VLOOKUP('A2 (Öhdəliklər)'!I32,List!C:D,2,0),"")</f>
        <v/>
      </c>
      <c r="K32" s="1"/>
      <c r="L32" s="36" t="str">
        <f>IFERROR(VLOOKUP('A2 (Öhdəliklər)'!K32,List!E:F,2,0),"")</f>
        <v/>
      </c>
      <c r="M32" s="1"/>
      <c r="N32" s="36" t="str">
        <f>IFERROR(VLOOKUP('A2 (Öhdəliklər)'!M32,List!M:N,2,0),"")</f>
        <v/>
      </c>
      <c r="O32" s="1"/>
      <c r="P32" s="36" t="str">
        <f>IFERROR(VLOOKUP('A2 (Öhdəliklər)'!O32,List!S:T,2,0),"")</f>
        <v/>
      </c>
      <c r="Q32" s="1"/>
      <c r="R32" s="36" t="str">
        <f>IFERROR(VLOOKUP('A2 (Öhdəliklər)'!Q32,List!K:L,2,0),"")</f>
        <v/>
      </c>
      <c r="S32" s="16"/>
      <c r="T32" s="16"/>
      <c r="U32" s="17"/>
      <c r="V32" s="17"/>
      <c r="W32" s="20"/>
      <c r="X32" s="18"/>
      <c r="Y32" s="1"/>
      <c r="Z32" s="36" t="str">
        <f>IFERROR(VLOOKUP('A2 (Öhdəliklər)'!Y32,List!O:P,2,0),"")</f>
        <v/>
      </c>
      <c r="AA32" s="19"/>
      <c r="AB32" s="19"/>
      <c r="AC32" s="37">
        <f t="shared" si="9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IFERROR(VLOOKUP('A2 (Öhdəliklər)'!AY32,List!Q:R,2,0),"")</f>
        <v/>
      </c>
      <c r="BA32" s="38">
        <f t="shared" si="10"/>
        <v>0</v>
      </c>
      <c r="BB32" s="38">
        <f t="shared" si="11"/>
        <v>0</v>
      </c>
      <c r="BC32" s="39">
        <f t="shared" si="12"/>
        <v>0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IFERROR(VLOOKUP('A2 (Öhdəliklər)'!CB32,List!$Z$2:$AA$8,2,0),"")</f>
        <v/>
      </c>
      <c r="CD32" s="34"/>
    </row>
    <row r="33" spans="1:82" s="112" customFormat="1" ht="19.5" customHeight="1" x14ac:dyDescent="0.2">
      <c r="A33" s="111">
        <v>19</v>
      </c>
      <c r="B33" s="35" t="str">
        <f t="shared" si="8"/>
        <v/>
      </c>
      <c r="C33" s="32"/>
      <c r="D33" s="15"/>
      <c r="E33" s="1"/>
      <c r="F33" s="36" t="str">
        <f>IFERROR(VLOOKUP('A2 (Öhdəliklər)'!E33,List!A:B,2,0),"")</f>
        <v/>
      </c>
      <c r="G33" s="1"/>
      <c r="H33" s="36" t="str">
        <f>IFERROR(VLOOKUP('A2 (Öhdəliklər)'!G33,List!G:H,2,0),"")</f>
        <v/>
      </c>
      <c r="I33" s="1"/>
      <c r="J33" s="36" t="str">
        <f>IFERROR(VLOOKUP('A2 (Öhdəliklər)'!I33,List!C:D,2,0),"")</f>
        <v/>
      </c>
      <c r="K33" s="1"/>
      <c r="L33" s="36" t="str">
        <f>IFERROR(VLOOKUP('A2 (Öhdəliklər)'!K33,List!E:F,2,0),"")</f>
        <v/>
      </c>
      <c r="M33" s="1"/>
      <c r="N33" s="36" t="str">
        <f>IFERROR(VLOOKUP('A2 (Öhdəliklər)'!M33,List!M:N,2,0),"")</f>
        <v/>
      </c>
      <c r="O33" s="1"/>
      <c r="P33" s="36" t="str">
        <f>IFERROR(VLOOKUP('A2 (Öhdəliklər)'!O33,List!S:T,2,0),"")</f>
        <v/>
      </c>
      <c r="Q33" s="1"/>
      <c r="R33" s="36" t="str">
        <f>IFERROR(VLOOKUP('A2 (Öhdəliklər)'!Q33,List!K:L,2,0),"")</f>
        <v/>
      </c>
      <c r="S33" s="16"/>
      <c r="T33" s="16"/>
      <c r="U33" s="17"/>
      <c r="V33" s="17"/>
      <c r="W33" s="20"/>
      <c r="X33" s="18"/>
      <c r="Y33" s="1"/>
      <c r="Z33" s="36" t="str">
        <f>IFERROR(VLOOKUP('A2 (Öhdəliklər)'!Y33,List!O:P,2,0),"")</f>
        <v/>
      </c>
      <c r="AA33" s="19"/>
      <c r="AB33" s="19"/>
      <c r="AC33" s="37">
        <f t="shared" si="9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IFERROR(VLOOKUP('A2 (Öhdəliklər)'!AY33,List!Q:R,2,0),"")</f>
        <v/>
      </c>
      <c r="BA33" s="38">
        <f t="shared" si="10"/>
        <v>0</v>
      </c>
      <c r="BB33" s="38">
        <f t="shared" si="11"/>
        <v>0</v>
      </c>
      <c r="BC33" s="39">
        <f t="shared" si="12"/>
        <v>0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IFERROR(VLOOKUP('A2 (Öhdəliklər)'!CB33,List!$Z$2:$AA$8,2,0),"")</f>
        <v/>
      </c>
      <c r="CD33" s="34"/>
    </row>
    <row r="34" spans="1:82" s="112" customFormat="1" ht="19.5" customHeight="1" x14ac:dyDescent="0.2">
      <c r="A34" s="111">
        <v>20</v>
      </c>
      <c r="B34" s="35" t="str">
        <f t="shared" si="8"/>
        <v/>
      </c>
      <c r="C34" s="32"/>
      <c r="D34" s="15"/>
      <c r="E34" s="1"/>
      <c r="F34" s="36" t="str">
        <f>IFERROR(VLOOKUP('A2 (Öhdəliklər)'!E34,List!A:B,2,0),"")</f>
        <v/>
      </c>
      <c r="G34" s="1"/>
      <c r="H34" s="36" t="str">
        <f>IFERROR(VLOOKUP('A2 (Öhdəliklər)'!G34,List!G:H,2,0),"")</f>
        <v/>
      </c>
      <c r="I34" s="1"/>
      <c r="J34" s="36" t="str">
        <f>IFERROR(VLOOKUP('A2 (Öhdəliklər)'!I34,List!C:D,2,0),"")</f>
        <v/>
      </c>
      <c r="K34" s="1"/>
      <c r="L34" s="36" t="str">
        <f>IFERROR(VLOOKUP('A2 (Öhdəliklər)'!K34,List!E:F,2,0),"")</f>
        <v/>
      </c>
      <c r="M34" s="1"/>
      <c r="N34" s="36" t="str">
        <f>IFERROR(VLOOKUP('A2 (Öhdəliklər)'!M34,List!M:N,2,0),"")</f>
        <v/>
      </c>
      <c r="O34" s="1"/>
      <c r="P34" s="36" t="str">
        <f>IFERROR(VLOOKUP('A2 (Öhdəliklər)'!O34,List!S:T,2,0),"")</f>
        <v/>
      </c>
      <c r="Q34" s="1"/>
      <c r="R34" s="36" t="str">
        <f>IFERROR(VLOOKUP('A2 (Öhdəliklər)'!Q34,List!K:L,2,0),"")</f>
        <v/>
      </c>
      <c r="S34" s="16"/>
      <c r="T34" s="16"/>
      <c r="U34" s="17"/>
      <c r="V34" s="17"/>
      <c r="W34" s="20"/>
      <c r="X34" s="18"/>
      <c r="Y34" s="1"/>
      <c r="Z34" s="36" t="str">
        <f>IFERROR(VLOOKUP('A2 (Öhdəliklər)'!Y34,List!O:P,2,0),"")</f>
        <v/>
      </c>
      <c r="AA34" s="19"/>
      <c r="AB34" s="19"/>
      <c r="AC34" s="37">
        <f t="shared" si="9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IFERROR(VLOOKUP('A2 (Öhdəliklər)'!AY34,List!Q:R,2,0),"")</f>
        <v/>
      </c>
      <c r="BA34" s="38">
        <f t="shared" si="10"/>
        <v>0</v>
      </c>
      <c r="BB34" s="38">
        <f t="shared" si="11"/>
        <v>0</v>
      </c>
      <c r="BC34" s="39">
        <f t="shared" si="12"/>
        <v>0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IFERROR(VLOOKUP('A2 (Öhdəliklər)'!CB34,List!$Z$2:$AA$8,2,0),"")</f>
        <v/>
      </c>
      <c r="CD34" s="34"/>
    </row>
    <row r="35" spans="1:82" s="112" customFormat="1" ht="19.5" customHeight="1" x14ac:dyDescent="0.2">
      <c r="A35" s="111">
        <v>21</v>
      </c>
      <c r="B35" s="35" t="str">
        <f t="shared" si="8"/>
        <v/>
      </c>
      <c r="C35" s="32"/>
      <c r="D35" s="15"/>
      <c r="E35" s="1"/>
      <c r="F35" s="36" t="str">
        <f>IFERROR(VLOOKUP('A2 (Öhdəliklər)'!E35,List!A:B,2,0),"")</f>
        <v/>
      </c>
      <c r="G35" s="1"/>
      <c r="H35" s="36" t="str">
        <f>IFERROR(VLOOKUP('A2 (Öhdəliklər)'!G35,List!G:H,2,0),"")</f>
        <v/>
      </c>
      <c r="I35" s="1"/>
      <c r="J35" s="36" t="str">
        <f>IFERROR(VLOOKUP('A2 (Öhdəliklər)'!I35,List!C:D,2,0),"")</f>
        <v/>
      </c>
      <c r="K35" s="1"/>
      <c r="L35" s="36" t="str">
        <f>IFERROR(VLOOKUP('A2 (Öhdəliklər)'!K35,List!E:F,2,0),"")</f>
        <v/>
      </c>
      <c r="M35" s="1"/>
      <c r="N35" s="36" t="str">
        <f>IFERROR(VLOOKUP('A2 (Öhdəliklər)'!M35,List!M:N,2,0),"")</f>
        <v/>
      </c>
      <c r="O35" s="1"/>
      <c r="P35" s="36" t="str">
        <f>IFERROR(VLOOKUP('A2 (Öhdəliklər)'!O35,List!S:T,2,0),"")</f>
        <v/>
      </c>
      <c r="Q35" s="1"/>
      <c r="R35" s="36" t="str">
        <f>IFERROR(VLOOKUP('A2 (Öhdəliklər)'!Q35,List!K:L,2,0),"")</f>
        <v/>
      </c>
      <c r="S35" s="16"/>
      <c r="T35" s="16"/>
      <c r="U35" s="17"/>
      <c r="V35" s="17"/>
      <c r="W35" s="20"/>
      <c r="X35" s="18"/>
      <c r="Y35" s="1"/>
      <c r="Z35" s="36" t="str">
        <f>IFERROR(VLOOKUP('A2 (Öhdəliklər)'!Y35,List!O:P,2,0),"")</f>
        <v/>
      </c>
      <c r="AA35" s="19"/>
      <c r="AB35" s="19"/>
      <c r="AC35" s="37">
        <f t="shared" si="9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IFERROR(VLOOKUP('A2 (Öhdəliklər)'!AY35,List!Q:R,2,0),"")</f>
        <v/>
      </c>
      <c r="BA35" s="38">
        <f t="shared" si="10"/>
        <v>0</v>
      </c>
      <c r="BB35" s="38">
        <f t="shared" si="11"/>
        <v>0</v>
      </c>
      <c r="BC35" s="39">
        <f t="shared" si="12"/>
        <v>0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IFERROR(VLOOKUP('A2 (Öhdəliklər)'!CB35,List!$Z$2:$AA$8,2,0),"")</f>
        <v/>
      </c>
      <c r="CD35" s="34"/>
    </row>
    <row r="36" spans="1:82" s="112" customFormat="1" ht="19.5" customHeight="1" x14ac:dyDescent="0.2">
      <c r="A36" s="111">
        <v>22</v>
      </c>
      <c r="B36" s="35" t="str">
        <f t="shared" si="8"/>
        <v/>
      </c>
      <c r="C36" s="32"/>
      <c r="D36" s="15"/>
      <c r="E36" s="1"/>
      <c r="F36" s="36" t="str">
        <f>IFERROR(VLOOKUP('A2 (Öhdəliklər)'!E36,List!A:B,2,0),"")</f>
        <v/>
      </c>
      <c r="G36" s="1"/>
      <c r="H36" s="36" t="str">
        <f>IFERROR(VLOOKUP('A2 (Öhdəliklər)'!G36,List!G:H,2,0),"")</f>
        <v/>
      </c>
      <c r="I36" s="1"/>
      <c r="J36" s="36" t="str">
        <f>IFERROR(VLOOKUP('A2 (Öhdəliklər)'!I36,List!C:D,2,0),"")</f>
        <v/>
      </c>
      <c r="K36" s="1"/>
      <c r="L36" s="36" t="str">
        <f>IFERROR(VLOOKUP('A2 (Öhdəliklər)'!K36,List!E:F,2,0),"")</f>
        <v/>
      </c>
      <c r="M36" s="1"/>
      <c r="N36" s="36" t="str">
        <f>IFERROR(VLOOKUP('A2 (Öhdəliklər)'!M36,List!M:N,2,0),"")</f>
        <v/>
      </c>
      <c r="O36" s="1"/>
      <c r="P36" s="36" t="str">
        <f>IFERROR(VLOOKUP('A2 (Öhdəliklər)'!O36,List!S:T,2,0),"")</f>
        <v/>
      </c>
      <c r="Q36" s="1"/>
      <c r="R36" s="36" t="str">
        <f>IFERROR(VLOOKUP('A2 (Öhdəliklər)'!Q36,List!K:L,2,0),"")</f>
        <v/>
      </c>
      <c r="S36" s="16"/>
      <c r="T36" s="16"/>
      <c r="U36" s="17"/>
      <c r="V36" s="17"/>
      <c r="W36" s="20"/>
      <c r="X36" s="18"/>
      <c r="Y36" s="1"/>
      <c r="Z36" s="36" t="str">
        <f>IFERROR(VLOOKUP('A2 (Öhdəliklər)'!Y36,List!O:P,2,0),"")</f>
        <v/>
      </c>
      <c r="AA36" s="19"/>
      <c r="AB36" s="19"/>
      <c r="AC36" s="37">
        <f t="shared" si="9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IFERROR(VLOOKUP('A2 (Öhdəliklər)'!AY36,List!Q:R,2,0),"")</f>
        <v/>
      </c>
      <c r="BA36" s="38">
        <f t="shared" si="10"/>
        <v>0</v>
      </c>
      <c r="BB36" s="38">
        <f t="shared" si="11"/>
        <v>0</v>
      </c>
      <c r="BC36" s="39">
        <f t="shared" si="12"/>
        <v>0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IFERROR(VLOOKUP('A2 (Öhdəliklər)'!CB36,List!$Z$2:$AA$8,2,0),"")</f>
        <v/>
      </c>
      <c r="CD36" s="34"/>
    </row>
    <row r="37" spans="1:82" s="112" customFormat="1" ht="19.5" customHeight="1" x14ac:dyDescent="0.2">
      <c r="A37" s="111">
        <v>23</v>
      </c>
      <c r="B37" s="35" t="str">
        <f t="shared" si="8"/>
        <v/>
      </c>
      <c r="C37" s="32"/>
      <c r="D37" s="15"/>
      <c r="E37" s="1"/>
      <c r="F37" s="36" t="str">
        <f>IFERROR(VLOOKUP('A2 (Öhdəliklər)'!E37,List!A:B,2,0),"")</f>
        <v/>
      </c>
      <c r="G37" s="1"/>
      <c r="H37" s="36" t="str">
        <f>IFERROR(VLOOKUP('A2 (Öhdəliklər)'!G37,List!G:H,2,0),"")</f>
        <v/>
      </c>
      <c r="I37" s="1"/>
      <c r="J37" s="36" t="str">
        <f>IFERROR(VLOOKUP('A2 (Öhdəliklər)'!I37,List!C:D,2,0),"")</f>
        <v/>
      </c>
      <c r="K37" s="1"/>
      <c r="L37" s="36" t="str">
        <f>IFERROR(VLOOKUP('A2 (Öhdəliklər)'!K37,List!E:F,2,0),"")</f>
        <v/>
      </c>
      <c r="M37" s="1"/>
      <c r="N37" s="36" t="str">
        <f>IFERROR(VLOOKUP('A2 (Öhdəliklər)'!M37,List!M:N,2,0),"")</f>
        <v/>
      </c>
      <c r="O37" s="1"/>
      <c r="P37" s="36" t="str">
        <f>IFERROR(VLOOKUP('A2 (Öhdəliklər)'!O37,List!S:T,2,0),"")</f>
        <v/>
      </c>
      <c r="Q37" s="1"/>
      <c r="R37" s="36" t="str">
        <f>IFERROR(VLOOKUP('A2 (Öhdəliklər)'!Q37,List!K:L,2,0),"")</f>
        <v/>
      </c>
      <c r="S37" s="16"/>
      <c r="T37" s="16"/>
      <c r="U37" s="17"/>
      <c r="V37" s="17"/>
      <c r="W37" s="20"/>
      <c r="X37" s="18"/>
      <c r="Y37" s="1"/>
      <c r="Z37" s="36" t="str">
        <f>IFERROR(VLOOKUP('A2 (Öhdəliklər)'!Y37,List!O:P,2,0),"")</f>
        <v/>
      </c>
      <c r="AA37" s="19"/>
      <c r="AB37" s="19"/>
      <c r="AC37" s="37">
        <f t="shared" si="9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IFERROR(VLOOKUP('A2 (Öhdəliklər)'!AY37,List!Q:R,2,0),"")</f>
        <v/>
      </c>
      <c r="BA37" s="38">
        <f t="shared" si="10"/>
        <v>0</v>
      </c>
      <c r="BB37" s="38">
        <f t="shared" si="11"/>
        <v>0</v>
      </c>
      <c r="BC37" s="39">
        <f t="shared" si="12"/>
        <v>0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IFERROR(VLOOKUP('A2 (Öhdəliklər)'!CB37,List!$Z$2:$AA$8,2,0),"")</f>
        <v/>
      </c>
      <c r="CD37" s="34"/>
    </row>
    <row r="38" spans="1:82" s="112" customFormat="1" ht="19.5" customHeight="1" x14ac:dyDescent="0.2">
      <c r="A38" s="111">
        <v>24</v>
      </c>
      <c r="B38" s="35" t="str">
        <f t="shared" si="8"/>
        <v/>
      </c>
      <c r="C38" s="32"/>
      <c r="D38" s="15"/>
      <c r="E38" s="1"/>
      <c r="F38" s="36" t="str">
        <f>IFERROR(VLOOKUP('A2 (Öhdəliklər)'!E38,List!A:B,2,0),"")</f>
        <v/>
      </c>
      <c r="G38" s="1"/>
      <c r="H38" s="36" t="str">
        <f>IFERROR(VLOOKUP('A2 (Öhdəliklər)'!G38,List!G:H,2,0),"")</f>
        <v/>
      </c>
      <c r="I38" s="1"/>
      <c r="J38" s="36" t="str">
        <f>IFERROR(VLOOKUP('A2 (Öhdəliklər)'!I38,List!C:D,2,0),"")</f>
        <v/>
      </c>
      <c r="K38" s="1"/>
      <c r="L38" s="36" t="str">
        <f>IFERROR(VLOOKUP('A2 (Öhdəliklər)'!K38,List!E:F,2,0),"")</f>
        <v/>
      </c>
      <c r="M38" s="1"/>
      <c r="N38" s="36" t="str">
        <f>IFERROR(VLOOKUP('A2 (Öhdəliklər)'!M38,List!M:N,2,0),"")</f>
        <v/>
      </c>
      <c r="O38" s="1"/>
      <c r="P38" s="36" t="str">
        <f>IFERROR(VLOOKUP('A2 (Öhdəliklər)'!O38,List!S:T,2,0),"")</f>
        <v/>
      </c>
      <c r="Q38" s="1"/>
      <c r="R38" s="36" t="str">
        <f>IFERROR(VLOOKUP('A2 (Öhdəliklər)'!Q38,List!K:L,2,0),"")</f>
        <v/>
      </c>
      <c r="S38" s="16"/>
      <c r="T38" s="16"/>
      <c r="U38" s="17"/>
      <c r="V38" s="17"/>
      <c r="W38" s="20"/>
      <c r="X38" s="18"/>
      <c r="Y38" s="1"/>
      <c r="Z38" s="36" t="str">
        <f>IFERROR(VLOOKUP('A2 (Öhdəliklər)'!Y38,List!O:P,2,0),"")</f>
        <v/>
      </c>
      <c r="AA38" s="19"/>
      <c r="AB38" s="19"/>
      <c r="AC38" s="37">
        <f t="shared" si="9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IFERROR(VLOOKUP('A2 (Öhdəliklər)'!AY38,List!Q:R,2,0),"")</f>
        <v/>
      </c>
      <c r="BA38" s="38">
        <f t="shared" si="10"/>
        <v>0</v>
      </c>
      <c r="BB38" s="38">
        <f t="shared" si="11"/>
        <v>0</v>
      </c>
      <c r="BC38" s="39">
        <f t="shared" si="12"/>
        <v>0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IFERROR(VLOOKUP('A2 (Öhdəliklər)'!CB38,List!$Z$2:$AA$8,2,0),"")</f>
        <v/>
      </c>
      <c r="CD38" s="34"/>
    </row>
    <row r="39" spans="1:82" s="112" customFormat="1" ht="19.5" customHeight="1" x14ac:dyDescent="0.2">
      <c r="A39" s="111">
        <v>25</v>
      </c>
      <c r="B39" s="35" t="str">
        <f t="shared" si="8"/>
        <v/>
      </c>
      <c r="C39" s="32"/>
      <c r="D39" s="15"/>
      <c r="E39" s="1"/>
      <c r="F39" s="36" t="str">
        <f>IFERROR(VLOOKUP('A2 (Öhdəliklər)'!E39,List!A:B,2,0),"")</f>
        <v/>
      </c>
      <c r="G39" s="1"/>
      <c r="H39" s="36" t="str">
        <f>IFERROR(VLOOKUP('A2 (Öhdəliklər)'!G39,List!G:H,2,0),"")</f>
        <v/>
      </c>
      <c r="I39" s="1"/>
      <c r="J39" s="36" t="str">
        <f>IFERROR(VLOOKUP('A2 (Öhdəliklər)'!I39,List!C:D,2,0),"")</f>
        <v/>
      </c>
      <c r="K39" s="1"/>
      <c r="L39" s="36" t="str">
        <f>IFERROR(VLOOKUP('A2 (Öhdəliklər)'!K39,List!E:F,2,0),"")</f>
        <v/>
      </c>
      <c r="M39" s="1"/>
      <c r="N39" s="36" t="str">
        <f>IFERROR(VLOOKUP('A2 (Öhdəliklər)'!M39,List!M:N,2,0),"")</f>
        <v/>
      </c>
      <c r="O39" s="1"/>
      <c r="P39" s="36" t="str">
        <f>IFERROR(VLOOKUP('A2 (Öhdəliklər)'!O39,List!S:T,2,0),"")</f>
        <v/>
      </c>
      <c r="Q39" s="1"/>
      <c r="R39" s="36" t="str">
        <f>IFERROR(VLOOKUP('A2 (Öhdəliklər)'!Q39,List!K:L,2,0),"")</f>
        <v/>
      </c>
      <c r="S39" s="16"/>
      <c r="T39" s="16"/>
      <c r="U39" s="17"/>
      <c r="V39" s="17"/>
      <c r="W39" s="20"/>
      <c r="X39" s="18"/>
      <c r="Y39" s="1"/>
      <c r="Z39" s="36" t="str">
        <f>IFERROR(VLOOKUP('A2 (Öhdəliklər)'!Y39,List!O:P,2,0),"")</f>
        <v/>
      </c>
      <c r="AA39" s="19"/>
      <c r="AB39" s="19"/>
      <c r="AC39" s="37">
        <f t="shared" si="9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IFERROR(VLOOKUP('A2 (Öhdəliklər)'!AY39,List!Q:R,2,0),"")</f>
        <v/>
      </c>
      <c r="BA39" s="38">
        <f t="shared" si="10"/>
        <v>0</v>
      </c>
      <c r="BB39" s="38">
        <f t="shared" si="11"/>
        <v>0</v>
      </c>
      <c r="BC39" s="39">
        <f t="shared" si="12"/>
        <v>0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IFERROR(VLOOKUP('A2 (Öhdəliklər)'!CB39,List!$Z$2:$AA$8,2,0),"")</f>
        <v/>
      </c>
      <c r="CD39" s="34"/>
    </row>
    <row r="40" spans="1:82" s="112" customFormat="1" ht="19.5" customHeight="1" x14ac:dyDescent="0.2">
      <c r="A40" s="111">
        <v>26</v>
      </c>
      <c r="B40" s="35" t="str">
        <f t="shared" si="8"/>
        <v/>
      </c>
      <c r="C40" s="32"/>
      <c r="D40" s="15"/>
      <c r="E40" s="1"/>
      <c r="F40" s="36" t="str">
        <f>IFERROR(VLOOKUP('A2 (Öhdəliklər)'!E40,List!A:B,2,0),"")</f>
        <v/>
      </c>
      <c r="G40" s="1"/>
      <c r="H40" s="36" t="str">
        <f>IFERROR(VLOOKUP('A2 (Öhdəliklər)'!G40,List!G:H,2,0),"")</f>
        <v/>
      </c>
      <c r="I40" s="1"/>
      <c r="J40" s="36" t="str">
        <f>IFERROR(VLOOKUP('A2 (Öhdəliklər)'!I40,List!C:D,2,0),"")</f>
        <v/>
      </c>
      <c r="K40" s="1"/>
      <c r="L40" s="36" t="str">
        <f>IFERROR(VLOOKUP('A2 (Öhdəliklər)'!K40,List!E:F,2,0),"")</f>
        <v/>
      </c>
      <c r="M40" s="1"/>
      <c r="N40" s="36" t="str">
        <f>IFERROR(VLOOKUP('A2 (Öhdəliklər)'!M40,List!M:N,2,0),"")</f>
        <v/>
      </c>
      <c r="O40" s="1"/>
      <c r="P40" s="36" t="str">
        <f>IFERROR(VLOOKUP('A2 (Öhdəliklər)'!O40,List!S:T,2,0),"")</f>
        <v/>
      </c>
      <c r="Q40" s="1"/>
      <c r="R40" s="36" t="str">
        <f>IFERROR(VLOOKUP('A2 (Öhdəliklər)'!Q40,List!K:L,2,0),"")</f>
        <v/>
      </c>
      <c r="S40" s="16"/>
      <c r="T40" s="16"/>
      <c r="U40" s="17"/>
      <c r="V40" s="17"/>
      <c r="W40" s="20"/>
      <c r="X40" s="18"/>
      <c r="Y40" s="1"/>
      <c r="Z40" s="36" t="str">
        <f>IFERROR(VLOOKUP('A2 (Öhdəliklər)'!Y40,List!O:P,2,0),"")</f>
        <v/>
      </c>
      <c r="AA40" s="19"/>
      <c r="AB40" s="19"/>
      <c r="AC40" s="37">
        <f t="shared" si="9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IFERROR(VLOOKUP('A2 (Öhdəliklər)'!AY40,List!Q:R,2,0),"")</f>
        <v/>
      </c>
      <c r="BA40" s="38">
        <f t="shared" si="10"/>
        <v>0</v>
      </c>
      <c r="BB40" s="38">
        <f t="shared" si="11"/>
        <v>0</v>
      </c>
      <c r="BC40" s="39">
        <f t="shared" si="12"/>
        <v>0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IFERROR(VLOOKUP('A2 (Öhdəliklər)'!CB40,List!$Z$2:$AA$8,2,0),"")</f>
        <v/>
      </c>
      <c r="CD40" s="34"/>
    </row>
    <row r="41" spans="1:82" s="112" customFormat="1" ht="19.5" customHeight="1" x14ac:dyDescent="0.2">
      <c r="A41" s="111">
        <v>27</v>
      </c>
      <c r="B41" s="35" t="str">
        <f t="shared" si="8"/>
        <v/>
      </c>
      <c r="C41" s="32"/>
      <c r="D41" s="15"/>
      <c r="E41" s="1"/>
      <c r="F41" s="36" t="str">
        <f>IFERROR(VLOOKUP('A2 (Öhdəliklər)'!E41,List!A:B,2,0),"")</f>
        <v/>
      </c>
      <c r="G41" s="1"/>
      <c r="H41" s="36" t="str">
        <f>IFERROR(VLOOKUP('A2 (Öhdəliklər)'!G41,List!G:H,2,0),"")</f>
        <v/>
      </c>
      <c r="I41" s="1"/>
      <c r="J41" s="36" t="str">
        <f>IFERROR(VLOOKUP('A2 (Öhdəliklər)'!I41,List!C:D,2,0),"")</f>
        <v/>
      </c>
      <c r="K41" s="1"/>
      <c r="L41" s="36" t="str">
        <f>IFERROR(VLOOKUP('A2 (Öhdəliklər)'!K41,List!E:F,2,0),"")</f>
        <v/>
      </c>
      <c r="M41" s="1"/>
      <c r="N41" s="36" t="str">
        <f>IFERROR(VLOOKUP('A2 (Öhdəliklər)'!M41,List!M:N,2,0),"")</f>
        <v/>
      </c>
      <c r="O41" s="1"/>
      <c r="P41" s="36" t="str">
        <f>IFERROR(VLOOKUP('A2 (Öhdəliklər)'!O41,List!S:T,2,0),"")</f>
        <v/>
      </c>
      <c r="Q41" s="1"/>
      <c r="R41" s="36" t="str">
        <f>IFERROR(VLOOKUP('A2 (Öhdəliklər)'!Q41,List!K:L,2,0),"")</f>
        <v/>
      </c>
      <c r="S41" s="16"/>
      <c r="T41" s="16"/>
      <c r="U41" s="17"/>
      <c r="V41" s="17"/>
      <c r="W41" s="20"/>
      <c r="X41" s="18"/>
      <c r="Y41" s="1"/>
      <c r="Z41" s="36" t="str">
        <f>IFERROR(VLOOKUP('A2 (Öhdəliklər)'!Y41,List!O:P,2,0),"")</f>
        <v/>
      </c>
      <c r="AA41" s="19"/>
      <c r="AB41" s="19"/>
      <c r="AC41" s="37">
        <f t="shared" si="9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IFERROR(VLOOKUP('A2 (Öhdəliklər)'!AY41,List!Q:R,2,0),"")</f>
        <v/>
      </c>
      <c r="BA41" s="38">
        <f t="shared" si="10"/>
        <v>0</v>
      </c>
      <c r="BB41" s="38">
        <f t="shared" si="11"/>
        <v>0</v>
      </c>
      <c r="BC41" s="39">
        <f t="shared" si="12"/>
        <v>0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IFERROR(VLOOKUP('A2 (Öhdəliklər)'!CB41,List!$Z$2:$AA$8,2,0),"")</f>
        <v/>
      </c>
      <c r="CD41" s="34"/>
    </row>
    <row r="42" spans="1:82" s="112" customFormat="1" ht="19.5" customHeight="1" x14ac:dyDescent="0.2">
      <c r="A42" s="111">
        <v>28</v>
      </c>
      <c r="B42" s="35" t="str">
        <f t="shared" si="8"/>
        <v/>
      </c>
      <c r="C42" s="32"/>
      <c r="D42" s="15"/>
      <c r="E42" s="1"/>
      <c r="F42" s="36" t="str">
        <f>IFERROR(VLOOKUP('A2 (Öhdəliklər)'!E42,List!A:B,2,0),"")</f>
        <v/>
      </c>
      <c r="G42" s="1"/>
      <c r="H42" s="36" t="str">
        <f>IFERROR(VLOOKUP('A2 (Öhdəliklər)'!G42,List!G:H,2,0),"")</f>
        <v/>
      </c>
      <c r="I42" s="1"/>
      <c r="J42" s="36" t="str">
        <f>IFERROR(VLOOKUP('A2 (Öhdəliklər)'!I42,List!C:D,2,0),"")</f>
        <v/>
      </c>
      <c r="K42" s="1"/>
      <c r="L42" s="36" t="str">
        <f>IFERROR(VLOOKUP('A2 (Öhdəliklər)'!K42,List!E:F,2,0),"")</f>
        <v/>
      </c>
      <c r="M42" s="1"/>
      <c r="N42" s="36" t="str">
        <f>IFERROR(VLOOKUP('A2 (Öhdəliklər)'!M42,List!M:N,2,0),"")</f>
        <v/>
      </c>
      <c r="O42" s="1"/>
      <c r="P42" s="36" t="str">
        <f>IFERROR(VLOOKUP('A2 (Öhdəliklər)'!O42,List!S:T,2,0),"")</f>
        <v/>
      </c>
      <c r="Q42" s="1"/>
      <c r="R42" s="36" t="str">
        <f>IFERROR(VLOOKUP('A2 (Öhdəliklər)'!Q42,List!K:L,2,0),"")</f>
        <v/>
      </c>
      <c r="S42" s="16"/>
      <c r="T42" s="16"/>
      <c r="U42" s="17"/>
      <c r="V42" s="17"/>
      <c r="W42" s="20"/>
      <c r="X42" s="18"/>
      <c r="Y42" s="1"/>
      <c r="Z42" s="36" t="str">
        <f>IFERROR(VLOOKUP('A2 (Öhdəliklər)'!Y42,List!O:P,2,0),"")</f>
        <v/>
      </c>
      <c r="AA42" s="19"/>
      <c r="AB42" s="19"/>
      <c r="AC42" s="37">
        <f t="shared" si="9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IFERROR(VLOOKUP('A2 (Öhdəliklər)'!AY42,List!Q:R,2,0),"")</f>
        <v/>
      </c>
      <c r="BA42" s="38">
        <f t="shared" si="10"/>
        <v>0</v>
      </c>
      <c r="BB42" s="38">
        <f t="shared" si="11"/>
        <v>0</v>
      </c>
      <c r="BC42" s="39">
        <f t="shared" si="12"/>
        <v>0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IFERROR(VLOOKUP('A2 (Öhdəliklər)'!CB42,List!$Z$2:$AA$8,2,0),"")</f>
        <v/>
      </c>
      <c r="CD42" s="34"/>
    </row>
    <row r="43" spans="1:82" s="112" customFormat="1" ht="19.5" customHeight="1" x14ac:dyDescent="0.2">
      <c r="A43" s="111">
        <v>29</v>
      </c>
      <c r="B43" s="35" t="str">
        <f t="shared" si="8"/>
        <v/>
      </c>
      <c r="C43" s="32"/>
      <c r="D43" s="15"/>
      <c r="E43" s="1"/>
      <c r="F43" s="36" t="str">
        <f>IFERROR(VLOOKUP('A2 (Öhdəliklər)'!E43,List!A:B,2,0),"")</f>
        <v/>
      </c>
      <c r="G43" s="1"/>
      <c r="H43" s="36" t="str">
        <f>IFERROR(VLOOKUP('A2 (Öhdəliklər)'!G43,List!G:H,2,0),"")</f>
        <v/>
      </c>
      <c r="I43" s="1"/>
      <c r="J43" s="36" t="str">
        <f>IFERROR(VLOOKUP('A2 (Öhdəliklər)'!I43,List!C:D,2,0),"")</f>
        <v/>
      </c>
      <c r="K43" s="1"/>
      <c r="L43" s="36" t="str">
        <f>IFERROR(VLOOKUP('A2 (Öhdəliklər)'!K43,List!E:F,2,0),"")</f>
        <v/>
      </c>
      <c r="M43" s="1"/>
      <c r="N43" s="36" t="str">
        <f>IFERROR(VLOOKUP('A2 (Öhdəliklər)'!M43,List!M:N,2,0),"")</f>
        <v/>
      </c>
      <c r="O43" s="1"/>
      <c r="P43" s="36" t="str">
        <f>IFERROR(VLOOKUP('A2 (Öhdəliklər)'!O43,List!S:T,2,0),"")</f>
        <v/>
      </c>
      <c r="Q43" s="1"/>
      <c r="R43" s="36" t="str">
        <f>IFERROR(VLOOKUP('A2 (Öhdəliklər)'!Q43,List!K:L,2,0),"")</f>
        <v/>
      </c>
      <c r="S43" s="16"/>
      <c r="T43" s="16"/>
      <c r="U43" s="17"/>
      <c r="V43" s="17"/>
      <c r="W43" s="20"/>
      <c r="X43" s="18"/>
      <c r="Y43" s="1"/>
      <c r="Z43" s="36" t="str">
        <f>IFERROR(VLOOKUP('A2 (Öhdəliklər)'!Y43,List!O:P,2,0),"")</f>
        <v/>
      </c>
      <c r="AA43" s="19"/>
      <c r="AB43" s="19"/>
      <c r="AC43" s="37">
        <f t="shared" si="9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IFERROR(VLOOKUP('A2 (Öhdəliklər)'!AY43,List!Q:R,2,0),"")</f>
        <v/>
      </c>
      <c r="BA43" s="38">
        <f t="shared" si="10"/>
        <v>0</v>
      </c>
      <c r="BB43" s="38">
        <f t="shared" si="11"/>
        <v>0</v>
      </c>
      <c r="BC43" s="39">
        <f t="shared" si="12"/>
        <v>0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IFERROR(VLOOKUP('A2 (Öhdəliklər)'!CB43,List!$Z$2:$AA$8,2,0),"")</f>
        <v/>
      </c>
      <c r="CD43" s="34"/>
    </row>
    <row r="44" spans="1:82" s="112" customFormat="1" ht="19.5" customHeight="1" x14ac:dyDescent="0.2">
      <c r="A44" s="111">
        <v>30</v>
      </c>
      <c r="B44" s="35" t="str">
        <f t="shared" si="8"/>
        <v/>
      </c>
      <c r="C44" s="32"/>
      <c r="D44" s="15"/>
      <c r="E44" s="1"/>
      <c r="F44" s="36" t="str">
        <f>IFERROR(VLOOKUP('A2 (Öhdəliklər)'!E44,List!A:B,2,0),"")</f>
        <v/>
      </c>
      <c r="G44" s="1"/>
      <c r="H44" s="36" t="str">
        <f>IFERROR(VLOOKUP('A2 (Öhdəliklər)'!G44,List!G:H,2,0),"")</f>
        <v/>
      </c>
      <c r="I44" s="1"/>
      <c r="J44" s="36" t="str">
        <f>IFERROR(VLOOKUP('A2 (Öhdəliklər)'!I44,List!C:D,2,0),"")</f>
        <v/>
      </c>
      <c r="K44" s="1"/>
      <c r="L44" s="36" t="str">
        <f>IFERROR(VLOOKUP('A2 (Öhdəliklər)'!K44,List!E:F,2,0),"")</f>
        <v/>
      </c>
      <c r="M44" s="1"/>
      <c r="N44" s="36" t="str">
        <f>IFERROR(VLOOKUP('A2 (Öhdəliklər)'!M44,List!M:N,2,0),"")</f>
        <v/>
      </c>
      <c r="O44" s="1"/>
      <c r="P44" s="36" t="str">
        <f>IFERROR(VLOOKUP('A2 (Öhdəliklər)'!O44,List!S:T,2,0),"")</f>
        <v/>
      </c>
      <c r="Q44" s="1"/>
      <c r="R44" s="36" t="str">
        <f>IFERROR(VLOOKUP('A2 (Öhdəliklər)'!Q44,List!K:L,2,0),"")</f>
        <v/>
      </c>
      <c r="S44" s="16"/>
      <c r="T44" s="16"/>
      <c r="U44" s="17"/>
      <c r="V44" s="17"/>
      <c r="W44" s="20"/>
      <c r="X44" s="18"/>
      <c r="Y44" s="1"/>
      <c r="Z44" s="36" t="str">
        <f>IFERROR(VLOOKUP('A2 (Öhdəliklər)'!Y44,List!O:P,2,0),"")</f>
        <v/>
      </c>
      <c r="AA44" s="19"/>
      <c r="AB44" s="19"/>
      <c r="AC44" s="37">
        <f t="shared" si="9"/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IFERROR(VLOOKUP('A2 (Öhdəliklər)'!AY44,List!Q:R,2,0),"")</f>
        <v/>
      </c>
      <c r="BA44" s="38">
        <f t="shared" si="10"/>
        <v>0</v>
      </c>
      <c r="BB44" s="38">
        <f t="shared" si="11"/>
        <v>0</v>
      </c>
      <c r="BC44" s="39">
        <f t="shared" si="12"/>
        <v>0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IFERROR(VLOOKUP('A2 (Öhdəliklər)'!CB44,List!$Z$2:$AA$8,2,0),"")</f>
        <v/>
      </c>
      <c r="CD44" s="34"/>
    </row>
    <row r="45" spans="1:82" s="112" customFormat="1" ht="19.5" customHeight="1" x14ac:dyDescent="0.2">
      <c r="A45" s="111">
        <v>31</v>
      </c>
      <c r="B45" s="35" t="str">
        <f t="shared" si="8"/>
        <v/>
      </c>
      <c r="C45" s="32"/>
      <c r="D45" s="15"/>
      <c r="E45" s="1"/>
      <c r="F45" s="36" t="str">
        <f>IFERROR(VLOOKUP('A2 (Öhdəliklər)'!E45,List!A:B,2,0),"")</f>
        <v/>
      </c>
      <c r="G45" s="1"/>
      <c r="H45" s="36" t="str">
        <f>IFERROR(VLOOKUP('A2 (Öhdəliklər)'!G45,List!G:H,2,0),"")</f>
        <v/>
      </c>
      <c r="I45" s="1"/>
      <c r="J45" s="36" t="str">
        <f>IFERROR(VLOOKUP('A2 (Öhdəliklər)'!I45,List!C:D,2,0),"")</f>
        <v/>
      </c>
      <c r="K45" s="1"/>
      <c r="L45" s="36" t="str">
        <f>IFERROR(VLOOKUP('A2 (Öhdəliklər)'!K45,List!E:F,2,0),"")</f>
        <v/>
      </c>
      <c r="M45" s="1"/>
      <c r="N45" s="36" t="str">
        <f>IFERROR(VLOOKUP('A2 (Öhdəliklər)'!M45,List!M:N,2,0),"")</f>
        <v/>
      </c>
      <c r="O45" s="1"/>
      <c r="P45" s="36" t="str">
        <f>IFERROR(VLOOKUP('A2 (Öhdəliklər)'!O45,List!S:T,2,0),"")</f>
        <v/>
      </c>
      <c r="Q45" s="1"/>
      <c r="R45" s="36" t="str">
        <f>IFERROR(VLOOKUP('A2 (Öhdəliklər)'!Q45,List!K:L,2,0),"")</f>
        <v/>
      </c>
      <c r="S45" s="16"/>
      <c r="T45" s="16"/>
      <c r="U45" s="17"/>
      <c r="V45" s="17"/>
      <c r="W45" s="20"/>
      <c r="X45" s="18"/>
      <c r="Y45" s="1"/>
      <c r="Z45" s="36" t="str">
        <f>IFERROR(VLOOKUP('A2 (Öhdəliklər)'!Y45,List!O:P,2,0),"")</f>
        <v/>
      </c>
      <c r="AA45" s="19"/>
      <c r="AB45" s="19"/>
      <c r="AC45" s="37">
        <f t="shared" si="9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IFERROR(VLOOKUP('A2 (Öhdəliklər)'!AY45,List!Q:R,2,0),"")</f>
        <v/>
      </c>
      <c r="BA45" s="38">
        <f t="shared" si="10"/>
        <v>0</v>
      </c>
      <c r="BB45" s="38">
        <f t="shared" si="11"/>
        <v>0</v>
      </c>
      <c r="BC45" s="39">
        <f t="shared" si="12"/>
        <v>0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IFERROR(VLOOKUP('A2 (Öhdəliklər)'!CB45,List!$Z$2:$AA$8,2,0),"")</f>
        <v/>
      </c>
      <c r="CD45" s="34"/>
    </row>
    <row r="46" spans="1:82" s="112" customFormat="1" ht="19.5" customHeight="1" x14ac:dyDescent="0.2">
      <c r="A46" s="111">
        <v>32</v>
      </c>
      <c r="B46" s="35" t="str">
        <f t="shared" si="8"/>
        <v/>
      </c>
      <c r="C46" s="32"/>
      <c r="D46" s="15"/>
      <c r="E46" s="1"/>
      <c r="F46" s="36" t="str">
        <f>IFERROR(VLOOKUP('A2 (Öhdəliklər)'!E46,List!A:B,2,0),"")</f>
        <v/>
      </c>
      <c r="G46" s="1"/>
      <c r="H46" s="36" t="str">
        <f>IFERROR(VLOOKUP('A2 (Öhdəliklər)'!G46,List!G:H,2,0),"")</f>
        <v/>
      </c>
      <c r="I46" s="1"/>
      <c r="J46" s="36" t="str">
        <f>IFERROR(VLOOKUP('A2 (Öhdəliklər)'!I46,List!C:D,2,0),"")</f>
        <v/>
      </c>
      <c r="K46" s="1"/>
      <c r="L46" s="36" t="str">
        <f>IFERROR(VLOOKUP('A2 (Öhdəliklər)'!K46,List!E:F,2,0),"")</f>
        <v/>
      </c>
      <c r="M46" s="1"/>
      <c r="N46" s="36" t="str">
        <f>IFERROR(VLOOKUP('A2 (Öhdəliklər)'!M46,List!M:N,2,0),"")</f>
        <v/>
      </c>
      <c r="O46" s="1"/>
      <c r="P46" s="36" t="str">
        <f>IFERROR(VLOOKUP('A2 (Öhdəliklər)'!O46,List!S:T,2,0),"")</f>
        <v/>
      </c>
      <c r="Q46" s="1"/>
      <c r="R46" s="36" t="str">
        <f>IFERROR(VLOOKUP('A2 (Öhdəliklər)'!Q46,List!K:L,2,0),"")</f>
        <v/>
      </c>
      <c r="S46" s="16"/>
      <c r="T46" s="16"/>
      <c r="U46" s="17"/>
      <c r="V46" s="17"/>
      <c r="W46" s="20"/>
      <c r="X46" s="18"/>
      <c r="Y46" s="1"/>
      <c r="Z46" s="36" t="str">
        <f>IFERROR(VLOOKUP('A2 (Öhdəliklər)'!Y46,List!O:P,2,0),"")</f>
        <v/>
      </c>
      <c r="AA46" s="19"/>
      <c r="AB46" s="19"/>
      <c r="AC46" s="37">
        <f t="shared" si="9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IFERROR(VLOOKUP('A2 (Öhdəliklər)'!AY46,List!Q:R,2,0),"")</f>
        <v/>
      </c>
      <c r="BA46" s="38">
        <f t="shared" si="10"/>
        <v>0</v>
      </c>
      <c r="BB46" s="38">
        <f t="shared" si="11"/>
        <v>0</v>
      </c>
      <c r="BC46" s="39">
        <f t="shared" si="12"/>
        <v>0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IFERROR(VLOOKUP('A2 (Öhdəliklər)'!CB46,List!$Z$2:$AA$8,2,0),"")</f>
        <v/>
      </c>
      <c r="CD46" s="34"/>
    </row>
    <row r="47" spans="1:82" s="112" customFormat="1" ht="19.5" customHeight="1" x14ac:dyDescent="0.2">
      <c r="A47" s="111">
        <v>33</v>
      </c>
      <c r="B47" s="35" t="str">
        <f t="shared" si="8"/>
        <v/>
      </c>
      <c r="C47" s="32"/>
      <c r="D47" s="15"/>
      <c r="E47" s="1"/>
      <c r="F47" s="36" t="str">
        <f>IFERROR(VLOOKUP('A2 (Öhdəliklər)'!E47,List!A:B,2,0),"")</f>
        <v/>
      </c>
      <c r="G47" s="1"/>
      <c r="H47" s="36" t="str">
        <f>IFERROR(VLOOKUP('A2 (Öhdəliklər)'!G47,List!G:H,2,0),"")</f>
        <v/>
      </c>
      <c r="I47" s="1"/>
      <c r="J47" s="36" t="str">
        <f>IFERROR(VLOOKUP('A2 (Öhdəliklər)'!I47,List!C:D,2,0),"")</f>
        <v/>
      </c>
      <c r="K47" s="1"/>
      <c r="L47" s="36" t="str">
        <f>IFERROR(VLOOKUP('A2 (Öhdəliklər)'!K47,List!E:F,2,0),"")</f>
        <v/>
      </c>
      <c r="M47" s="1"/>
      <c r="N47" s="36" t="str">
        <f>IFERROR(VLOOKUP('A2 (Öhdəliklər)'!M47,List!M:N,2,0),"")</f>
        <v/>
      </c>
      <c r="O47" s="1"/>
      <c r="P47" s="36" t="str">
        <f>IFERROR(VLOOKUP('A2 (Öhdəliklər)'!O47,List!S:T,2,0),"")</f>
        <v/>
      </c>
      <c r="Q47" s="1"/>
      <c r="R47" s="36" t="str">
        <f>IFERROR(VLOOKUP('A2 (Öhdəliklər)'!Q47,List!K:L,2,0),"")</f>
        <v/>
      </c>
      <c r="S47" s="16"/>
      <c r="T47" s="16"/>
      <c r="U47" s="17"/>
      <c r="V47" s="17"/>
      <c r="W47" s="20"/>
      <c r="X47" s="18"/>
      <c r="Y47" s="1"/>
      <c r="Z47" s="36" t="str">
        <f>IFERROR(VLOOKUP('A2 (Öhdəliklər)'!Y47,List!O:P,2,0),"")</f>
        <v/>
      </c>
      <c r="AA47" s="19"/>
      <c r="AB47" s="19"/>
      <c r="AC47" s="37">
        <f t="shared" si="9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IFERROR(VLOOKUP('A2 (Öhdəliklər)'!AY47,List!Q:R,2,0),"")</f>
        <v/>
      </c>
      <c r="BA47" s="38">
        <f t="shared" si="10"/>
        <v>0</v>
      </c>
      <c r="BB47" s="38">
        <f t="shared" si="11"/>
        <v>0</v>
      </c>
      <c r="BC47" s="39">
        <f t="shared" si="12"/>
        <v>0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IFERROR(VLOOKUP('A2 (Öhdəliklər)'!CB47,List!$Z$2:$AA$8,2,0),"")</f>
        <v/>
      </c>
      <c r="CD47" s="34"/>
    </row>
    <row r="48" spans="1:82" s="112" customFormat="1" ht="19.5" customHeight="1" x14ac:dyDescent="0.2">
      <c r="A48" s="111">
        <v>34</v>
      </c>
      <c r="B48" s="35" t="str">
        <f t="shared" si="8"/>
        <v/>
      </c>
      <c r="C48" s="32"/>
      <c r="D48" s="15"/>
      <c r="E48" s="1"/>
      <c r="F48" s="36" t="str">
        <f>IFERROR(VLOOKUP('A2 (Öhdəliklər)'!E48,List!A:B,2,0),"")</f>
        <v/>
      </c>
      <c r="G48" s="1"/>
      <c r="H48" s="36" t="str">
        <f>IFERROR(VLOOKUP('A2 (Öhdəliklər)'!G48,List!G:H,2,0),"")</f>
        <v/>
      </c>
      <c r="I48" s="1"/>
      <c r="J48" s="36" t="str">
        <f>IFERROR(VLOOKUP('A2 (Öhdəliklər)'!I48,List!C:D,2,0),"")</f>
        <v/>
      </c>
      <c r="K48" s="1"/>
      <c r="L48" s="36" t="str">
        <f>IFERROR(VLOOKUP('A2 (Öhdəliklər)'!K48,List!E:F,2,0),"")</f>
        <v/>
      </c>
      <c r="M48" s="1"/>
      <c r="N48" s="36" t="str">
        <f>IFERROR(VLOOKUP('A2 (Öhdəliklər)'!M48,List!M:N,2,0),"")</f>
        <v/>
      </c>
      <c r="O48" s="1"/>
      <c r="P48" s="36" t="str">
        <f>IFERROR(VLOOKUP('A2 (Öhdəliklər)'!O48,List!S:T,2,0),"")</f>
        <v/>
      </c>
      <c r="Q48" s="1"/>
      <c r="R48" s="36" t="str">
        <f>IFERROR(VLOOKUP('A2 (Öhdəliklər)'!Q48,List!K:L,2,0),"")</f>
        <v/>
      </c>
      <c r="S48" s="16"/>
      <c r="T48" s="16"/>
      <c r="U48" s="17"/>
      <c r="V48" s="17"/>
      <c r="W48" s="20"/>
      <c r="X48" s="18"/>
      <c r="Y48" s="1"/>
      <c r="Z48" s="36" t="str">
        <f>IFERROR(VLOOKUP('A2 (Öhdəliklər)'!Y48,List!O:P,2,0),"")</f>
        <v/>
      </c>
      <c r="AA48" s="19"/>
      <c r="AB48" s="19"/>
      <c r="AC48" s="37">
        <f t="shared" si="9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IFERROR(VLOOKUP('A2 (Öhdəliklər)'!AY48,List!Q:R,2,0),"")</f>
        <v/>
      </c>
      <c r="BA48" s="38">
        <f t="shared" si="10"/>
        <v>0</v>
      </c>
      <c r="BB48" s="38">
        <f t="shared" si="11"/>
        <v>0</v>
      </c>
      <c r="BC48" s="39">
        <f t="shared" si="12"/>
        <v>0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IFERROR(VLOOKUP('A2 (Öhdəliklər)'!CB48,List!$Z$2:$AA$8,2,0),"")</f>
        <v/>
      </c>
      <c r="CD48" s="34"/>
    </row>
    <row r="49" spans="1:82" s="112" customFormat="1" ht="19.5" customHeight="1" x14ac:dyDescent="0.2">
      <c r="A49" s="111">
        <v>35</v>
      </c>
      <c r="B49" s="35" t="str">
        <f t="shared" si="8"/>
        <v/>
      </c>
      <c r="C49" s="32"/>
      <c r="D49" s="15"/>
      <c r="E49" s="1"/>
      <c r="F49" s="36" t="str">
        <f>IFERROR(VLOOKUP('A2 (Öhdəliklər)'!E49,List!A:B,2,0),"")</f>
        <v/>
      </c>
      <c r="G49" s="1"/>
      <c r="H49" s="36" t="str">
        <f>IFERROR(VLOOKUP('A2 (Öhdəliklər)'!G49,List!G:H,2,0),"")</f>
        <v/>
      </c>
      <c r="I49" s="1"/>
      <c r="J49" s="36" t="str">
        <f>IFERROR(VLOOKUP('A2 (Öhdəliklər)'!I49,List!C:D,2,0),"")</f>
        <v/>
      </c>
      <c r="K49" s="1"/>
      <c r="L49" s="36" t="str">
        <f>IFERROR(VLOOKUP('A2 (Öhdəliklər)'!K49,List!E:F,2,0),"")</f>
        <v/>
      </c>
      <c r="M49" s="1"/>
      <c r="N49" s="36" t="str">
        <f>IFERROR(VLOOKUP('A2 (Öhdəliklər)'!M49,List!M:N,2,0),"")</f>
        <v/>
      </c>
      <c r="O49" s="1"/>
      <c r="P49" s="36" t="str">
        <f>IFERROR(VLOOKUP('A2 (Öhdəliklər)'!O49,List!S:T,2,0),"")</f>
        <v/>
      </c>
      <c r="Q49" s="1"/>
      <c r="R49" s="36" t="str">
        <f>IFERROR(VLOOKUP('A2 (Öhdəliklər)'!Q49,List!K:L,2,0),"")</f>
        <v/>
      </c>
      <c r="S49" s="16"/>
      <c r="T49" s="16"/>
      <c r="U49" s="17"/>
      <c r="V49" s="17"/>
      <c r="W49" s="20"/>
      <c r="X49" s="18"/>
      <c r="Y49" s="1"/>
      <c r="Z49" s="36" t="str">
        <f>IFERROR(VLOOKUP('A2 (Öhdəliklər)'!Y49,List!O:P,2,0),"")</f>
        <v/>
      </c>
      <c r="AA49" s="19"/>
      <c r="AB49" s="19"/>
      <c r="AC49" s="37">
        <f t="shared" si="9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IFERROR(VLOOKUP('A2 (Öhdəliklər)'!AY49,List!Q:R,2,0),"")</f>
        <v/>
      </c>
      <c r="BA49" s="38">
        <f t="shared" si="10"/>
        <v>0</v>
      </c>
      <c r="BB49" s="38">
        <f t="shared" si="11"/>
        <v>0</v>
      </c>
      <c r="BC49" s="39">
        <f t="shared" si="12"/>
        <v>0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IFERROR(VLOOKUP('A2 (Öhdəliklər)'!CB49,List!$Z$2:$AA$8,2,0),"")</f>
        <v/>
      </c>
      <c r="CD49" s="34"/>
    </row>
    <row r="50" spans="1:82" s="112" customFormat="1" ht="19.5" customHeight="1" x14ac:dyDescent="0.2">
      <c r="A50" s="111">
        <v>36</v>
      </c>
      <c r="B50" s="35" t="str">
        <f t="shared" si="8"/>
        <v/>
      </c>
      <c r="C50" s="32"/>
      <c r="D50" s="15"/>
      <c r="E50" s="1"/>
      <c r="F50" s="36" t="str">
        <f>IFERROR(VLOOKUP('A2 (Öhdəliklər)'!E50,List!A:B,2,0),"")</f>
        <v/>
      </c>
      <c r="G50" s="1"/>
      <c r="H50" s="36" t="str">
        <f>IFERROR(VLOOKUP('A2 (Öhdəliklər)'!G50,List!G:H,2,0),"")</f>
        <v/>
      </c>
      <c r="I50" s="1"/>
      <c r="J50" s="36" t="str">
        <f>IFERROR(VLOOKUP('A2 (Öhdəliklər)'!I50,List!C:D,2,0),"")</f>
        <v/>
      </c>
      <c r="K50" s="1"/>
      <c r="L50" s="36" t="str">
        <f>IFERROR(VLOOKUP('A2 (Öhdəliklər)'!K50,List!E:F,2,0),"")</f>
        <v/>
      </c>
      <c r="M50" s="1"/>
      <c r="N50" s="36" t="str">
        <f>IFERROR(VLOOKUP('A2 (Öhdəliklər)'!M50,List!M:N,2,0),"")</f>
        <v/>
      </c>
      <c r="O50" s="1"/>
      <c r="P50" s="36" t="str">
        <f>IFERROR(VLOOKUP('A2 (Öhdəliklər)'!O50,List!S:T,2,0),"")</f>
        <v/>
      </c>
      <c r="Q50" s="1"/>
      <c r="R50" s="36" t="str">
        <f>IFERROR(VLOOKUP('A2 (Öhdəliklər)'!Q50,List!K:L,2,0),"")</f>
        <v/>
      </c>
      <c r="S50" s="16"/>
      <c r="T50" s="16"/>
      <c r="U50" s="17"/>
      <c r="V50" s="17"/>
      <c r="W50" s="20"/>
      <c r="X50" s="18"/>
      <c r="Y50" s="1"/>
      <c r="Z50" s="36" t="str">
        <f>IFERROR(VLOOKUP('A2 (Öhdəliklər)'!Y50,List!O:P,2,0),"")</f>
        <v/>
      </c>
      <c r="AA50" s="19"/>
      <c r="AB50" s="19"/>
      <c r="AC50" s="37">
        <f t="shared" si="9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IFERROR(VLOOKUP('A2 (Öhdəliklər)'!AY50,List!Q:R,2,0),"")</f>
        <v/>
      </c>
      <c r="BA50" s="38">
        <f t="shared" si="10"/>
        <v>0</v>
      </c>
      <c r="BB50" s="38">
        <f t="shared" si="11"/>
        <v>0</v>
      </c>
      <c r="BC50" s="39">
        <f t="shared" si="12"/>
        <v>0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IFERROR(VLOOKUP('A2 (Öhdəliklər)'!CB50,List!$Z$2:$AA$8,2,0),"")</f>
        <v/>
      </c>
      <c r="CD50" s="34"/>
    </row>
    <row r="51" spans="1:82" s="112" customFormat="1" ht="19.5" customHeight="1" x14ac:dyDescent="0.2">
      <c r="A51" s="111">
        <v>37</v>
      </c>
      <c r="B51" s="35" t="str">
        <f t="shared" si="8"/>
        <v/>
      </c>
      <c r="C51" s="32"/>
      <c r="D51" s="15"/>
      <c r="E51" s="1"/>
      <c r="F51" s="36" t="str">
        <f>IFERROR(VLOOKUP('A2 (Öhdəliklər)'!E51,List!A:B,2,0),"")</f>
        <v/>
      </c>
      <c r="G51" s="1"/>
      <c r="H51" s="36" t="str">
        <f>IFERROR(VLOOKUP('A2 (Öhdəliklər)'!G51,List!G:H,2,0),"")</f>
        <v/>
      </c>
      <c r="I51" s="1"/>
      <c r="J51" s="36" t="str">
        <f>IFERROR(VLOOKUP('A2 (Öhdəliklər)'!I51,List!C:D,2,0),"")</f>
        <v/>
      </c>
      <c r="K51" s="1"/>
      <c r="L51" s="36" t="str">
        <f>IFERROR(VLOOKUP('A2 (Öhdəliklər)'!K51,List!E:F,2,0),"")</f>
        <v/>
      </c>
      <c r="M51" s="1"/>
      <c r="N51" s="36" t="str">
        <f>IFERROR(VLOOKUP('A2 (Öhdəliklər)'!M51,List!M:N,2,0),"")</f>
        <v/>
      </c>
      <c r="O51" s="1"/>
      <c r="P51" s="36" t="str">
        <f>IFERROR(VLOOKUP('A2 (Öhdəliklər)'!O51,List!S:T,2,0),"")</f>
        <v/>
      </c>
      <c r="Q51" s="1"/>
      <c r="R51" s="36" t="str">
        <f>IFERROR(VLOOKUP('A2 (Öhdəliklər)'!Q51,List!K:L,2,0),"")</f>
        <v/>
      </c>
      <c r="S51" s="16"/>
      <c r="T51" s="16"/>
      <c r="U51" s="17"/>
      <c r="V51" s="17"/>
      <c r="W51" s="20"/>
      <c r="X51" s="18"/>
      <c r="Y51" s="1"/>
      <c r="Z51" s="36" t="str">
        <f>IFERROR(VLOOKUP('A2 (Öhdəliklər)'!Y51,List!O:P,2,0),"")</f>
        <v/>
      </c>
      <c r="AA51" s="19"/>
      <c r="AB51" s="19"/>
      <c r="AC51" s="37">
        <f t="shared" si="9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IFERROR(VLOOKUP('A2 (Öhdəliklər)'!AY51,List!Q:R,2,0),"")</f>
        <v/>
      </c>
      <c r="BA51" s="38">
        <f t="shared" si="10"/>
        <v>0</v>
      </c>
      <c r="BB51" s="38">
        <f t="shared" si="11"/>
        <v>0</v>
      </c>
      <c r="BC51" s="39">
        <f t="shared" si="12"/>
        <v>0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IFERROR(VLOOKUP('A2 (Öhdəliklər)'!CB51,List!$Z$2:$AA$8,2,0),"")</f>
        <v/>
      </c>
      <c r="CD51" s="34"/>
    </row>
    <row r="52" spans="1:82" s="112" customFormat="1" ht="19.5" customHeight="1" x14ac:dyDescent="0.2">
      <c r="A52" s="111">
        <v>38</v>
      </c>
      <c r="B52" s="35" t="str">
        <f t="shared" si="8"/>
        <v/>
      </c>
      <c r="C52" s="32"/>
      <c r="D52" s="15"/>
      <c r="E52" s="1"/>
      <c r="F52" s="36" t="str">
        <f>IFERROR(VLOOKUP('A2 (Öhdəliklər)'!E52,List!A:B,2,0),"")</f>
        <v/>
      </c>
      <c r="G52" s="1"/>
      <c r="H52" s="36" t="str">
        <f>IFERROR(VLOOKUP('A2 (Öhdəliklər)'!G52,List!G:H,2,0),"")</f>
        <v/>
      </c>
      <c r="I52" s="1"/>
      <c r="J52" s="36" t="str">
        <f>IFERROR(VLOOKUP('A2 (Öhdəliklər)'!I52,List!C:D,2,0),"")</f>
        <v/>
      </c>
      <c r="K52" s="1"/>
      <c r="L52" s="36" t="str">
        <f>IFERROR(VLOOKUP('A2 (Öhdəliklər)'!K52,List!E:F,2,0),"")</f>
        <v/>
      </c>
      <c r="M52" s="1"/>
      <c r="N52" s="36" t="str">
        <f>IFERROR(VLOOKUP('A2 (Öhdəliklər)'!M52,List!M:N,2,0),"")</f>
        <v/>
      </c>
      <c r="O52" s="1"/>
      <c r="P52" s="36" t="str">
        <f>IFERROR(VLOOKUP('A2 (Öhdəliklər)'!O52,List!S:T,2,0),"")</f>
        <v/>
      </c>
      <c r="Q52" s="1"/>
      <c r="R52" s="36" t="str">
        <f>IFERROR(VLOOKUP('A2 (Öhdəliklər)'!Q52,List!K:L,2,0),"")</f>
        <v/>
      </c>
      <c r="S52" s="16"/>
      <c r="T52" s="16"/>
      <c r="U52" s="17"/>
      <c r="V52" s="17"/>
      <c r="W52" s="20"/>
      <c r="X52" s="18"/>
      <c r="Y52" s="1"/>
      <c r="Z52" s="36" t="str">
        <f>IFERROR(VLOOKUP('A2 (Öhdəliklər)'!Y52,List!O:P,2,0),"")</f>
        <v/>
      </c>
      <c r="AA52" s="19"/>
      <c r="AB52" s="19"/>
      <c r="AC52" s="37">
        <f t="shared" si="9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IFERROR(VLOOKUP('A2 (Öhdəliklər)'!AY52,List!Q:R,2,0),"")</f>
        <v/>
      </c>
      <c r="BA52" s="38">
        <f t="shared" si="10"/>
        <v>0</v>
      </c>
      <c r="BB52" s="38">
        <f t="shared" si="11"/>
        <v>0</v>
      </c>
      <c r="BC52" s="39">
        <f t="shared" si="12"/>
        <v>0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IFERROR(VLOOKUP('A2 (Öhdəliklər)'!CB52,List!$Z$2:$AA$8,2,0),"")</f>
        <v/>
      </c>
      <c r="CD52" s="34"/>
    </row>
    <row r="53" spans="1:82" s="112" customFormat="1" ht="19.5" customHeight="1" x14ac:dyDescent="0.2">
      <c r="A53" s="111">
        <v>39</v>
      </c>
      <c r="B53" s="35" t="str">
        <f t="shared" si="8"/>
        <v/>
      </c>
      <c r="C53" s="32"/>
      <c r="D53" s="15"/>
      <c r="E53" s="1"/>
      <c r="F53" s="36" t="str">
        <f>IFERROR(VLOOKUP('A2 (Öhdəliklər)'!E53,List!A:B,2,0),"")</f>
        <v/>
      </c>
      <c r="G53" s="1"/>
      <c r="H53" s="36" t="str">
        <f>IFERROR(VLOOKUP('A2 (Öhdəliklər)'!G53,List!G:H,2,0),"")</f>
        <v/>
      </c>
      <c r="I53" s="1"/>
      <c r="J53" s="36" t="str">
        <f>IFERROR(VLOOKUP('A2 (Öhdəliklər)'!I53,List!C:D,2,0),"")</f>
        <v/>
      </c>
      <c r="K53" s="1"/>
      <c r="L53" s="36" t="str">
        <f>IFERROR(VLOOKUP('A2 (Öhdəliklər)'!K53,List!E:F,2,0),"")</f>
        <v/>
      </c>
      <c r="M53" s="1"/>
      <c r="N53" s="36" t="str">
        <f>IFERROR(VLOOKUP('A2 (Öhdəliklər)'!M53,List!M:N,2,0),"")</f>
        <v/>
      </c>
      <c r="O53" s="1"/>
      <c r="P53" s="36" t="str">
        <f>IFERROR(VLOOKUP('A2 (Öhdəliklər)'!O53,List!S:T,2,0),"")</f>
        <v/>
      </c>
      <c r="Q53" s="1"/>
      <c r="R53" s="36" t="str">
        <f>IFERROR(VLOOKUP('A2 (Öhdəliklər)'!Q53,List!K:L,2,0),"")</f>
        <v/>
      </c>
      <c r="S53" s="16"/>
      <c r="T53" s="16"/>
      <c r="U53" s="17"/>
      <c r="V53" s="17"/>
      <c r="W53" s="20"/>
      <c r="X53" s="18"/>
      <c r="Y53" s="1"/>
      <c r="Z53" s="36" t="str">
        <f>IFERROR(VLOOKUP('A2 (Öhdəliklər)'!Y53,List!O:P,2,0),"")</f>
        <v/>
      </c>
      <c r="AA53" s="19"/>
      <c r="AB53" s="19"/>
      <c r="AC53" s="37">
        <f t="shared" si="9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IFERROR(VLOOKUP('A2 (Öhdəliklər)'!AY53,List!Q:R,2,0),"")</f>
        <v/>
      </c>
      <c r="BA53" s="38">
        <f t="shared" si="10"/>
        <v>0</v>
      </c>
      <c r="BB53" s="38">
        <f t="shared" si="11"/>
        <v>0</v>
      </c>
      <c r="BC53" s="39">
        <f t="shared" si="12"/>
        <v>0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IFERROR(VLOOKUP('A2 (Öhdəliklər)'!CB53,List!$Z$2:$AA$8,2,0),"")</f>
        <v/>
      </c>
      <c r="CD53" s="34"/>
    </row>
    <row r="54" spans="1:82" s="112" customFormat="1" ht="19.5" customHeight="1" x14ac:dyDescent="0.2">
      <c r="A54" s="111">
        <v>40</v>
      </c>
      <c r="B54" s="35" t="str">
        <f t="shared" si="8"/>
        <v/>
      </c>
      <c r="C54" s="32"/>
      <c r="D54" s="15"/>
      <c r="E54" s="1"/>
      <c r="F54" s="36" t="str">
        <f>IFERROR(VLOOKUP('A2 (Öhdəliklər)'!E54,List!A:B,2,0),"")</f>
        <v/>
      </c>
      <c r="G54" s="1"/>
      <c r="H54" s="36" t="str">
        <f>IFERROR(VLOOKUP('A2 (Öhdəliklər)'!G54,List!G:H,2,0),"")</f>
        <v/>
      </c>
      <c r="I54" s="1"/>
      <c r="J54" s="36" t="str">
        <f>IFERROR(VLOOKUP('A2 (Öhdəliklər)'!I54,List!C:D,2,0),"")</f>
        <v/>
      </c>
      <c r="K54" s="1"/>
      <c r="L54" s="36" t="str">
        <f>IFERROR(VLOOKUP('A2 (Öhdəliklər)'!K54,List!E:F,2,0),"")</f>
        <v/>
      </c>
      <c r="M54" s="1"/>
      <c r="N54" s="36" t="str">
        <f>IFERROR(VLOOKUP('A2 (Öhdəliklər)'!M54,List!M:N,2,0),"")</f>
        <v/>
      </c>
      <c r="O54" s="1"/>
      <c r="P54" s="36" t="str">
        <f>IFERROR(VLOOKUP('A2 (Öhdəliklər)'!O54,List!S:T,2,0),"")</f>
        <v/>
      </c>
      <c r="Q54" s="1"/>
      <c r="R54" s="36" t="str">
        <f>IFERROR(VLOOKUP('A2 (Öhdəliklər)'!Q54,List!K:L,2,0),"")</f>
        <v/>
      </c>
      <c r="S54" s="16"/>
      <c r="T54" s="16"/>
      <c r="U54" s="17"/>
      <c r="V54" s="17"/>
      <c r="W54" s="20"/>
      <c r="X54" s="18"/>
      <c r="Y54" s="1"/>
      <c r="Z54" s="36" t="str">
        <f>IFERROR(VLOOKUP('A2 (Öhdəliklər)'!Y54,List!O:P,2,0),"")</f>
        <v/>
      </c>
      <c r="AA54" s="19"/>
      <c r="AB54" s="19"/>
      <c r="AC54" s="37">
        <f t="shared" si="9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IFERROR(VLOOKUP('A2 (Öhdəliklər)'!AY54,List!Q:R,2,0),"")</f>
        <v/>
      </c>
      <c r="BA54" s="38">
        <f t="shared" si="10"/>
        <v>0</v>
      </c>
      <c r="BB54" s="38">
        <f t="shared" si="11"/>
        <v>0</v>
      </c>
      <c r="BC54" s="39">
        <f t="shared" si="12"/>
        <v>0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IFERROR(VLOOKUP('A2 (Öhdəliklər)'!CB54,List!$Z$2:$AA$8,2,0),"")</f>
        <v/>
      </c>
      <c r="CD54" s="34"/>
    </row>
    <row r="55" spans="1:82" s="112" customFormat="1" ht="19.5" customHeight="1" x14ac:dyDescent="0.2">
      <c r="A55" s="111">
        <v>41</v>
      </c>
      <c r="B55" s="35" t="str">
        <f t="shared" si="8"/>
        <v/>
      </c>
      <c r="C55" s="32"/>
      <c r="D55" s="15"/>
      <c r="E55" s="1"/>
      <c r="F55" s="36" t="str">
        <f>IFERROR(VLOOKUP('A2 (Öhdəliklər)'!E55,List!A:B,2,0),"")</f>
        <v/>
      </c>
      <c r="G55" s="1"/>
      <c r="H55" s="36" t="str">
        <f>IFERROR(VLOOKUP('A2 (Öhdəliklər)'!G55,List!G:H,2,0),"")</f>
        <v/>
      </c>
      <c r="I55" s="1"/>
      <c r="J55" s="36" t="str">
        <f>IFERROR(VLOOKUP('A2 (Öhdəliklər)'!I55,List!C:D,2,0),"")</f>
        <v/>
      </c>
      <c r="K55" s="1"/>
      <c r="L55" s="36" t="str">
        <f>IFERROR(VLOOKUP('A2 (Öhdəliklər)'!K55,List!E:F,2,0),"")</f>
        <v/>
      </c>
      <c r="M55" s="1"/>
      <c r="N55" s="36" t="str">
        <f>IFERROR(VLOOKUP('A2 (Öhdəliklər)'!M55,List!M:N,2,0),"")</f>
        <v/>
      </c>
      <c r="O55" s="1"/>
      <c r="P55" s="36" t="str">
        <f>IFERROR(VLOOKUP('A2 (Öhdəliklər)'!O55,List!S:T,2,0),"")</f>
        <v/>
      </c>
      <c r="Q55" s="1"/>
      <c r="R55" s="36" t="str">
        <f>IFERROR(VLOOKUP('A2 (Öhdəliklər)'!Q55,List!K:L,2,0),"")</f>
        <v/>
      </c>
      <c r="S55" s="16"/>
      <c r="T55" s="16"/>
      <c r="U55" s="17"/>
      <c r="V55" s="17"/>
      <c r="W55" s="20"/>
      <c r="X55" s="18"/>
      <c r="Y55" s="1"/>
      <c r="Z55" s="36" t="str">
        <f>IFERROR(VLOOKUP('A2 (Öhdəliklər)'!Y55,List!O:P,2,0),"")</f>
        <v/>
      </c>
      <c r="AA55" s="19"/>
      <c r="AB55" s="19"/>
      <c r="AC55" s="37">
        <f t="shared" si="9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IFERROR(VLOOKUP('A2 (Öhdəliklər)'!AY55,List!Q:R,2,0),"")</f>
        <v/>
      </c>
      <c r="BA55" s="38">
        <f t="shared" si="10"/>
        <v>0</v>
      </c>
      <c r="BB55" s="38">
        <f t="shared" si="11"/>
        <v>0</v>
      </c>
      <c r="BC55" s="39">
        <f t="shared" si="12"/>
        <v>0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IFERROR(VLOOKUP('A2 (Öhdəliklər)'!CB55,List!$Z$2:$AA$8,2,0),"")</f>
        <v/>
      </c>
      <c r="CD55" s="34"/>
    </row>
    <row r="56" spans="1:82" s="112" customFormat="1" ht="19.5" customHeight="1" x14ac:dyDescent="0.2">
      <c r="A56" s="111">
        <v>42</v>
      </c>
      <c r="B56" s="35" t="str">
        <f t="shared" si="8"/>
        <v/>
      </c>
      <c r="C56" s="32"/>
      <c r="D56" s="15"/>
      <c r="E56" s="1"/>
      <c r="F56" s="36" t="str">
        <f>IFERROR(VLOOKUP('A2 (Öhdəliklər)'!E56,List!A:B,2,0),"")</f>
        <v/>
      </c>
      <c r="G56" s="1"/>
      <c r="H56" s="36" t="str">
        <f>IFERROR(VLOOKUP('A2 (Öhdəliklər)'!G56,List!G:H,2,0),"")</f>
        <v/>
      </c>
      <c r="I56" s="1"/>
      <c r="J56" s="36" t="str">
        <f>IFERROR(VLOOKUP('A2 (Öhdəliklər)'!I56,List!C:D,2,0),"")</f>
        <v/>
      </c>
      <c r="K56" s="1"/>
      <c r="L56" s="36" t="str">
        <f>IFERROR(VLOOKUP('A2 (Öhdəliklər)'!K56,List!E:F,2,0),"")</f>
        <v/>
      </c>
      <c r="M56" s="1"/>
      <c r="N56" s="36" t="str">
        <f>IFERROR(VLOOKUP('A2 (Öhdəliklər)'!M56,List!M:N,2,0),"")</f>
        <v/>
      </c>
      <c r="O56" s="1"/>
      <c r="P56" s="36" t="str">
        <f>IFERROR(VLOOKUP('A2 (Öhdəliklər)'!O56,List!S:T,2,0),"")</f>
        <v/>
      </c>
      <c r="Q56" s="1"/>
      <c r="R56" s="36" t="str">
        <f>IFERROR(VLOOKUP('A2 (Öhdəliklər)'!Q56,List!K:L,2,0),"")</f>
        <v/>
      </c>
      <c r="S56" s="16"/>
      <c r="T56" s="16"/>
      <c r="U56" s="17"/>
      <c r="V56" s="17"/>
      <c r="W56" s="20"/>
      <c r="X56" s="18"/>
      <c r="Y56" s="1"/>
      <c r="Z56" s="36" t="str">
        <f>IFERROR(VLOOKUP('A2 (Öhdəliklər)'!Y56,List!O:P,2,0),"")</f>
        <v/>
      </c>
      <c r="AA56" s="19"/>
      <c r="AB56" s="19"/>
      <c r="AC56" s="37">
        <f t="shared" si="9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IFERROR(VLOOKUP('A2 (Öhdəliklər)'!AY56,List!Q:R,2,0),"")</f>
        <v/>
      </c>
      <c r="BA56" s="38">
        <f t="shared" si="10"/>
        <v>0</v>
      </c>
      <c r="BB56" s="38">
        <f t="shared" si="11"/>
        <v>0</v>
      </c>
      <c r="BC56" s="39">
        <f t="shared" si="12"/>
        <v>0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IFERROR(VLOOKUP('A2 (Öhdəliklər)'!CB56,List!$Z$2:$AA$8,2,0),"")</f>
        <v/>
      </c>
      <c r="CD56" s="34"/>
    </row>
    <row r="57" spans="1:82" s="112" customFormat="1" ht="19.5" customHeight="1" x14ac:dyDescent="0.2">
      <c r="A57" s="111">
        <v>43</v>
      </c>
      <c r="B57" s="35" t="str">
        <f t="shared" si="8"/>
        <v/>
      </c>
      <c r="C57" s="32"/>
      <c r="D57" s="15"/>
      <c r="E57" s="1"/>
      <c r="F57" s="36" t="str">
        <f>IFERROR(VLOOKUP('A2 (Öhdəliklər)'!E57,List!A:B,2,0),"")</f>
        <v/>
      </c>
      <c r="G57" s="1"/>
      <c r="H57" s="36" t="str">
        <f>IFERROR(VLOOKUP('A2 (Öhdəliklər)'!G57,List!G:H,2,0),"")</f>
        <v/>
      </c>
      <c r="I57" s="1"/>
      <c r="J57" s="36" t="str">
        <f>IFERROR(VLOOKUP('A2 (Öhdəliklər)'!I57,List!C:D,2,0),"")</f>
        <v/>
      </c>
      <c r="K57" s="1"/>
      <c r="L57" s="36" t="str">
        <f>IFERROR(VLOOKUP('A2 (Öhdəliklər)'!K57,List!E:F,2,0),"")</f>
        <v/>
      </c>
      <c r="M57" s="1"/>
      <c r="N57" s="36" t="str">
        <f>IFERROR(VLOOKUP('A2 (Öhdəliklər)'!M57,List!M:N,2,0),"")</f>
        <v/>
      </c>
      <c r="O57" s="1"/>
      <c r="P57" s="36" t="str">
        <f>IFERROR(VLOOKUP('A2 (Öhdəliklər)'!O57,List!S:T,2,0),"")</f>
        <v/>
      </c>
      <c r="Q57" s="1"/>
      <c r="R57" s="36" t="str">
        <f>IFERROR(VLOOKUP('A2 (Öhdəliklər)'!Q57,List!K:L,2,0),"")</f>
        <v/>
      </c>
      <c r="S57" s="16"/>
      <c r="T57" s="16"/>
      <c r="U57" s="17"/>
      <c r="V57" s="17"/>
      <c r="W57" s="20"/>
      <c r="X57" s="18"/>
      <c r="Y57" s="1"/>
      <c r="Z57" s="36" t="str">
        <f>IFERROR(VLOOKUP('A2 (Öhdəliklər)'!Y57,List!O:P,2,0),"")</f>
        <v/>
      </c>
      <c r="AA57" s="19"/>
      <c r="AB57" s="19"/>
      <c r="AC57" s="37">
        <f t="shared" si="9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IFERROR(VLOOKUP('A2 (Öhdəliklər)'!AY57,List!Q:R,2,0),"")</f>
        <v/>
      </c>
      <c r="BA57" s="38">
        <f t="shared" si="10"/>
        <v>0</v>
      </c>
      <c r="BB57" s="38">
        <f t="shared" si="11"/>
        <v>0</v>
      </c>
      <c r="BC57" s="39">
        <f t="shared" si="12"/>
        <v>0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IFERROR(VLOOKUP('A2 (Öhdəliklər)'!CB57,List!$Z$2:$AA$8,2,0),"")</f>
        <v/>
      </c>
      <c r="CD57" s="34"/>
    </row>
    <row r="58" spans="1:82" s="112" customFormat="1" ht="19.5" customHeight="1" x14ac:dyDescent="0.2">
      <c r="A58" s="111">
        <v>44</v>
      </c>
      <c r="B58" s="35" t="str">
        <f t="shared" si="8"/>
        <v/>
      </c>
      <c r="C58" s="32"/>
      <c r="D58" s="15"/>
      <c r="E58" s="1"/>
      <c r="F58" s="36" t="str">
        <f>IFERROR(VLOOKUP('A2 (Öhdəliklər)'!E58,List!A:B,2,0),"")</f>
        <v/>
      </c>
      <c r="G58" s="1"/>
      <c r="H58" s="36" t="str">
        <f>IFERROR(VLOOKUP('A2 (Öhdəliklər)'!G58,List!G:H,2,0),"")</f>
        <v/>
      </c>
      <c r="I58" s="1"/>
      <c r="J58" s="36" t="str">
        <f>IFERROR(VLOOKUP('A2 (Öhdəliklər)'!I58,List!C:D,2,0),"")</f>
        <v/>
      </c>
      <c r="K58" s="1"/>
      <c r="L58" s="36" t="str">
        <f>IFERROR(VLOOKUP('A2 (Öhdəliklər)'!K58,List!E:F,2,0),"")</f>
        <v/>
      </c>
      <c r="M58" s="1"/>
      <c r="N58" s="36" t="str">
        <f>IFERROR(VLOOKUP('A2 (Öhdəliklər)'!M58,List!M:N,2,0),"")</f>
        <v/>
      </c>
      <c r="O58" s="1"/>
      <c r="P58" s="36" t="str">
        <f>IFERROR(VLOOKUP('A2 (Öhdəliklər)'!O58,List!S:T,2,0),"")</f>
        <v/>
      </c>
      <c r="Q58" s="1"/>
      <c r="R58" s="36" t="str">
        <f>IFERROR(VLOOKUP('A2 (Öhdəliklər)'!Q58,List!K:L,2,0),"")</f>
        <v/>
      </c>
      <c r="S58" s="16"/>
      <c r="T58" s="16"/>
      <c r="U58" s="17"/>
      <c r="V58" s="17"/>
      <c r="W58" s="20"/>
      <c r="X58" s="18"/>
      <c r="Y58" s="1"/>
      <c r="Z58" s="36" t="str">
        <f>IFERROR(VLOOKUP('A2 (Öhdəliklər)'!Y58,List!O:P,2,0),"")</f>
        <v/>
      </c>
      <c r="AA58" s="19"/>
      <c r="AB58" s="19"/>
      <c r="AC58" s="37">
        <f t="shared" si="9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IFERROR(VLOOKUP('A2 (Öhdəliklər)'!AY58,List!Q:R,2,0),"")</f>
        <v/>
      </c>
      <c r="BA58" s="38">
        <f t="shared" si="10"/>
        <v>0</v>
      </c>
      <c r="BB58" s="38">
        <f t="shared" si="11"/>
        <v>0</v>
      </c>
      <c r="BC58" s="39">
        <f t="shared" si="12"/>
        <v>0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IFERROR(VLOOKUP('A2 (Öhdəliklər)'!CB58,List!$Z$2:$AA$8,2,0),"")</f>
        <v/>
      </c>
      <c r="CD58" s="34"/>
    </row>
    <row r="59" spans="1:82" s="112" customFormat="1" ht="19.5" customHeight="1" x14ac:dyDescent="0.2">
      <c r="A59" s="111">
        <v>45</v>
      </c>
      <c r="B59" s="35" t="str">
        <f t="shared" si="8"/>
        <v/>
      </c>
      <c r="C59" s="32"/>
      <c r="D59" s="15"/>
      <c r="E59" s="1"/>
      <c r="F59" s="36" t="str">
        <f>IFERROR(VLOOKUP('A2 (Öhdəliklər)'!E59,List!A:B,2,0),"")</f>
        <v/>
      </c>
      <c r="G59" s="1"/>
      <c r="H59" s="36" t="str">
        <f>IFERROR(VLOOKUP('A2 (Öhdəliklər)'!G59,List!G:H,2,0),"")</f>
        <v/>
      </c>
      <c r="I59" s="1"/>
      <c r="J59" s="36" t="str">
        <f>IFERROR(VLOOKUP('A2 (Öhdəliklər)'!I59,List!C:D,2,0),"")</f>
        <v/>
      </c>
      <c r="K59" s="1"/>
      <c r="L59" s="36" t="str">
        <f>IFERROR(VLOOKUP('A2 (Öhdəliklər)'!K59,List!E:F,2,0),"")</f>
        <v/>
      </c>
      <c r="M59" s="1"/>
      <c r="N59" s="36" t="str">
        <f>IFERROR(VLOOKUP('A2 (Öhdəliklər)'!M59,List!M:N,2,0),"")</f>
        <v/>
      </c>
      <c r="O59" s="1"/>
      <c r="P59" s="36" t="str">
        <f>IFERROR(VLOOKUP('A2 (Öhdəliklər)'!O59,List!S:T,2,0),"")</f>
        <v/>
      </c>
      <c r="Q59" s="1"/>
      <c r="R59" s="36" t="str">
        <f>IFERROR(VLOOKUP('A2 (Öhdəliklər)'!Q59,List!K:L,2,0),"")</f>
        <v/>
      </c>
      <c r="S59" s="16"/>
      <c r="T59" s="16"/>
      <c r="U59" s="17"/>
      <c r="V59" s="17"/>
      <c r="W59" s="20"/>
      <c r="X59" s="18"/>
      <c r="Y59" s="1"/>
      <c r="Z59" s="36" t="str">
        <f>IFERROR(VLOOKUP('A2 (Öhdəliklər)'!Y59,List!O:P,2,0),"")</f>
        <v/>
      </c>
      <c r="AA59" s="19"/>
      <c r="AB59" s="19"/>
      <c r="AC59" s="37">
        <f t="shared" si="9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IFERROR(VLOOKUP('A2 (Öhdəliklər)'!AY59,List!Q:R,2,0),"")</f>
        <v/>
      </c>
      <c r="BA59" s="38">
        <f t="shared" si="10"/>
        <v>0</v>
      </c>
      <c r="BB59" s="38">
        <f t="shared" si="11"/>
        <v>0</v>
      </c>
      <c r="BC59" s="39">
        <f t="shared" si="12"/>
        <v>0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IFERROR(VLOOKUP('A2 (Öhdəliklər)'!CB59,List!$Z$2:$AA$8,2,0),"")</f>
        <v/>
      </c>
      <c r="CD59" s="34"/>
    </row>
    <row r="60" spans="1:82" s="112" customFormat="1" ht="19.5" customHeight="1" x14ac:dyDescent="0.2">
      <c r="A60" s="111">
        <v>46</v>
      </c>
      <c r="B60" s="35" t="str">
        <f t="shared" si="8"/>
        <v/>
      </c>
      <c r="C60" s="32"/>
      <c r="D60" s="15"/>
      <c r="E60" s="1"/>
      <c r="F60" s="36" t="str">
        <f>IFERROR(VLOOKUP('A2 (Öhdəliklər)'!E60,List!A:B,2,0),"")</f>
        <v/>
      </c>
      <c r="G60" s="1"/>
      <c r="H60" s="36" t="str">
        <f>IFERROR(VLOOKUP('A2 (Öhdəliklər)'!G60,List!G:H,2,0),"")</f>
        <v/>
      </c>
      <c r="I60" s="1"/>
      <c r="J60" s="36" t="str">
        <f>IFERROR(VLOOKUP('A2 (Öhdəliklər)'!I60,List!C:D,2,0),"")</f>
        <v/>
      </c>
      <c r="K60" s="1"/>
      <c r="L60" s="36" t="str">
        <f>IFERROR(VLOOKUP('A2 (Öhdəliklər)'!K60,List!E:F,2,0),"")</f>
        <v/>
      </c>
      <c r="M60" s="1"/>
      <c r="N60" s="36" t="str">
        <f>IFERROR(VLOOKUP('A2 (Öhdəliklər)'!M60,List!M:N,2,0),"")</f>
        <v/>
      </c>
      <c r="O60" s="1"/>
      <c r="P60" s="36" t="str">
        <f>IFERROR(VLOOKUP('A2 (Öhdəliklər)'!O60,List!S:T,2,0),"")</f>
        <v/>
      </c>
      <c r="Q60" s="1"/>
      <c r="R60" s="36" t="str">
        <f>IFERROR(VLOOKUP('A2 (Öhdəliklər)'!Q60,List!K:L,2,0),"")</f>
        <v/>
      </c>
      <c r="S60" s="16"/>
      <c r="T60" s="16"/>
      <c r="U60" s="17"/>
      <c r="V60" s="17"/>
      <c r="W60" s="20"/>
      <c r="X60" s="18"/>
      <c r="Y60" s="1"/>
      <c r="Z60" s="36" t="str">
        <f>IFERROR(VLOOKUP('A2 (Öhdəliklər)'!Y60,List!O:P,2,0),"")</f>
        <v/>
      </c>
      <c r="AA60" s="19"/>
      <c r="AB60" s="19"/>
      <c r="AC60" s="37">
        <f t="shared" si="9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IFERROR(VLOOKUP('A2 (Öhdəliklər)'!AY60,List!Q:R,2,0),"")</f>
        <v/>
      </c>
      <c r="BA60" s="38">
        <f t="shared" si="10"/>
        <v>0</v>
      </c>
      <c r="BB60" s="38">
        <f t="shared" si="11"/>
        <v>0</v>
      </c>
      <c r="BC60" s="39">
        <f t="shared" si="12"/>
        <v>0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IFERROR(VLOOKUP('A2 (Öhdəliklər)'!CB60,List!$Z$2:$AA$8,2,0),"")</f>
        <v/>
      </c>
      <c r="CD60" s="34"/>
    </row>
    <row r="61" spans="1:82" s="112" customFormat="1" ht="19.5" customHeight="1" x14ac:dyDescent="0.2">
      <c r="A61" s="111">
        <v>47</v>
      </c>
      <c r="B61" s="35" t="str">
        <f t="shared" si="8"/>
        <v/>
      </c>
      <c r="C61" s="32"/>
      <c r="D61" s="15"/>
      <c r="E61" s="1"/>
      <c r="F61" s="36" t="str">
        <f>IFERROR(VLOOKUP('A2 (Öhdəliklər)'!E61,List!A:B,2,0),"")</f>
        <v/>
      </c>
      <c r="G61" s="1"/>
      <c r="H61" s="36" t="str">
        <f>IFERROR(VLOOKUP('A2 (Öhdəliklər)'!G61,List!G:H,2,0),"")</f>
        <v/>
      </c>
      <c r="I61" s="1"/>
      <c r="J61" s="36" t="str">
        <f>IFERROR(VLOOKUP('A2 (Öhdəliklər)'!I61,List!C:D,2,0),"")</f>
        <v/>
      </c>
      <c r="K61" s="1"/>
      <c r="L61" s="36" t="str">
        <f>IFERROR(VLOOKUP('A2 (Öhdəliklər)'!K61,List!E:F,2,0),"")</f>
        <v/>
      </c>
      <c r="M61" s="1"/>
      <c r="N61" s="36" t="str">
        <f>IFERROR(VLOOKUP('A2 (Öhdəliklər)'!M61,List!M:N,2,0),"")</f>
        <v/>
      </c>
      <c r="O61" s="1"/>
      <c r="P61" s="36" t="str">
        <f>IFERROR(VLOOKUP('A2 (Öhdəliklər)'!O61,List!S:T,2,0),"")</f>
        <v/>
      </c>
      <c r="Q61" s="1"/>
      <c r="R61" s="36" t="str">
        <f>IFERROR(VLOOKUP('A2 (Öhdəliklər)'!Q61,List!K:L,2,0),"")</f>
        <v/>
      </c>
      <c r="S61" s="16"/>
      <c r="T61" s="16"/>
      <c r="U61" s="17"/>
      <c r="V61" s="17"/>
      <c r="W61" s="20"/>
      <c r="X61" s="18"/>
      <c r="Y61" s="1"/>
      <c r="Z61" s="36" t="str">
        <f>IFERROR(VLOOKUP('A2 (Öhdəliklər)'!Y61,List!O:P,2,0),"")</f>
        <v/>
      </c>
      <c r="AA61" s="19"/>
      <c r="AB61" s="19"/>
      <c r="AC61" s="37">
        <f t="shared" si="9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IFERROR(VLOOKUP('A2 (Öhdəliklər)'!AY61,List!Q:R,2,0),"")</f>
        <v/>
      </c>
      <c r="BA61" s="38">
        <f t="shared" si="10"/>
        <v>0</v>
      </c>
      <c r="BB61" s="38">
        <f t="shared" si="11"/>
        <v>0</v>
      </c>
      <c r="BC61" s="39">
        <f t="shared" si="12"/>
        <v>0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IFERROR(VLOOKUP('A2 (Öhdəliklər)'!CB61,List!$Z$2:$AA$8,2,0),"")</f>
        <v/>
      </c>
      <c r="CD61" s="34"/>
    </row>
    <row r="62" spans="1:82" s="112" customFormat="1" ht="19.5" customHeight="1" x14ac:dyDescent="0.2">
      <c r="A62" s="111">
        <v>48</v>
      </c>
      <c r="B62" s="35" t="str">
        <f t="shared" si="8"/>
        <v/>
      </c>
      <c r="C62" s="32"/>
      <c r="D62" s="15"/>
      <c r="E62" s="1"/>
      <c r="F62" s="36" t="str">
        <f>IFERROR(VLOOKUP('A2 (Öhdəliklər)'!E62,List!A:B,2,0),"")</f>
        <v/>
      </c>
      <c r="G62" s="1"/>
      <c r="H62" s="36" t="str">
        <f>IFERROR(VLOOKUP('A2 (Öhdəliklər)'!G62,List!G:H,2,0),"")</f>
        <v/>
      </c>
      <c r="I62" s="1"/>
      <c r="J62" s="36" t="str">
        <f>IFERROR(VLOOKUP('A2 (Öhdəliklər)'!I62,List!C:D,2,0),"")</f>
        <v/>
      </c>
      <c r="K62" s="1"/>
      <c r="L62" s="36" t="str">
        <f>IFERROR(VLOOKUP('A2 (Öhdəliklər)'!K62,List!E:F,2,0),"")</f>
        <v/>
      </c>
      <c r="M62" s="1"/>
      <c r="N62" s="36" t="str">
        <f>IFERROR(VLOOKUP('A2 (Öhdəliklər)'!M62,List!M:N,2,0),"")</f>
        <v/>
      </c>
      <c r="O62" s="1"/>
      <c r="P62" s="36" t="str">
        <f>IFERROR(VLOOKUP('A2 (Öhdəliklər)'!O62,List!S:T,2,0),"")</f>
        <v/>
      </c>
      <c r="Q62" s="1"/>
      <c r="R62" s="36" t="str">
        <f>IFERROR(VLOOKUP('A2 (Öhdəliklər)'!Q62,List!K:L,2,0),"")</f>
        <v/>
      </c>
      <c r="S62" s="16"/>
      <c r="T62" s="16"/>
      <c r="U62" s="17"/>
      <c r="V62" s="17"/>
      <c r="W62" s="20"/>
      <c r="X62" s="18"/>
      <c r="Y62" s="1"/>
      <c r="Z62" s="36" t="str">
        <f>IFERROR(VLOOKUP('A2 (Öhdəliklər)'!Y62,List!O:P,2,0),"")</f>
        <v/>
      </c>
      <c r="AA62" s="19"/>
      <c r="AB62" s="19"/>
      <c r="AC62" s="37">
        <f t="shared" si="9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IFERROR(VLOOKUP('A2 (Öhdəliklər)'!AY62,List!Q:R,2,0),"")</f>
        <v/>
      </c>
      <c r="BA62" s="38">
        <f t="shared" si="10"/>
        <v>0</v>
      </c>
      <c r="BB62" s="38">
        <f t="shared" si="11"/>
        <v>0</v>
      </c>
      <c r="BC62" s="39">
        <f t="shared" si="12"/>
        <v>0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IFERROR(VLOOKUP('A2 (Öhdəliklər)'!CB62,List!$Z$2:$AA$8,2,0),"")</f>
        <v/>
      </c>
      <c r="CD62" s="34"/>
    </row>
    <row r="63" spans="1:82" s="112" customFormat="1" ht="19.5" customHeight="1" x14ac:dyDescent="0.2">
      <c r="A63" s="111">
        <v>49</v>
      </c>
      <c r="B63" s="35" t="str">
        <f t="shared" si="8"/>
        <v/>
      </c>
      <c r="C63" s="32"/>
      <c r="D63" s="15"/>
      <c r="E63" s="1"/>
      <c r="F63" s="36" t="str">
        <f>IFERROR(VLOOKUP('A2 (Öhdəliklər)'!E63,List!A:B,2,0),"")</f>
        <v/>
      </c>
      <c r="G63" s="1"/>
      <c r="H63" s="36" t="str">
        <f>IFERROR(VLOOKUP('A2 (Öhdəliklər)'!G63,List!G:H,2,0),"")</f>
        <v/>
      </c>
      <c r="I63" s="1"/>
      <c r="J63" s="36" t="str">
        <f>IFERROR(VLOOKUP('A2 (Öhdəliklər)'!I63,List!C:D,2,0),"")</f>
        <v/>
      </c>
      <c r="K63" s="1"/>
      <c r="L63" s="36" t="str">
        <f>IFERROR(VLOOKUP('A2 (Öhdəliklər)'!K63,List!E:F,2,0),"")</f>
        <v/>
      </c>
      <c r="M63" s="1"/>
      <c r="N63" s="36" t="str">
        <f>IFERROR(VLOOKUP('A2 (Öhdəliklər)'!M63,List!M:N,2,0),"")</f>
        <v/>
      </c>
      <c r="O63" s="1"/>
      <c r="P63" s="36" t="str">
        <f>IFERROR(VLOOKUP('A2 (Öhdəliklər)'!O63,List!S:T,2,0),"")</f>
        <v/>
      </c>
      <c r="Q63" s="1"/>
      <c r="R63" s="36" t="str">
        <f>IFERROR(VLOOKUP('A2 (Öhdəliklər)'!Q63,List!K:L,2,0),"")</f>
        <v/>
      </c>
      <c r="S63" s="16"/>
      <c r="T63" s="16"/>
      <c r="U63" s="17"/>
      <c r="V63" s="17"/>
      <c r="W63" s="20"/>
      <c r="X63" s="18"/>
      <c r="Y63" s="1"/>
      <c r="Z63" s="36" t="str">
        <f>IFERROR(VLOOKUP('A2 (Öhdəliklər)'!Y63,List!O:P,2,0),"")</f>
        <v/>
      </c>
      <c r="AA63" s="19"/>
      <c r="AB63" s="19"/>
      <c r="AC63" s="37">
        <f t="shared" si="9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IFERROR(VLOOKUP('A2 (Öhdəliklər)'!AY63,List!Q:R,2,0),"")</f>
        <v/>
      </c>
      <c r="BA63" s="38">
        <f t="shared" si="10"/>
        <v>0</v>
      </c>
      <c r="BB63" s="38">
        <f t="shared" si="11"/>
        <v>0</v>
      </c>
      <c r="BC63" s="39">
        <f t="shared" si="12"/>
        <v>0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IFERROR(VLOOKUP('A2 (Öhdəliklər)'!CB63,List!$Z$2:$AA$8,2,0),"")</f>
        <v/>
      </c>
      <c r="CD63" s="34"/>
    </row>
    <row r="64" spans="1:82" s="112" customFormat="1" ht="19.5" customHeight="1" x14ac:dyDescent="0.2">
      <c r="A64" s="111">
        <v>50</v>
      </c>
      <c r="B64" s="35" t="str">
        <f t="shared" si="8"/>
        <v/>
      </c>
      <c r="C64" s="32"/>
      <c r="D64" s="15"/>
      <c r="E64" s="1"/>
      <c r="F64" s="36" t="str">
        <f>IFERROR(VLOOKUP('A2 (Öhdəliklər)'!E64,List!A:B,2,0),"")</f>
        <v/>
      </c>
      <c r="G64" s="1"/>
      <c r="H64" s="36" t="str">
        <f>IFERROR(VLOOKUP('A2 (Öhdəliklər)'!G64,List!G:H,2,0),"")</f>
        <v/>
      </c>
      <c r="I64" s="1"/>
      <c r="J64" s="36" t="str">
        <f>IFERROR(VLOOKUP('A2 (Öhdəliklər)'!I64,List!C:D,2,0),"")</f>
        <v/>
      </c>
      <c r="K64" s="1"/>
      <c r="L64" s="36" t="str">
        <f>IFERROR(VLOOKUP('A2 (Öhdəliklər)'!K64,List!E:F,2,0),"")</f>
        <v/>
      </c>
      <c r="M64" s="1"/>
      <c r="N64" s="36" t="str">
        <f>IFERROR(VLOOKUP('A2 (Öhdəliklər)'!M64,List!M:N,2,0),"")</f>
        <v/>
      </c>
      <c r="O64" s="1"/>
      <c r="P64" s="36" t="str">
        <f>IFERROR(VLOOKUP('A2 (Öhdəliklər)'!O64,List!S:T,2,0),"")</f>
        <v/>
      </c>
      <c r="Q64" s="1"/>
      <c r="R64" s="36" t="str">
        <f>IFERROR(VLOOKUP('A2 (Öhdəliklər)'!Q64,List!K:L,2,0),"")</f>
        <v/>
      </c>
      <c r="S64" s="16"/>
      <c r="T64" s="16"/>
      <c r="U64" s="17"/>
      <c r="V64" s="17"/>
      <c r="W64" s="20"/>
      <c r="X64" s="18"/>
      <c r="Y64" s="1"/>
      <c r="Z64" s="36" t="str">
        <f>IFERROR(VLOOKUP('A2 (Öhdəliklər)'!Y64,List!O:P,2,0),"")</f>
        <v/>
      </c>
      <c r="AA64" s="19"/>
      <c r="AB64" s="19"/>
      <c r="AC64" s="37">
        <f t="shared" si="9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IFERROR(VLOOKUP('A2 (Öhdəliklər)'!AY64,List!Q:R,2,0),"")</f>
        <v/>
      </c>
      <c r="BA64" s="38">
        <f t="shared" si="10"/>
        <v>0</v>
      </c>
      <c r="BB64" s="38">
        <f t="shared" si="11"/>
        <v>0</v>
      </c>
      <c r="BC64" s="39">
        <f t="shared" si="12"/>
        <v>0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IFERROR(VLOOKUP('A2 (Öhdəliklər)'!CB64,List!$Z$2:$AA$8,2,0),"")</f>
        <v/>
      </c>
      <c r="CD64" s="34"/>
    </row>
    <row r="65" spans="1:82" s="112" customFormat="1" ht="19.5" customHeight="1" x14ac:dyDescent="0.2">
      <c r="A65" s="111">
        <v>51</v>
      </c>
      <c r="B65" s="35" t="str">
        <f t="shared" si="8"/>
        <v/>
      </c>
      <c r="C65" s="32"/>
      <c r="D65" s="15"/>
      <c r="E65" s="1"/>
      <c r="F65" s="36" t="str">
        <f>IFERROR(VLOOKUP('A2 (Öhdəliklər)'!E65,List!A:B,2,0),"")</f>
        <v/>
      </c>
      <c r="G65" s="1"/>
      <c r="H65" s="36" t="str">
        <f>IFERROR(VLOOKUP('A2 (Öhdəliklər)'!G65,List!G:H,2,0),"")</f>
        <v/>
      </c>
      <c r="I65" s="1"/>
      <c r="J65" s="36" t="str">
        <f>IFERROR(VLOOKUP('A2 (Öhdəliklər)'!I65,List!C:D,2,0),"")</f>
        <v/>
      </c>
      <c r="K65" s="1"/>
      <c r="L65" s="36" t="str">
        <f>IFERROR(VLOOKUP('A2 (Öhdəliklər)'!K65,List!E:F,2,0),"")</f>
        <v/>
      </c>
      <c r="M65" s="1"/>
      <c r="N65" s="36" t="str">
        <f>IFERROR(VLOOKUP('A2 (Öhdəliklər)'!M65,List!M:N,2,0),"")</f>
        <v/>
      </c>
      <c r="O65" s="1"/>
      <c r="P65" s="36" t="str">
        <f>IFERROR(VLOOKUP('A2 (Öhdəliklər)'!O65,List!S:T,2,0),"")</f>
        <v/>
      </c>
      <c r="Q65" s="1"/>
      <c r="R65" s="36" t="str">
        <f>IFERROR(VLOOKUP('A2 (Öhdəliklər)'!Q65,List!K:L,2,0),"")</f>
        <v/>
      </c>
      <c r="S65" s="16"/>
      <c r="T65" s="16"/>
      <c r="U65" s="17"/>
      <c r="V65" s="17"/>
      <c r="W65" s="20"/>
      <c r="X65" s="18"/>
      <c r="Y65" s="1"/>
      <c r="Z65" s="36" t="str">
        <f>IFERROR(VLOOKUP('A2 (Öhdəliklər)'!Y65,List!O:P,2,0),"")</f>
        <v/>
      </c>
      <c r="AA65" s="19"/>
      <c r="AB65" s="19"/>
      <c r="AC65" s="37">
        <f t="shared" si="9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IFERROR(VLOOKUP('A2 (Öhdəliklər)'!AY65,List!Q:R,2,0),"")</f>
        <v/>
      </c>
      <c r="BA65" s="38">
        <f t="shared" si="10"/>
        <v>0</v>
      </c>
      <c r="BB65" s="38">
        <f t="shared" si="11"/>
        <v>0</v>
      </c>
      <c r="BC65" s="39">
        <f t="shared" si="12"/>
        <v>0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IFERROR(VLOOKUP('A2 (Öhdəliklər)'!CB65,List!$Z$2:$AA$8,2,0),"")</f>
        <v/>
      </c>
      <c r="CD65" s="34"/>
    </row>
    <row r="66" spans="1:82" s="112" customFormat="1" ht="19.5" customHeight="1" x14ac:dyDescent="0.2">
      <c r="A66" s="111">
        <v>52</v>
      </c>
      <c r="B66" s="35" t="str">
        <f t="shared" ref="B66:B125" si="16">IF((C66&amp;"-"&amp;D66&amp;"-"&amp;F66&amp;"-"&amp;H66&amp;"-"&amp;P66&amp;"-"&amp;N66)="-----","",(C66&amp;"-"&amp;D66&amp;"-"&amp;F66&amp;"-"&amp;H66&amp;"-"&amp;P66&amp;"-"&amp;N66))</f>
        <v/>
      </c>
      <c r="C66" s="32"/>
      <c r="D66" s="15"/>
      <c r="E66" s="1"/>
      <c r="F66" s="36" t="str">
        <f>IFERROR(VLOOKUP('A2 (Öhdəliklər)'!E66,List!A:B,2,0),"")</f>
        <v/>
      </c>
      <c r="G66" s="1"/>
      <c r="H66" s="36" t="str">
        <f>IFERROR(VLOOKUP('A2 (Öhdəliklər)'!G66,List!G:H,2,0),"")</f>
        <v/>
      </c>
      <c r="I66" s="1"/>
      <c r="J66" s="36" t="str">
        <f>IFERROR(VLOOKUP('A2 (Öhdəliklər)'!I66,List!C:D,2,0),"")</f>
        <v/>
      </c>
      <c r="K66" s="1"/>
      <c r="L66" s="36" t="str">
        <f>IFERROR(VLOOKUP('A2 (Öhdəliklər)'!K66,List!E:F,2,0),"")</f>
        <v/>
      </c>
      <c r="M66" s="1"/>
      <c r="N66" s="36" t="str">
        <f>IFERROR(VLOOKUP('A2 (Öhdəliklər)'!M66,List!M:N,2,0),"")</f>
        <v/>
      </c>
      <c r="O66" s="1"/>
      <c r="P66" s="36" t="str">
        <f>IFERROR(VLOOKUP('A2 (Öhdəliklər)'!O66,List!S:T,2,0),"")</f>
        <v/>
      </c>
      <c r="Q66" s="1"/>
      <c r="R66" s="36" t="str">
        <f>IFERROR(VLOOKUP('A2 (Öhdəliklər)'!Q66,List!K:L,2,0),"")</f>
        <v/>
      </c>
      <c r="S66" s="16"/>
      <c r="T66" s="16"/>
      <c r="U66" s="17"/>
      <c r="V66" s="17"/>
      <c r="W66" s="20"/>
      <c r="X66" s="18"/>
      <c r="Y66" s="1"/>
      <c r="Z66" s="36" t="str">
        <f>IFERROR(VLOOKUP('A2 (Öhdəliklər)'!Y66,List!O:P,2,0),"")</f>
        <v/>
      </c>
      <c r="AA66" s="19"/>
      <c r="AB66" s="19"/>
      <c r="AC66" s="37">
        <f t="shared" ref="AC66:AC125" si="17">AD66+AF66</f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IFERROR(VLOOKUP('A2 (Öhdəliklər)'!AY66,List!Q:R,2,0),"")</f>
        <v/>
      </c>
      <c r="BA66" s="38">
        <f t="shared" ref="BA66:BA125" si="18">AB66+AH66-AM66+AR66+AT66</f>
        <v>0</v>
      </c>
      <c r="BB66" s="38">
        <f t="shared" ref="BB66:BB125" si="19">BC66+BE66</f>
        <v>0</v>
      </c>
      <c r="BC66" s="39">
        <f t="shared" ref="BC66:BC125" si="20">AD66+AI66-AN66+AS66+AU66</f>
        <v>0</v>
      </c>
      <c r="BD66" s="39">
        <f t="shared" ref="BD66:BD125" si="21">AE66+AJ66-AO66+AV66</f>
        <v>0</v>
      </c>
      <c r="BE66" s="39">
        <f t="shared" ref="BE66:BE125" si="22">AF66+AK66-AP66+AW66</f>
        <v>0</v>
      </c>
      <c r="BF66" s="39">
        <f t="shared" ref="BF66:BF125" si="23">AG66+AL66-AQ66+AX66</f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IFERROR(VLOOKUP('A2 (Öhdəliklər)'!CB66,List!$Z$2:$AA$8,2,0),"")</f>
        <v/>
      </c>
      <c r="CD66" s="34"/>
    </row>
    <row r="67" spans="1:82" s="112" customFormat="1" ht="19.5" customHeight="1" x14ac:dyDescent="0.2">
      <c r="A67" s="111">
        <v>53</v>
      </c>
      <c r="B67" s="35" t="str">
        <f t="shared" si="16"/>
        <v/>
      </c>
      <c r="C67" s="32"/>
      <c r="D67" s="15"/>
      <c r="E67" s="1"/>
      <c r="F67" s="36" t="str">
        <f>IFERROR(VLOOKUP('A2 (Öhdəliklər)'!E67,List!A:B,2,0),"")</f>
        <v/>
      </c>
      <c r="G67" s="1"/>
      <c r="H67" s="36" t="str">
        <f>IFERROR(VLOOKUP('A2 (Öhdəliklər)'!G67,List!G:H,2,0),"")</f>
        <v/>
      </c>
      <c r="I67" s="1"/>
      <c r="J67" s="36" t="str">
        <f>IFERROR(VLOOKUP('A2 (Öhdəliklər)'!I67,List!C:D,2,0),"")</f>
        <v/>
      </c>
      <c r="K67" s="1"/>
      <c r="L67" s="36" t="str">
        <f>IFERROR(VLOOKUP('A2 (Öhdəliklər)'!K67,List!E:F,2,0),"")</f>
        <v/>
      </c>
      <c r="M67" s="1"/>
      <c r="N67" s="36" t="str">
        <f>IFERROR(VLOOKUP('A2 (Öhdəliklər)'!M67,List!M:N,2,0),"")</f>
        <v/>
      </c>
      <c r="O67" s="1"/>
      <c r="P67" s="36" t="str">
        <f>IFERROR(VLOOKUP('A2 (Öhdəliklər)'!O67,List!S:T,2,0),"")</f>
        <v/>
      </c>
      <c r="Q67" s="1"/>
      <c r="R67" s="36" t="str">
        <f>IFERROR(VLOOKUP('A2 (Öhdəliklər)'!Q67,List!K:L,2,0),"")</f>
        <v/>
      </c>
      <c r="S67" s="16"/>
      <c r="T67" s="16"/>
      <c r="U67" s="17"/>
      <c r="V67" s="17"/>
      <c r="W67" s="20"/>
      <c r="X67" s="18"/>
      <c r="Y67" s="1"/>
      <c r="Z67" s="36" t="str">
        <f>IFERROR(VLOOKUP('A2 (Öhdəliklər)'!Y67,List!O:P,2,0),"")</f>
        <v/>
      </c>
      <c r="AA67" s="19"/>
      <c r="AB67" s="19"/>
      <c r="AC67" s="37">
        <f t="shared" si="17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IFERROR(VLOOKUP('A2 (Öhdəliklər)'!AY67,List!Q:R,2,0),"")</f>
        <v/>
      </c>
      <c r="BA67" s="38">
        <f t="shared" si="18"/>
        <v>0</v>
      </c>
      <c r="BB67" s="38">
        <f t="shared" si="19"/>
        <v>0</v>
      </c>
      <c r="BC67" s="39">
        <f t="shared" si="20"/>
        <v>0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IFERROR(VLOOKUP('A2 (Öhdəliklər)'!CB67,List!$Z$2:$AA$8,2,0),"")</f>
        <v/>
      </c>
      <c r="CD67" s="34"/>
    </row>
    <row r="68" spans="1:82" s="112" customFormat="1" ht="19.5" customHeight="1" x14ac:dyDescent="0.2">
      <c r="A68" s="111">
        <v>54</v>
      </c>
      <c r="B68" s="35" t="str">
        <f t="shared" si="16"/>
        <v/>
      </c>
      <c r="C68" s="32"/>
      <c r="D68" s="15"/>
      <c r="E68" s="1"/>
      <c r="F68" s="36" t="str">
        <f>IFERROR(VLOOKUP('A2 (Öhdəliklər)'!E68,List!A:B,2,0),"")</f>
        <v/>
      </c>
      <c r="G68" s="1"/>
      <c r="H68" s="36" t="str">
        <f>IFERROR(VLOOKUP('A2 (Öhdəliklər)'!G68,List!G:H,2,0),"")</f>
        <v/>
      </c>
      <c r="I68" s="1"/>
      <c r="J68" s="36" t="str">
        <f>IFERROR(VLOOKUP('A2 (Öhdəliklər)'!I68,List!C:D,2,0),"")</f>
        <v/>
      </c>
      <c r="K68" s="1"/>
      <c r="L68" s="36" t="str">
        <f>IFERROR(VLOOKUP('A2 (Öhdəliklər)'!K68,List!E:F,2,0),"")</f>
        <v/>
      </c>
      <c r="M68" s="1"/>
      <c r="N68" s="36" t="str">
        <f>IFERROR(VLOOKUP('A2 (Öhdəliklər)'!M68,List!M:N,2,0),"")</f>
        <v/>
      </c>
      <c r="O68" s="1"/>
      <c r="P68" s="36" t="str">
        <f>IFERROR(VLOOKUP('A2 (Öhdəliklər)'!O68,List!S:T,2,0),"")</f>
        <v/>
      </c>
      <c r="Q68" s="1"/>
      <c r="R68" s="36" t="str">
        <f>IFERROR(VLOOKUP('A2 (Öhdəliklər)'!Q68,List!K:L,2,0),"")</f>
        <v/>
      </c>
      <c r="S68" s="16"/>
      <c r="T68" s="16"/>
      <c r="U68" s="17"/>
      <c r="V68" s="17"/>
      <c r="W68" s="20"/>
      <c r="X68" s="18"/>
      <c r="Y68" s="1"/>
      <c r="Z68" s="36" t="str">
        <f>IFERROR(VLOOKUP('A2 (Öhdəliklər)'!Y68,List!O:P,2,0),"")</f>
        <v/>
      </c>
      <c r="AA68" s="19"/>
      <c r="AB68" s="19"/>
      <c r="AC68" s="37">
        <f t="shared" si="17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IFERROR(VLOOKUP('A2 (Öhdəliklər)'!AY68,List!Q:R,2,0),"")</f>
        <v/>
      </c>
      <c r="BA68" s="38">
        <f t="shared" si="18"/>
        <v>0</v>
      </c>
      <c r="BB68" s="38">
        <f t="shared" si="19"/>
        <v>0</v>
      </c>
      <c r="BC68" s="39">
        <f t="shared" si="20"/>
        <v>0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IFERROR(VLOOKUP('A2 (Öhdəliklər)'!CB68,List!$Z$2:$AA$8,2,0),"")</f>
        <v/>
      </c>
      <c r="CD68" s="34"/>
    </row>
    <row r="69" spans="1:82" s="112" customFormat="1" ht="19.5" customHeight="1" x14ac:dyDescent="0.2">
      <c r="A69" s="111">
        <v>55</v>
      </c>
      <c r="B69" s="35" t="str">
        <f t="shared" si="16"/>
        <v/>
      </c>
      <c r="C69" s="32"/>
      <c r="D69" s="15"/>
      <c r="E69" s="1"/>
      <c r="F69" s="36" t="str">
        <f>IFERROR(VLOOKUP('A2 (Öhdəliklər)'!E69,List!A:B,2,0),"")</f>
        <v/>
      </c>
      <c r="G69" s="1"/>
      <c r="H69" s="36" t="str">
        <f>IFERROR(VLOOKUP('A2 (Öhdəliklər)'!G69,List!G:H,2,0),"")</f>
        <v/>
      </c>
      <c r="I69" s="1"/>
      <c r="J69" s="36" t="str">
        <f>IFERROR(VLOOKUP('A2 (Öhdəliklər)'!I69,List!C:D,2,0),"")</f>
        <v/>
      </c>
      <c r="K69" s="1"/>
      <c r="L69" s="36" t="str">
        <f>IFERROR(VLOOKUP('A2 (Öhdəliklər)'!K69,List!E:F,2,0),"")</f>
        <v/>
      </c>
      <c r="M69" s="1"/>
      <c r="N69" s="36" t="str">
        <f>IFERROR(VLOOKUP('A2 (Öhdəliklər)'!M69,List!M:N,2,0),"")</f>
        <v/>
      </c>
      <c r="O69" s="1"/>
      <c r="P69" s="36" t="str">
        <f>IFERROR(VLOOKUP('A2 (Öhdəliklər)'!O69,List!S:T,2,0),"")</f>
        <v/>
      </c>
      <c r="Q69" s="1"/>
      <c r="R69" s="36" t="str">
        <f>IFERROR(VLOOKUP('A2 (Öhdəliklər)'!Q69,List!K:L,2,0),"")</f>
        <v/>
      </c>
      <c r="S69" s="16"/>
      <c r="T69" s="16"/>
      <c r="U69" s="17"/>
      <c r="V69" s="17"/>
      <c r="W69" s="20"/>
      <c r="X69" s="18"/>
      <c r="Y69" s="1"/>
      <c r="Z69" s="36" t="str">
        <f>IFERROR(VLOOKUP('A2 (Öhdəliklər)'!Y69,List!O:P,2,0),"")</f>
        <v/>
      </c>
      <c r="AA69" s="19"/>
      <c r="AB69" s="19"/>
      <c r="AC69" s="37">
        <f t="shared" si="17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IFERROR(VLOOKUP('A2 (Öhdəliklər)'!AY69,List!Q:R,2,0),"")</f>
        <v/>
      </c>
      <c r="BA69" s="38">
        <f t="shared" si="18"/>
        <v>0</v>
      </c>
      <c r="BB69" s="38">
        <f t="shared" si="19"/>
        <v>0</v>
      </c>
      <c r="BC69" s="39">
        <f t="shared" si="20"/>
        <v>0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IFERROR(VLOOKUP('A2 (Öhdəliklər)'!CB69,List!$Z$2:$AA$8,2,0),"")</f>
        <v/>
      </c>
      <c r="CD69" s="34"/>
    </row>
    <row r="70" spans="1:82" s="112" customFormat="1" ht="19.5" customHeight="1" x14ac:dyDescent="0.2">
      <c r="A70" s="111">
        <v>56</v>
      </c>
      <c r="B70" s="35" t="str">
        <f t="shared" si="16"/>
        <v/>
      </c>
      <c r="C70" s="32"/>
      <c r="D70" s="15"/>
      <c r="E70" s="1"/>
      <c r="F70" s="36" t="str">
        <f>IFERROR(VLOOKUP('A2 (Öhdəliklər)'!E70,List!A:B,2,0),"")</f>
        <v/>
      </c>
      <c r="G70" s="1"/>
      <c r="H70" s="36" t="str">
        <f>IFERROR(VLOOKUP('A2 (Öhdəliklər)'!G70,List!G:H,2,0),"")</f>
        <v/>
      </c>
      <c r="I70" s="1"/>
      <c r="J70" s="36" t="str">
        <f>IFERROR(VLOOKUP('A2 (Öhdəliklər)'!I70,List!C:D,2,0),"")</f>
        <v/>
      </c>
      <c r="K70" s="1"/>
      <c r="L70" s="36" t="str">
        <f>IFERROR(VLOOKUP('A2 (Öhdəliklər)'!K70,List!E:F,2,0),"")</f>
        <v/>
      </c>
      <c r="M70" s="1"/>
      <c r="N70" s="36" t="str">
        <f>IFERROR(VLOOKUP('A2 (Öhdəliklər)'!M70,List!M:N,2,0),"")</f>
        <v/>
      </c>
      <c r="O70" s="1"/>
      <c r="P70" s="36" t="str">
        <f>IFERROR(VLOOKUP('A2 (Öhdəliklər)'!O70,List!S:T,2,0),"")</f>
        <v/>
      </c>
      <c r="Q70" s="1"/>
      <c r="R70" s="36" t="str">
        <f>IFERROR(VLOOKUP('A2 (Öhdəliklər)'!Q70,List!K:L,2,0),"")</f>
        <v/>
      </c>
      <c r="S70" s="16"/>
      <c r="T70" s="16"/>
      <c r="U70" s="17"/>
      <c r="V70" s="17"/>
      <c r="W70" s="20"/>
      <c r="X70" s="18"/>
      <c r="Y70" s="1"/>
      <c r="Z70" s="36" t="str">
        <f>IFERROR(VLOOKUP('A2 (Öhdəliklər)'!Y70,List!O:P,2,0),"")</f>
        <v/>
      </c>
      <c r="AA70" s="19"/>
      <c r="AB70" s="19"/>
      <c r="AC70" s="37">
        <f t="shared" si="17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IFERROR(VLOOKUP('A2 (Öhdəliklər)'!AY70,List!Q:R,2,0),"")</f>
        <v/>
      </c>
      <c r="BA70" s="38">
        <f t="shared" si="18"/>
        <v>0</v>
      </c>
      <c r="BB70" s="38">
        <f t="shared" si="19"/>
        <v>0</v>
      </c>
      <c r="BC70" s="39">
        <f t="shared" si="20"/>
        <v>0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IFERROR(VLOOKUP('A2 (Öhdəliklər)'!CB70,List!$Z$2:$AA$8,2,0),"")</f>
        <v/>
      </c>
      <c r="CD70" s="34"/>
    </row>
    <row r="71" spans="1:82" s="112" customFormat="1" ht="19.5" customHeight="1" x14ac:dyDescent="0.2">
      <c r="A71" s="111">
        <v>57</v>
      </c>
      <c r="B71" s="35" t="str">
        <f t="shared" si="16"/>
        <v/>
      </c>
      <c r="C71" s="32"/>
      <c r="D71" s="15"/>
      <c r="E71" s="1"/>
      <c r="F71" s="36" t="str">
        <f>IFERROR(VLOOKUP('A2 (Öhdəliklər)'!E71,List!A:B,2,0),"")</f>
        <v/>
      </c>
      <c r="G71" s="1"/>
      <c r="H71" s="36" t="str">
        <f>IFERROR(VLOOKUP('A2 (Öhdəliklər)'!G71,List!G:H,2,0),"")</f>
        <v/>
      </c>
      <c r="I71" s="1"/>
      <c r="J71" s="36" t="str">
        <f>IFERROR(VLOOKUP('A2 (Öhdəliklər)'!I71,List!C:D,2,0),"")</f>
        <v/>
      </c>
      <c r="K71" s="1"/>
      <c r="L71" s="36" t="str">
        <f>IFERROR(VLOOKUP('A2 (Öhdəliklər)'!K71,List!E:F,2,0),"")</f>
        <v/>
      </c>
      <c r="M71" s="1"/>
      <c r="N71" s="36" t="str">
        <f>IFERROR(VLOOKUP('A2 (Öhdəliklər)'!M71,List!M:N,2,0),"")</f>
        <v/>
      </c>
      <c r="O71" s="1"/>
      <c r="P71" s="36" t="str">
        <f>IFERROR(VLOOKUP('A2 (Öhdəliklər)'!O71,List!S:T,2,0),"")</f>
        <v/>
      </c>
      <c r="Q71" s="1"/>
      <c r="R71" s="36" t="str">
        <f>IFERROR(VLOOKUP('A2 (Öhdəliklər)'!Q71,List!K:L,2,0),"")</f>
        <v/>
      </c>
      <c r="S71" s="16"/>
      <c r="T71" s="16"/>
      <c r="U71" s="17"/>
      <c r="V71" s="17"/>
      <c r="W71" s="20"/>
      <c r="X71" s="18"/>
      <c r="Y71" s="1"/>
      <c r="Z71" s="36" t="str">
        <f>IFERROR(VLOOKUP('A2 (Öhdəliklər)'!Y71,List!O:P,2,0),"")</f>
        <v/>
      </c>
      <c r="AA71" s="19"/>
      <c r="AB71" s="19"/>
      <c r="AC71" s="37">
        <f t="shared" si="17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IFERROR(VLOOKUP('A2 (Öhdəliklər)'!AY71,List!Q:R,2,0),"")</f>
        <v/>
      </c>
      <c r="BA71" s="38">
        <f t="shared" si="18"/>
        <v>0</v>
      </c>
      <c r="BB71" s="38">
        <f t="shared" si="19"/>
        <v>0</v>
      </c>
      <c r="BC71" s="39">
        <f t="shared" si="20"/>
        <v>0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IFERROR(VLOOKUP('A2 (Öhdəliklər)'!CB71,List!$Z$2:$AA$8,2,0),"")</f>
        <v/>
      </c>
      <c r="CD71" s="34"/>
    </row>
    <row r="72" spans="1:82" s="112" customFormat="1" ht="19.5" customHeight="1" x14ac:dyDescent="0.2">
      <c r="A72" s="111">
        <v>58</v>
      </c>
      <c r="B72" s="35" t="str">
        <f t="shared" si="16"/>
        <v/>
      </c>
      <c r="C72" s="32"/>
      <c r="D72" s="15"/>
      <c r="E72" s="1"/>
      <c r="F72" s="36" t="str">
        <f>IFERROR(VLOOKUP('A2 (Öhdəliklər)'!E72,List!A:B,2,0),"")</f>
        <v/>
      </c>
      <c r="G72" s="1"/>
      <c r="H72" s="36" t="str">
        <f>IFERROR(VLOOKUP('A2 (Öhdəliklər)'!G72,List!G:H,2,0),"")</f>
        <v/>
      </c>
      <c r="I72" s="1"/>
      <c r="J72" s="36" t="str">
        <f>IFERROR(VLOOKUP('A2 (Öhdəliklər)'!I72,List!C:D,2,0),"")</f>
        <v/>
      </c>
      <c r="K72" s="1"/>
      <c r="L72" s="36" t="str">
        <f>IFERROR(VLOOKUP('A2 (Öhdəliklər)'!K72,List!E:F,2,0),"")</f>
        <v/>
      </c>
      <c r="M72" s="1"/>
      <c r="N72" s="36" t="str">
        <f>IFERROR(VLOOKUP('A2 (Öhdəliklər)'!M72,List!M:N,2,0),"")</f>
        <v/>
      </c>
      <c r="O72" s="1"/>
      <c r="P72" s="36" t="str">
        <f>IFERROR(VLOOKUP('A2 (Öhdəliklər)'!O72,List!S:T,2,0),"")</f>
        <v/>
      </c>
      <c r="Q72" s="1"/>
      <c r="R72" s="36" t="str">
        <f>IFERROR(VLOOKUP('A2 (Öhdəliklər)'!Q72,List!K:L,2,0),"")</f>
        <v/>
      </c>
      <c r="S72" s="16"/>
      <c r="T72" s="16"/>
      <c r="U72" s="17"/>
      <c r="V72" s="17"/>
      <c r="W72" s="20"/>
      <c r="X72" s="18"/>
      <c r="Y72" s="1"/>
      <c r="Z72" s="36" t="str">
        <f>IFERROR(VLOOKUP('A2 (Öhdəliklər)'!Y72,List!O:P,2,0),"")</f>
        <v/>
      </c>
      <c r="AA72" s="19"/>
      <c r="AB72" s="19"/>
      <c r="AC72" s="37">
        <f t="shared" si="17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IFERROR(VLOOKUP('A2 (Öhdəliklər)'!AY72,List!Q:R,2,0),"")</f>
        <v/>
      </c>
      <c r="BA72" s="38">
        <f t="shared" si="18"/>
        <v>0</v>
      </c>
      <c r="BB72" s="38">
        <f t="shared" si="19"/>
        <v>0</v>
      </c>
      <c r="BC72" s="39">
        <f t="shared" si="20"/>
        <v>0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IFERROR(VLOOKUP('A2 (Öhdəliklər)'!CB72,List!$Z$2:$AA$8,2,0),"")</f>
        <v/>
      </c>
      <c r="CD72" s="34"/>
    </row>
    <row r="73" spans="1:82" s="112" customFormat="1" ht="19.5" customHeight="1" x14ac:dyDescent="0.2">
      <c r="A73" s="111">
        <v>59</v>
      </c>
      <c r="B73" s="35" t="str">
        <f t="shared" si="16"/>
        <v/>
      </c>
      <c r="C73" s="32"/>
      <c r="D73" s="15"/>
      <c r="E73" s="1"/>
      <c r="F73" s="36" t="str">
        <f>IFERROR(VLOOKUP('A2 (Öhdəliklər)'!E73,List!A:B,2,0),"")</f>
        <v/>
      </c>
      <c r="G73" s="1"/>
      <c r="H73" s="36" t="str">
        <f>IFERROR(VLOOKUP('A2 (Öhdəliklər)'!G73,List!G:H,2,0),"")</f>
        <v/>
      </c>
      <c r="I73" s="1"/>
      <c r="J73" s="36" t="str">
        <f>IFERROR(VLOOKUP('A2 (Öhdəliklər)'!I73,List!C:D,2,0),"")</f>
        <v/>
      </c>
      <c r="K73" s="1"/>
      <c r="L73" s="36" t="str">
        <f>IFERROR(VLOOKUP('A2 (Öhdəliklər)'!K73,List!E:F,2,0),"")</f>
        <v/>
      </c>
      <c r="M73" s="1"/>
      <c r="N73" s="36" t="str">
        <f>IFERROR(VLOOKUP('A2 (Öhdəliklər)'!M73,List!M:N,2,0),"")</f>
        <v/>
      </c>
      <c r="O73" s="1"/>
      <c r="P73" s="36" t="str">
        <f>IFERROR(VLOOKUP('A2 (Öhdəliklər)'!O73,List!S:T,2,0),"")</f>
        <v/>
      </c>
      <c r="Q73" s="1"/>
      <c r="R73" s="36" t="str">
        <f>IFERROR(VLOOKUP('A2 (Öhdəliklər)'!Q73,List!K:L,2,0),"")</f>
        <v/>
      </c>
      <c r="S73" s="16"/>
      <c r="T73" s="16"/>
      <c r="U73" s="17"/>
      <c r="V73" s="17"/>
      <c r="W73" s="20"/>
      <c r="X73" s="18"/>
      <c r="Y73" s="1"/>
      <c r="Z73" s="36" t="str">
        <f>IFERROR(VLOOKUP('A2 (Öhdəliklər)'!Y73,List!O:P,2,0),"")</f>
        <v/>
      </c>
      <c r="AA73" s="19"/>
      <c r="AB73" s="19"/>
      <c r="AC73" s="37">
        <f t="shared" si="17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IFERROR(VLOOKUP('A2 (Öhdəliklər)'!AY73,List!Q:R,2,0),"")</f>
        <v/>
      </c>
      <c r="BA73" s="38">
        <f t="shared" si="18"/>
        <v>0</v>
      </c>
      <c r="BB73" s="38">
        <f t="shared" si="19"/>
        <v>0</v>
      </c>
      <c r="BC73" s="39">
        <f t="shared" si="20"/>
        <v>0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IFERROR(VLOOKUP('A2 (Öhdəliklər)'!CB73,List!$Z$2:$AA$8,2,0),"")</f>
        <v/>
      </c>
      <c r="CD73" s="34"/>
    </row>
    <row r="74" spans="1:82" s="112" customFormat="1" ht="19.5" customHeight="1" x14ac:dyDescent="0.2">
      <c r="A74" s="111">
        <v>60</v>
      </c>
      <c r="B74" s="35" t="str">
        <f t="shared" si="16"/>
        <v/>
      </c>
      <c r="C74" s="32"/>
      <c r="D74" s="15"/>
      <c r="E74" s="1"/>
      <c r="F74" s="36" t="str">
        <f>IFERROR(VLOOKUP('A2 (Öhdəliklər)'!E74,List!A:B,2,0),"")</f>
        <v/>
      </c>
      <c r="G74" s="1"/>
      <c r="H74" s="36" t="str">
        <f>IFERROR(VLOOKUP('A2 (Öhdəliklər)'!G74,List!G:H,2,0),"")</f>
        <v/>
      </c>
      <c r="I74" s="1"/>
      <c r="J74" s="36" t="str">
        <f>IFERROR(VLOOKUP('A2 (Öhdəliklər)'!I74,List!C:D,2,0),"")</f>
        <v/>
      </c>
      <c r="K74" s="1"/>
      <c r="L74" s="36" t="str">
        <f>IFERROR(VLOOKUP('A2 (Öhdəliklər)'!K74,List!E:F,2,0),"")</f>
        <v/>
      </c>
      <c r="M74" s="1"/>
      <c r="N74" s="36" t="str">
        <f>IFERROR(VLOOKUP('A2 (Öhdəliklər)'!M74,List!M:N,2,0),"")</f>
        <v/>
      </c>
      <c r="O74" s="1"/>
      <c r="P74" s="36" t="str">
        <f>IFERROR(VLOOKUP('A2 (Öhdəliklər)'!O74,List!S:T,2,0),"")</f>
        <v/>
      </c>
      <c r="Q74" s="1"/>
      <c r="R74" s="36" t="str">
        <f>IFERROR(VLOOKUP('A2 (Öhdəliklər)'!Q74,List!K:L,2,0),"")</f>
        <v/>
      </c>
      <c r="S74" s="16"/>
      <c r="T74" s="16"/>
      <c r="U74" s="17"/>
      <c r="V74" s="17"/>
      <c r="W74" s="20"/>
      <c r="X74" s="18"/>
      <c r="Y74" s="1"/>
      <c r="Z74" s="36" t="str">
        <f>IFERROR(VLOOKUP('A2 (Öhdəliklər)'!Y74,List!O:P,2,0),"")</f>
        <v/>
      </c>
      <c r="AA74" s="19"/>
      <c r="AB74" s="19"/>
      <c r="AC74" s="37">
        <f t="shared" si="17"/>
        <v>0</v>
      </c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21"/>
      <c r="AZ74" s="36" t="str">
        <f>IFERROR(VLOOKUP('A2 (Öhdəliklər)'!AY74,List!Q:R,2,0),"")</f>
        <v/>
      </c>
      <c r="BA74" s="38">
        <f t="shared" si="18"/>
        <v>0</v>
      </c>
      <c r="BB74" s="38">
        <f t="shared" si="19"/>
        <v>0</v>
      </c>
      <c r="BC74" s="39">
        <f t="shared" si="20"/>
        <v>0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34"/>
      <c r="CA74" s="18"/>
      <c r="CB74" s="20"/>
      <c r="CC74" s="36" t="str">
        <f>IFERROR(VLOOKUP('A2 (Öhdəliklər)'!CB74,List!$Z$2:$AA$8,2,0),"")</f>
        <v/>
      </c>
      <c r="CD74" s="34"/>
    </row>
    <row r="75" spans="1:82" s="112" customFormat="1" ht="19.5" customHeight="1" x14ac:dyDescent="0.2">
      <c r="A75" s="111">
        <v>61</v>
      </c>
      <c r="B75" s="35" t="str">
        <f t="shared" si="16"/>
        <v/>
      </c>
      <c r="C75" s="32"/>
      <c r="D75" s="15"/>
      <c r="E75" s="1"/>
      <c r="F75" s="36" t="str">
        <f>IFERROR(VLOOKUP('A2 (Öhdəliklər)'!E75,List!A:B,2,0),"")</f>
        <v/>
      </c>
      <c r="G75" s="1"/>
      <c r="H75" s="36" t="str">
        <f>IFERROR(VLOOKUP('A2 (Öhdəliklər)'!G75,List!G:H,2,0),"")</f>
        <v/>
      </c>
      <c r="I75" s="1"/>
      <c r="J75" s="36" t="str">
        <f>IFERROR(VLOOKUP('A2 (Öhdəliklər)'!I75,List!C:D,2,0),"")</f>
        <v/>
      </c>
      <c r="K75" s="1"/>
      <c r="L75" s="36" t="str">
        <f>IFERROR(VLOOKUP('A2 (Öhdəliklər)'!K75,List!E:F,2,0),"")</f>
        <v/>
      </c>
      <c r="M75" s="1"/>
      <c r="N75" s="36" t="str">
        <f>IFERROR(VLOOKUP('A2 (Öhdəliklər)'!M75,List!M:N,2,0),"")</f>
        <v/>
      </c>
      <c r="O75" s="1"/>
      <c r="P75" s="36" t="str">
        <f>IFERROR(VLOOKUP('A2 (Öhdəliklər)'!O75,List!S:T,2,0),"")</f>
        <v/>
      </c>
      <c r="Q75" s="1"/>
      <c r="R75" s="36" t="str">
        <f>IFERROR(VLOOKUP('A2 (Öhdəliklər)'!Q75,List!K:L,2,0),"")</f>
        <v/>
      </c>
      <c r="S75" s="16"/>
      <c r="T75" s="16"/>
      <c r="U75" s="17"/>
      <c r="V75" s="17"/>
      <c r="W75" s="20"/>
      <c r="X75" s="18"/>
      <c r="Y75" s="1"/>
      <c r="Z75" s="36" t="str">
        <f>IFERROR(VLOOKUP('A2 (Öhdəliklər)'!Y75,List!O:P,2,0),"")</f>
        <v/>
      </c>
      <c r="AA75" s="19"/>
      <c r="AB75" s="19"/>
      <c r="AC75" s="37">
        <f t="shared" si="17"/>
        <v>0</v>
      </c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21"/>
      <c r="AZ75" s="36" t="str">
        <f>IFERROR(VLOOKUP('A2 (Öhdəliklər)'!AY75,List!Q:R,2,0),"")</f>
        <v/>
      </c>
      <c r="BA75" s="38">
        <f t="shared" si="18"/>
        <v>0</v>
      </c>
      <c r="BB75" s="38">
        <f t="shared" si="19"/>
        <v>0</v>
      </c>
      <c r="BC75" s="39">
        <f t="shared" si="20"/>
        <v>0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34"/>
      <c r="CA75" s="18"/>
      <c r="CB75" s="20"/>
      <c r="CC75" s="36" t="str">
        <f>IFERROR(VLOOKUP('A2 (Öhdəliklər)'!CB75,List!$Z$2:$AA$8,2,0),"")</f>
        <v/>
      </c>
      <c r="CD75" s="34"/>
    </row>
    <row r="76" spans="1:82" s="112" customFormat="1" ht="19.5" customHeight="1" x14ac:dyDescent="0.2">
      <c r="A76" s="111">
        <v>62</v>
      </c>
      <c r="B76" s="35" t="str">
        <f t="shared" si="16"/>
        <v/>
      </c>
      <c r="C76" s="32"/>
      <c r="D76" s="15"/>
      <c r="E76" s="1"/>
      <c r="F76" s="36" t="str">
        <f>IFERROR(VLOOKUP('A2 (Öhdəliklər)'!E76,List!A:B,2,0),"")</f>
        <v/>
      </c>
      <c r="G76" s="1"/>
      <c r="H76" s="36" t="str">
        <f>IFERROR(VLOOKUP('A2 (Öhdəliklər)'!G76,List!G:H,2,0),"")</f>
        <v/>
      </c>
      <c r="I76" s="1"/>
      <c r="J76" s="36" t="str">
        <f>IFERROR(VLOOKUP('A2 (Öhdəliklər)'!I76,List!C:D,2,0),"")</f>
        <v/>
      </c>
      <c r="K76" s="1"/>
      <c r="L76" s="36" t="str">
        <f>IFERROR(VLOOKUP('A2 (Öhdəliklər)'!K76,List!E:F,2,0),"")</f>
        <v/>
      </c>
      <c r="M76" s="1"/>
      <c r="N76" s="36" t="str">
        <f>IFERROR(VLOOKUP('A2 (Öhdəliklər)'!M76,List!M:N,2,0),"")</f>
        <v/>
      </c>
      <c r="O76" s="1"/>
      <c r="P76" s="36" t="str">
        <f>IFERROR(VLOOKUP('A2 (Öhdəliklər)'!O76,List!S:T,2,0),"")</f>
        <v/>
      </c>
      <c r="Q76" s="1"/>
      <c r="R76" s="36" t="str">
        <f>IFERROR(VLOOKUP('A2 (Öhdəliklər)'!Q76,List!K:L,2,0),"")</f>
        <v/>
      </c>
      <c r="S76" s="16"/>
      <c r="T76" s="16"/>
      <c r="U76" s="17"/>
      <c r="V76" s="17"/>
      <c r="W76" s="20"/>
      <c r="X76" s="18"/>
      <c r="Y76" s="1"/>
      <c r="Z76" s="36" t="str">
        <f>IFERROR(VLOOKUP('A2 (Öhdəliklər)'!Y76,List!O:P,2,0),"")</f>
        <v/>
      </c>
      <c r="AA76" s="19"/>
      <c r="AB76" s="19"/>
      <c r="AC76" s="37">
        <f t="shared" si="17"/>
        <v>0</v>
      </c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21"/>
      <c r="AZ76" s="36" t="str">
        <f>IFERROR(VLOOKUP('A2 (Öhdəliklər)'!AY76,List!Q:R,2,0),"")</f>
        <v/>
      </c>
      <c r="BA76" s="38">
        <f t="shared" si="18"/>
        <v>0</v>
      </c>
      <c r="BB76" s="38">
        <f t="shared" si="19"/>
        <v>0</v>
      </c>
      <c r="BC76" s="39">
        <f t="shared" si="20"/>
        <v>0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34"/>
      <c r="CA76" s="18"/>
      <c r="CB76" s="20"/>
      <c r="CC76" s="36" t="str">
        <f>IFERROR(VLOOKUP('A2 (Öhdəliklər)'!CB76,List!$Z$2:$AA$8,2,0),"")</f>
        <v/>
      </c>
      <c r="CD76" s="34"/>
    </row>
    <row r="77" spans="1:82" s="112" customFormat="1" ht="19.5" customHeight="1" x14ac:dyDescent="0.2">
      <c r="A77" s="111">
        <v>63</v>
      </c>
      <c r="B77" s="35" t="str">
        <f t="shared" si="16"/>
        <v/>
      </c>
      <c r="C77" s="32"/>
      <c r="D77" s="15"/>
      <c r="E77" s="1"/>
      <c r="F77" s="36" t="str">
        <f>IFERROR(VLOOKUP('A2 (Öhdəliklər)'!E77,List!A:B,2,0),"")</f>
        <v/>
      </c>
      <c r="G77" s="1"/>
      <c r="H77" s="36" t="str">
        <f>IFERROR(VLOOKUP('A2 (Öhdəliklər)'!G77,List!G:H,2,0),"")</f>
        <v/>
      </c>
      <c r="I77" s="1"/>
      <c r="J77" s="36" t="str">
        <f>IFERROR(VLOOKUP('A2 (Öhdəliklər)'!I77,List!C:D,2,0),"")</f>
        <v/>
      </c>
      <c r="K77" s="1"/>
      <c r="L77" s="36" t="str">
        <f>IFERROR(VLOOKUP('A2 (Öhdəliklər)'!K77,List!E:F,2,0),"")</f>
        <v/>
      </c>
      <c r="M77" s="1"/>
      <c r="N77" s="36" t="str">
        <f>IFERROR(VLOOKUP('A2 (Öhdəliklər)'!M77,List!M:N,2,0),"")</f>
        <v/>
      </c>
      <c r="O77" s="1"/>
      <c r="P77" s="36" t="str">
        <f>IFERROR(VLOOKUP('A2 (Öhdəliklər)'!O77,List!S:T,2,0),"")</f>
        <v/>
      </c>
      <c r="Q77" s="1"/>
      <c r="R77" s="36" t="str">
        <f>IFERROR(VLOOKUP('A2 (Öhdəliklər)'!Q77,List!K:L,2,0),"")</f>
        <v/>
      </c>
      <c r="S77" s="16"/>
      <c r="T77" s="16"/>
      <c r="U77" s="17"/>
      <c r="V77" s="17"/>
      <c r="W77" s="20"/>
      <c r="X77" s="18"/>
      <c r="Y77" s="1"/>
      <c r="Z77" s="36" t="str">
        <f>IFERROR(VLOOKUP('A2 (Öhdəliklər)'!Y77,List!O:P,2,0),"")</f>
        <v/>
      </c>
      <c r="AA77" s="19"/>
      <c r="AB77" s="19"/>
      <c r="AC77" s="37">
        <f t="shared" si="17"/>
        <v>0</v>
      </c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21"/>
      <c r="AZ77" s="36" t="str">
        <f>IFERROR(VLOOKUP('A2 (Öhdəliklər)'!AY77,List!Q:R,2,0),"")</f>
        <v/>
      </c>
      <c r="BA77" s="38">
        <f t="shared" si="18"/>
        <v>0</v>
      </c>
      <c r="BB77" s="38">
        <f t="shared" si="19"/>
        <v>0</v>
      </c>
      <c r="BC77" s="39">
        <f t="shared" si="20"/>
        <v>0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34"/>
      <c r="CA77" s="18"/>
      <c r="CB77" s="20"/>
      <c r="CC77" s="36" t="str">
        <f>IFERROR(VLOOKUP('A2 (Öhdəliklər)'!CB77,List!$Z$2:$AA$8,2,0),"")</f>
        <v/>
      </c>
      <c r="CD77" s="34"/>
    </row>
    <row r="78" spans="1:82" s="112" customFormat="1" ht="19.5" customHeight="1" x14ac:dyDescent="0.2">
      <c r="A78" s="111">
        <v>64</v>
      </c>
      <c r="B78" s="35" t="str">
        <f t="shared" si="16"/>
        <v/>
      </c>
      <c r="C78" s="32"/>
      <c r="D78" s="15"/>
      <c r="E78" s="1"/>
      <c r="F78" s="36" t="str">
        <f>IFERROR(VLOOKUP('A2 (Öhdəliklər)'!E78,List!A:B,2,0),"")</f>
        <v/>
      </c>
      <c r="G78" s="1"/>
      <c r="H78" s="36" t="str">
        <f>IFERROR(VLOOKUP('A2 (Öhdəliklər)'!G78,List!G:H,2,0),"")</f>
        <v/>
      </c>
      <c r="I78" s="1"/>
      <c r="J78" s="36" t="str">
        <f>IFERROR(VLOOKUP('A2 (Öhdəliklər)'!I78,List!C:D,2,0),"")</f>
        <v/>
      </c>
      <c r="K78" s="1"/>
      <c r="L78" s="36" t="str">
        <f>IFERROR(VLOOKUP('A2 (Öhdəliklər)'!K78,List!E:F,2,0),"")</f>
        <v/>
      </c>
      <c r="M78" s="1"/>
      <c r="N78" s="36" t="str">
        <f>IFERROR(VLOOKUP('A2 (Öhdəliklər)'!M78,List!M:N,2,0),"")</f>
        <v/>
      </c>
      <c r="O78" s="1"/>
      <c r="P78" s="36" t="str">
        <f>IFERROR(VLOOKUP('A2 (Öhdəliklər)'!O78,List!S:T,2,0),"")</f>
        <v/>
      </c>
      <c r="Q78" s="1"/>
      <c r="R78" s="36" t="str">
        <f>IFERROR(VLOOKUP('A2 (Öhdəliklər)'!Q78,List!K:L,2,0),"")</f>
        <v/>
      </c>
      <c r="S78" s="16"/>
      <c r="T78" s="16"/>
      <c r="U78" s="17"/>
      <c r="V78" s="17"/>
      <c r="W78" s="20"/>
      <c r="X78" s="18"/>
      <c r="Y78" s="1"/>
      <c r="Z78" s="36" t="str">
        <f>IFERROR(VLOOKUP('A2 (Öhdəliklər)'!Y78,List!O:P,2,0),"")</f>
        <v/>
      </c>
      <c r="AA78" s="19"/>
      <c r="AB78" s="19"/>
      <c r="AC78" s="37">
        <f t="shared" si="17"/>
        <v>0</v>
      </c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21"/>
      <c r="AZ78" s="36" t="str">
        <f>IFERROR(VLOOKUP('A2 (Öhdəliklər)'!AY78,List!Q:R,2,0),"")</f>
        <v/>
      </c>
      <c r="BA78" s="38">
        <f t="shared" si="18"/>
        <v>0</v>
      </c>
      <c r="BB78" s="38">
        <f t="shared" si="19"/>
        <v>0</v>
      </c>
      <c r="BC78" s="39">
        <f t="shared" si="20"/>
        <v>0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34"/>
      <c r="CA78" s="18"/>
      <c r="CB78" s="20"/>
      <c r="CC78" s="36" t="str">
        <f>IFERROR(VLOOKUP('A2 (Öhdəliklər)'!CB78,List!$Z$2:$AA$8,2,0),"")</f>
        <v/>
      </c>
      <c r="CD78" s="34"/>
    </row>
    <row r="79" spans="1:82" s="112" customFormat="1" ht="19.5" customHeight="1" x14ac:dyDescent="0.2">
      <c r="A79" s="111">
        <v>65</v>
      </c>
      <c r="B79" s="35" t="str">
        <f t="shared" si="16"/>
        <v/>
      </c>
      <c r="C79" s="32"/>
      <c r="D79" s="15"/>
      <c r="E79" s="1"/>
      <c r="F79" s="36" t="str">
        <f>IFERROR(VLOOKUP('A2 (Öhdəliklər)'!E79,List!A:B,2,0),"")</f>
        <v/>
      </c>
      <c r="G79" s="1"/>
      <c r="H79" s="36" t="str">
        <f>IFERROR(VLOOKUP('A2 (Öhdəliklər)'!G79,List!G:H,2,0),"")</f>
        <v/>
      </c>
      <c r="I79" s="1"/>
      <c r="J79" s="36" t="str">
        <f>IFERROR(VLOOKUP('A2 (Öhdəliklər)'!I79,List!C:D,2,0),"")</f>
        <v/>
      </c>
      <c r="K79" s="1"/>
      <c r="L79" s="36" t="str">
        <f>IFERROR(VLOOKUP('A2 (Öhdəliklər)'!K79,List!E:F,2,0),"")</f>
        <v/>
      </c>
      <c r="M79" s="1"/>
      <c r="N79" s="36" t="str">
        <f>IFERROR(VLOOKUP('A2 (Öhdəliklər)'!M79,List!M:N,2,0),"")</f>
        <v/>
      </c>
      <c r="O79" s="1"/>
      <c r="P79" s="36" t="str">
        <f>IFERROR(VLOOKUP('A2 (Öhdəliklər)'!O79,List!S:T,2,0),"")</f>
        <v/>
      </c>
      <c r="Q79" s="1"/>
      <c r="R79" s="36" t="str">
        <f>IFERROR(VLOOKUP('A2 (Öhdəliklər)'!Q79,List!K:L,2,0),"")</f>
        <v/>
      </c>
      <c r="S79" s="16"/>
      <c r="T79" s="16"/>
      <c r="U79" s="17"/>
      <c r="V79" s="17"/>
      <c r="W79" s="20"/>
      <c r="X79" s="18"/>
      <c r="Y79" s="1"/>
      <c r="Z79" s="36" t="str">
        <f>IFERROR(VLOOKUP('A2 (Öhdəliklər)'!Y79,List!O:P,2,0),"")</f>
        <v/>
      </c>
      <c r="AA79" s="19"/>
      <c r="AB79" s="19"/>
      <c r="AC79" s="37">
        <f t="shared" si="17"/>
        <v>0</v>
      </c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21"/>
      <c r="AZ79" s="36" t="str">
        <f>IFERROR(VLOOKUP('A2 (Öhdəliklər)'!AY79,List!Q:R,2,0),"")</f>
        <v/>
      </c>
      <c r="BA79" s="38">
        <f t="shared" si="18"/>
        <v>0</v>
      </c>
      <c r="BB79" s="38">
        <f t="shared" si="19"/>
        <v>0</v>
      </c>
      <c r="BC79" s="39">
        <f t="shared" si="20"/>
        <v>0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34"/>
      <c r="CA79" s="18"/>
      <c r="CB79" s="20"/>
      <c r="CC79" s="36" t="str">
        <f>IFERROR(VLOOKUP('A2 (Öhdəliklər)'!CB79,List!$Z$2:$AA$8,2,0),"")</f>
        <v/>
      </c>
      <c r="CD79" s="34"/>
    </row>
    <row r="80" spans="1:82" s="112" customFormat="1" ht="19.5" customHeight="1" x14ac:dyDescent="0.2">
      <c r="A80" s="111">
        <v>66</v>
      </c>
      <c r="B80" s="35" t="str">
        <f t="shared" si="16"/>
        <v/>
      </c>
      <c r="C80" s="32"/>
      <c r="D80" s="15"/>
      <c r="E80" s="1"/>
      <c r="F80" s="36" t="str">
        <f>IFERROR(VLOOKUP('A2 (Öhdəliklər)'!E80,List!A:B,2,0),"")</f>
        <v/>
      </c>
      <c r="G80" s="1"/>
      <c r="H80" s="36" t="str">
        <f>IFERROR(VLOOKUP('A2 (Öhdəliklər)'!G80,List!G:H,2,0),"")</f>
        <v/>
      </c>
      <c r="I80" s="1"/>
      <c r="J80" s="36" t="str">
        <f>IFERROR(VLOOKUP('A2 (Öhdəliklər)'!I80,List!C:D,2,0),"")</f>
        <v/>
      </c>
      <c r="K80" s="1"/>
      <c r="L80" s="36" t="str">
        <f>IFERROR(VLOOKUP('A2 (Öhdəliklər)'!K80,List!E:F,2,0),"")</f>
        <v/>
      </c>
      <c r="M80" s="1"/>
      <c r="N80" s="36" t="str">
        <f>IFERROR(VLOOKUP('A2 (Öhdəliklər)'!M80,List!M:N,2,0),"")</f>
        <v/>
      </c>
      <c r="O80" s="1"/>
      <c r="P80" s="36" t="str">
        <f>IFERROR(VLOOKUP('A2 (Öhdəliklər)'!O80,List!S:T,2,0),"")</f>
        <v/>
      </c>
      <c r="Q80" s="1"/>
      <c r="R80" s="36" t="str">
        <f>IFERROR(VLOOKUP('A2 (Öhdəliklər)'!Q80,List!K:L,2,0),"")</f>
        <v/>
      </c>
      <c r="S80" s="16"/>
      <c r="T80" s="16"/>
      <c r="U80" s="17"/>
      <c r="V80" s="17"/>
      <c r="W80" s="20"/>
      <c r="X80" s="18"/>
      <c r="Y80" s="1"/>
      <c r="Z80" s="36" t="str">
        <f>IFERROR(VLOOKUP('A2 (Öhdəliklər)'!Y80,List!O:P,2,0),"")</f>
        <v/>
      </c>
      <c r="AA80" s="19"/>
      <c r="AB80" s="19"/>
      <c r="AC80" s="37">
        <f t="shared" si="17"/>
        <v>0</v>
      </c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21"/>
      <c r="AZ80" s="36" t="str">
        <f>IFERROR(VLOOKUP('A2 (Öhdəliklər)'!AY80,List!Q:R,2,0),"")</f>
        <v/>
      </c>
      <c r="BA80" s="38">
        <f t="shared" si="18"/>
        <v>0</v>
      </c>
      <c r="BB80" s="38">
        <f t="shared" si="19"/>
        <v>0</v>
      </c>
      <c r="BC80" s="39">
        <f t="shared" si="20"/>
        <v>0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34"/>
      <c r="CA80" s="18"/>
      <c r="CB80" s="20"/>
      <c r="CC80" s="36" t="str">
        <f>IFERROR(VLOOKUP('A2 (Öhdəliklər)'!CB80,List!$Z$2:$AA$8,2,0),"")</f>
        <v/>
      </c>
      <c r="CD80" s="34"/>
    </row>
    <row r="81" spans="1:82" s="112" customFormat="1" ht="19.5" customHeight="1" x14ac:dyDescent="0.2">
      <c r="A81" s="111">
        <v>67</v>
      </c>
      <c r="B81" s="35" t="str">
        <f t="shared" si="16"/>
        <v/>
      </c>
      <c r="C81" s="32"/>
      <c r="D81" s="15"/>
      <c r="E81" s="1"/>
      <c r="F81" s="36" t="str">
        <f>IFERROR(VLOOKUP('A2 (Öhdəliklər)'!E81,List!A:B,2,0),"")</f>
        <v/>
      </c>
      <c r="G81" s="1"/>
      <c r="H81" s="36" t="str">
        <f>IFERROR(VLOOKUP('A2 (Öhdəliklər)'!G81,List!G:H,2,0),"")</f>
        <v/>
      </c>
      <c r="I81" s="1"/>
      <c r="J81" s="36" t="str">
        <f>IFERROR(VLOOKUP('A2 (Öhdəliklər)'!I81,List!C:D,2,0),"")</f>
        <v/>
      </c>
      <c r="K81" s="1"/>
      <c r="L81" s="36" t="str">
        <f>IFERROR(VLOOKUP('A2 (Öhdəliklər)'!K81,List!E:F,2,0),"")</f>
        <v/>
      </c>
      <c r="M81" s="1"/>
      <c r="N81" s="36" t="str">
        <f>IFERROR(VLOOKUP('A2 (Öhdəliklər)'!M81,List!M:N,2,0),"")</f>
        <v/>
      </c>
      <c r="O81" s="1"/>
      <c r="P81" s="36" t="str">
        <f>IFERROR(VLOOKUP('A2 (Öhdəliklər)'!O81,List!S:T,2,0),"")</f>
        <v/>
      </c>
      <c r="Q81" s="1"/>
      <c r="R81" s="36" t="str">
        <f>IFERROR(VLOOKUP('A2 (Öhdəliklər)'!Q81,List!K:L,2,0),"")</f>
        <v/>
      </c>
      <c r="S81" s="16"/>
      <c r="T81" s="16"/>
      <c r="U81" s="17"/>
      <c r="V81" s="17"/>
      <c r="W81" s="20"/>
      <c r="X81" s="18"/>
      <c r="Y81" s="1"/>
      <c r="Z81" s="36" t="str">
        <f>IFERROR(VLOOKUP('A2 (Öhdəliklər)'!Y81,List!O:P,2,0),"")</f>
        <v/>
      </c>
      <c r="AA81" s="19"/>
      <c r="AB81" s="19"/>
      <c r="AC81" s="37">
        <f t="shared" si="17"/>
        <v>0</v>
      </c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21"/>
      <c r="AZ81" s="36" t="str">
        <f>IFERROR(VLOOKUP('A2 (Öhdəliklər)'!AY81,List!Q:R,2,0),"")</f>
        <v/>
      </c>
      <c r="BA81" s="38">
        <f t="shared" si="18"/>
        <v>0</v>
      </c>
      <c r="BB81" s="38">
        <f t="shared" si="19"/>
        <v>0</v>
      </c>
      <c r="BC81" s="39">
        <f t="shared" si="20"/>
        <v>0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34"/>
      <c r="CA81" s="18"/>
      <c r="CB81" s="20"/>
      <c r="CC81" s="36" t="str">
        <f>IFERROR(VLOOKUP('A2 (Öhdəliklər)'!CB81,List!$Z$2:$AA$8,2,0),"")</f>
        <v/>
      </c>
      <c r="CD81" s="34"/>
    </row>
    <row r="82" spans="1:82" s="112" customFormat="1" ht="19.5" customHeight="1" x14ac:dyDescent="0.2">
      <c r="A82" s="111">
        <v>68</v>
      </c>
      <c r="B82" s="35" t="str">
        <f t="shared" si="16"/>
        <v/>
      </c>
      <c r="C82" s="32"/>
      <c r="D82" s="15"/>
      <c r="E82" s="1"/>
      <c r="F82" s="36" t="str">
        <f>IFERROR(VLOOKUP('A2 (Öhdəliklər)'!E82,List!A:B,2,0),"")</f>
        <v/>
      </c>
      <c r="G82" s="1"/>
      <c r="H82" s="36" t="str">
        <f>IFERROR(VLOOKUP('A2 (Öhdəliklər)'!G82,List!G:H,2,0),"")</f>
        <v/>
      </c>
      <c r="I82" s="1"/>
      <c r="J82" s="36" t="str">
        <f>IFERROR(VLOOKUP('A2 (Öhdəliklər)'!I82,List!C:D,2,0),"")</f>
        <v/>
      </c>
      <c r="K82" s="1"/>
      <c r="L82" s="36" t="str">
        <f>IFERROR(VLOOKUP('A2 (Öhdəliklər)'!K82,List!E:F,2,0),"")</f>
        <v/>
      </c>
      <c r="M82" s="1"/>
      <c r="N82" s="36" t="str">
        <f>IFERROR(VLOOKUP('A2 (Öhdəliklər)'!M82,List!M:N,2,0),"")</f>
        <v/>
      </c>
      <c r="O82" s="1"/>
      <c r="P82" s="36" t="str">
        <f>IFERROR(VLOOKUP('A2 (Öhdəliklər)'!O82,List!S:T,2,0),"")</f>
        <v/>
      </c>
      <c r="Q82" s="1"/>
      <c r="R82" s="36" t="str">
        <f>IFERROR(VLOOKUP('A2 (Öhdəliklər)'!Q82,List!K:L,2,0),"")</f>
        <v/>
      </c>
      <c r="S82" s="16"/>
      <c r="T82" s="16"/>
      <c r="U82" s="17"/>
      <c r="V82" s="17"/>
      <c r="W82" s="20"/>
      <c r="X82" s="18"/>
      <c r="Y82" s="1"/>
      <c r="Z82" s="36" t="str">
        <f>IFERROR(VLOOKUP('A2 (Öhdəliklər)'!Y82,List!O:P,2,0),"")</f>
        <v/>
      </c>
      <c r="AA82" s="19"/>
      <c r="AB82" s="19"/>
      <c r="AC82" s="37">
        <f t="shared" si="17"/>
        <v>0</v>
      </c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21"/>
      <c r="AZ82" s="36" t="str">
        <f>IFERROR(VLOOKUP('A2 (Öhdəliklər)'!AY82,List!Q:R,2,0),"")</f>
        <v/>
      </c>
      <c r="BA82" s="38">
        <f t="shared" si="18"/>
        <v>0</v>
      </c>
      <c r="BB82" s="38">
        <f t="shared" si="19"/>
        <v>0</v>
      </c>
      <c r="BC82" s="39">
        <f t="shared" si="20"/>
        <v>0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34"/>
      <c r="CA82" s="18"/>
      <c r="CB82" s="20"/>
      <c r="CC82" s="36" t="str">
        <f>IFERROR(VLOOKUP('A2 (Öhdəliklər)'!CB82,List!$Z$2:$AA$8,2,0),"")</f>
        <v/>
      </c>
      <c r="CD82" s="34"/>
    </row>
    <row r="83" spans="1:82" s="112" customFormat="1" ht="19.5" customHeight="1" x14ac:dyDescent="0.2">
      <c r="A83" s="111">
        <v>69</v>
      </c>
      <c r="B83" s="35" t="str">
        <f t="shared" si="16"/>
        <v/>
      </c>
      <c r="C83" s="32"/>
      <c r="D83" s="15"/>
      <c r="E83" s="1"/>
      <c r="F83" s="36" t="str">
        <f>IFERROR(VLOOKUP('A2 (Öhdəliklər)'!E83,List!A:B,2,0),"")</f>
        <v/>
      </c>
      <c r="G83" s="1"/>
      <c r="H83" s="36" t="str">
        <f>IFERROR(VLOOKUP('A2 (Öhdəliklər)'!G83,List!G:H,2,0),"")</f>
        <v/>
      </c>
      <c r="I83" s="1"/>
      <c r="J83" s="36" t="str">
        <f>IFERROR(VLOOKUP('A2 (Öhdəliklər)'!I83,List!C:D,2,0),"")</f>
        <v/>
      </c>
      <c r="K83" s="1"/>
      <c r="L83" s="36" t="str">
        <f>IFERROR(VLOOKUP('A2 (Öhdəliklər)'!K83,List!E:F,2,0),"")</f>
        <v/>
      </c>
      <c r="M83" s="1"/>
      <c r="N83" s="36" t="str">
        <f>IFERROR(VLOOKUP('A2 (Öhdəliklər)'!M83,List!M:N,2,0),"")</f>
        <v/>
      </c>
      <c r="O83" s="1"/>
      <c r="P83" s="36" t="str">
        <f>IFERROR(VLOOKUP('A2 (Öhdəliklər)'!O83,List!S:T,2,0),"")</f>
        <v/>
      </c>
      <c r="Q83" s="1"/>
      <c r="R83" s="36" t="str">
        <f>IFERROR(VLOOKUP('A2 (Öhdəliklər)'!Q83,List!K:L,2,0),"")</f>
        <v/>
      </c>
      <c r="S83" s="16"/>
      <c r="T83" s="16"/>
      <c r="U83" s="17"/>
      <c r="V83" s="17"/>
      <c r="W83" s="20"/>
      <c r="X83" s="18"/>
      <c r="Y83" s="1"/>
      <c r="Z83" s="36" t="str">
        <f>IFERROR(VLOOKUP('A2 (Öhdəliklər)'!Y83,List!O:P,2,0),"")</f>
        <v/>
      </c>
      <c r="AA83" s="19"/>
      <c r="AB83" s="19"/>
      <c r="AC83" s="37">
        <f t="shared" si="17"/>
        <v>0</v>
      </c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21"/>
      <c r="AZ83" s="36" t="str">
        <f>IFERROR(VLOOKUP('A2 (Öhdəliklər)'!AY83,List!Q:R,2,0),"")</f>
        <v/>
      </c>
      <c r="BA83" s="38">
        <f t="shared" si="18"/>
        <v>0</v>
      </c>
      <c r="BB83" s="38">
        <f t="shared" si="19"/>
        <v>0</v>
      </c>
      <c r="BC83" s="39">
        <f t="shared" si="20"/>
        <v>0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34"/>
      <c r="CA83" s="18"/>
      <c r="CB83" s="20"/>
      <c r="CC83" s="36" t="str">
        <f>IFERROR(VLOOKUP('A2 (Öhdəliklər)'!CB83,List!$Z$2:$AA$8,2,0),"")</f>
        <v/>
      </c>
      <c r="CD83" s="34"/>
    </row>
    <row r="84" spans="1:82" s="112" customFormat="1" ht="19.5" customHeight="1" x14ac:dyDescent="0.2">
      <c r="A84" s="111">
        <v>70</v>
      </c>
      <c r="B84" s="35" t="str">
        <f t="shared" si="16"/>
        <v/>
      </c>
      <c r="C84" s="32"/>
      <c r="D84" s="15"/>
      <c r="E84" s="1"/>
      <c r="F84" s="36" t="str">
        <f>IFERROR(VLOOKUP('A2 (Öhdəliklər)'!E84,List!A:B,2,0),"")</f>
        <v/>
      </c>
      <c r="G84" s="1"/>
      <c r="H84" s="36" t="str">
        <f>IFERROR(VLOOKUP('A2 (Öhdəliklər)'!G84,List!G:H,2,0),"")</f>
        <v/>
      </c>
      <c r="I84" s="1"/>
      <c r="J84" s="36" t="str">
        <f>IFERROR(VLOOKUP('A2 (Öhdəliklər)'!I84,List!C:D,2,0),"")</f>
        <v/>
      </c>
      <c r="K84" s="1"/>
      <c r="L84" s="36" t="str">
        <f>IFERROR(VLOOKUP('A2 (Öhdəliklər)'!K84,List!E:F,2,0),"")</f>
        <v/>
      </c>
      <c r="M84" s="1"/>
      <c r="N84" s="36" t="str">
        <f>IFERROR(VLOOKUP('A2 (Öhdəliklər)'!M84,List!M:N,2,0),"")</f>
        <v/>
      </c>
      <c r="O84" s="1"/>
      <c r="P84" s="36" t="str">
        <f>IFERROR(VLOOKUP('A2 (Öhdəliklər)'!O84,List!S:T,2,0),"")</f>
        <v/>
      </c>
      <c r="Q84" s="1"/>
      <c r="R84" s="36" t="str">
        <f>IFERROR(VLOOKUP('A2 (Öhdəliklər)'!Q84,List!K:L,2,0),"")</f>
        <v/>
      </c>
      <c r="S84" s="16"/>
      <c r="T84" s="16"/>
      <c r="U84" s="17"/>
      <c r="V84" s="17"/>
      <c r="W84" s="20"/>
      <c r="X84" s="18"/>
      <c r="Y84" s="1"/>
      <c r="Z84" s="36" t="str">
        <f>IFERROR(VLOOKUP('A2 (Öhdəliklər)'!Y84,List!O:P,2,0),"")</f>
        <v/>
      </c>
      <c r="AA84" s="19"/>
      <c r="AB84" s="19"/>
      <c r="AC84" s="37">
        <f t="shared" si="17"/>
        <v>0</v>
      </c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21"/>
      <c r="AZ84" s="36" t="str">
        <f>IFERROR(VLOOKUP('A2 (Öhdəliklər)'!AY84,List!Q:R,2,0),"")</f>
        <v/>
      </c>
      <c r="BA84" s="38">
        <f t="shared" si="18"/>
        <v>0</v>
      </c>
      <c r="BB84" s="38">
        <f t="shared" si="19"/>
        <v>0</v>
      </c>
      <c r="BC84" s="39">
        <f t="shared" si="20"/>
        <v>0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34"/>
      <c r="CA84" s="18"/>
      <c r="CB84" s="20"/>
      <c r="CC84" s="36" t="str">
        <f>IFERROR(VLOOKUP('A2 (Öhdəliklər)'!CB84,List!$Z$2:$AA$8,2,0),"")</f>
        <v/>
      </c>
      <c r="CD84" s="34"/>
    </row>
    <row r="85" spans="1:82" s="112" customFormat="1" ht="19.5" customHeight="1" x14ac:dyDescent="0.2">
      <c r="A85" s="111">
        <v>71</v>
      </c>
      <c r="B85" s="35" t="str">
        <f t="shared" si="16"/>
        <v/>
      </c>
      <c r="C85" s="32"/>
      <c r="D85" s="15"/>
      <c r="E85" s="1"/>
      <c r="F85" s="36" t="str">
        <f>IFERROR(VLOOKUP('A2 (Öhdəliklər)'!E85,List!A:B,2,0),"")</f>
        <v/>
      </c>
      <c r="G85" s="1"/>
      <c r="H85" s="36" t="str">
        <f>IFERROR(VLOOKUP('A2 (Öhdəliklər)'!G85,List!G:H,2,0),"")</f>
        <v/>
      </c>
      <c r="I85" s="1"/>
      <c r="J85" s="36" t="str">
        <f>IFERROR(VLOOKUP('A2 (Öhdəliklər)'!I85,List!C:D,2,0),"")</f>
        <v/>
      </c>
      <c r="K85" s="1"/>
      <c r="L85" s="36" t="str">
        <f>IFERROR(VLOOKUP('A2 (Öhdəliklər)'!K85,List!E:F,2,0),"")</f>
        <v/>
      </c>
      <c r="M85" s="1"/>
      <c r="N85" s="36" t="str">
        <f>IFERROR(VLOOKUP('A2 (Öhdəliklər)'!M85,List!M:N,2,0),"")</f>
        <v/>
      </c>
      <c r="O85" s="1"/>
      <c r="P85" s="36" t="str">
        <f>IFERROR(VLOOKUP('A2 (Öhdəliklər)'!O85,List!S:T,2,0),"")</f>
        <v/>
      </c>
      <c r="Q85" s="1"/>
      <c r="R85" s="36" t="str">
        <f>IFERROR(VLOOKUP('A2 (Öhdəliklər)'!Q85,List!K:L,2,0),"")</f>
        <v/>
      </c>
      <c r="S85" s="16"/>
      <c r="T85" s="16"/>
      <c r="U85" s="17"/>
      <c r="V85" s="17"/>
      <c r="W85" s="20"/>
      <c r="X85" s="18"/>
      <c r="Y85" s="1"/>
      <c r="Z85" s="36" t="str">
        <f>IFERROR(VLOOKUP('A2 (Öhdəliklər)'!Y85,List!O:P,2,0),"")</f>
        <v/>
      </c>
      <c r="AA85" s="19"/>
      <c r="AB85" s="19"/>
      <c r="AC85" s="37">
        <f t="shared" si="17"/>
        <v>0</v>
      </c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21"/>
      <c r="AZ85" s="36" t="str">
        <f>IFERROR(VLOOKUP('A2 (Öhdəliklər)'!AY85,List!Q:R,2,0),"")</f>
        <v/>
      </c>
      <c r="BA85" s="38">
        <f t="shared" si="18"/>
        <v>0</v>
      </c>
      <c r="BB85" s="38">
        <f t="shared" si="19"/>
        <v>0</v>
      </c>
      <c r="BC85" s="39">
        <f t="shared" si="20"/>
        <v>0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34"/>
      <c r="CA85" s="18"/>
      <c r="CB85" s="20"/>
      <c r="CC85" s="36" t="str">
        <f>IFERROR(VLOOKUP('A2 (Öhdəliklər)'!CB85,List!$Z$2:$AA$8,2,0),"")</f>
        <v/>
      </c>
      <c r="CD85" s="34"/>
    </row>
    <row r="86" spans="1:82" s="112" customFormat="1" ht="19.5" customHeight="1" x14ac:dyDescent="0.2">
      <c r="A86" s="111">
        <v>72</v>
      </c>
      <c r="B86" s="35" t="str">
        <f t="shared" si="16"/>
        <v/>
      </c>
      <c r="C86" s="32"/>
      <c r="D86" s="15"/>
      <c r="E86" s="1"/>
      <c r="F86" s="36" t="str">
        <f>IFERROR(VLOOKUP('A2 (Öhdəliklər)'!E86,List!A:B,2,0),"")</f>
        <v/>
      </c>
      <c r="G86" s="1"/>
      <c r="H86" s="36" t="str">
        <f>IFERROR(VLOOKUP('A2 (Öhdəliklər)'!G86,List!G:H,2,0),"")</f>
        <v/>
      </c>
      <c r="I86" s="1"/>
      <c r="J86" s="36" t="str">
        <f>IFERROR(VLOOKUP('A2 (Öhdəliklər)'!I86,List!C:D,2,0),"")</f>
        <v/>
      </c>
      <c r="K86" s="1"/>
      <c r="L86" s="36" t="str">
        <f>IFERROR(VLOOKUP('A2 (Öhdəliklər)'!K86,List!E:F,2,0),"")</f>
        <v/>
      </c>
      <c r="M86" s="1"/>
      <c r="N86" s="36" t="str">
        <f>IFERROR(VLOOKUP('A2 (Öhdəliklər)'!M86,List!M:N,2,0),"")</f>
        <v/>
      </c>
      <c r="O86" s="1"/>
      <c r="P86" s="36" t="str">
        <f>IFERROR(VLOOKUP('A2 (Öhdəliklər)'!O86,List!S:T,2,0),"")</f>
        <v/>
      </c>
      <c r="Q86" s="1"/>
      <c r="R86" s="36" t="str">
        <f>IFERROR(VLOOKUP('A2 (Öhdəliklər)'!Q86,List!K:L,2,0),"")</f>
        <v/>
      </c>
      <c r="S86" s="16"/>
      <c r="T86" s="16"/>
      <c r="U86" s="17"/>
      <c r="V86" s="17"/>
      <c r="W86" s="20"/>
      <c r="X86" s="18"/>
      <c r="Y86" s="1"/>
      <c r="Z86" s="36" t="str">
        <f>IFERROR(VLOOKUP('A2 (Öhdəliklər)'!Y86,List!O:P,2,0),"")</f>
        <v/>
      </c>
      <c r="AA86" s="19"/>
      <c r="AB86" s="19"/>
      <c r="AC86" s="37">
        <f t="shared" si="17"/>
        <v>0</v>
      </c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21"/>
      <c r="AZ86" s="36" t="str">
        <f>IFERROR(VLOOKUP('A2 (Öhdəliklər)'!AY86,List!Q:R,2,0),"")</f>
        <v/>
      </c>
      <c r="BA86" s="38">
        <f t="shared" si="18"/>
        <v>0</v>
      </c>
      <c r="BB86" s="38">
        <f t="shared" si="19"/>
        <v>0</v>
      </c>
      <c r="BC86" s="39">
        <f t="shared" si="20"/>
        <v>0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34"/>
      <c r="CA86" s="18"/>
      <c r="CB86" s="20"/>
      <c r="CC86" s="36" t="str">
        <f>IFERROR(VLOOKUP('A2 (Öhdəliklər)'!CB86,List!$Z$2:$AA$8,2,0),"")</f>
        <v/>
      </c>
      <c r="CD86" s="34"/>
    </row>
    <row r="87" spans="1:82" s="112" customFormat="1" ht="19.5" customHeight="1" x14ac:dyDescent="0.2">
      <c r="A87" s="111">
        <v>73</v>
      </c>
      <c r="B87" s="35" t="str">
        <f t="shared" si="16"/>
        <v/>
      </c>
      <c r="C87" s="32"/>
      <c r="D87" s="15"/>
      <c r="E87" s="1"/>
      <c r="F87" s="36" t="str">
        <f>IFERROR(VLOOKUP('A2 (Öhdəliklər)'!E87,List!A:B,2,0),"")</f>
        <v/>
      </c>
      <c r="G87" s="1"/>
      <c r="H87" s="36" t="str">
        <f>IFERROR(VLOOKUP('A2 (Öhdəliklər)'!G87,List!G:H,2,0),"")</f>
        <v/>
      </c>
      <c r="I87" s="1"/>
      <c r="J87" s="36" t="str">
        <f>IFERROR(VLOOKUP('A2 (Öhdəliklər)'!I87,List!C:D,2,0),"")</f>
        <v/>
      </c>
      <c r="K87" s="1"/>
      <c r="L87" s="36" t="str">
        <f>IFERROR(VLOOKUP('A2 (Öhdəliklər)'!K87,List!E:F,2,0),"")</f>
        <v/>
      </c>
      <c r="M87" s="1"/>
      <c r="N87" s="36" t="str">
        <f>IFERROR(VLOOKUP('A2 (Öhdəliklər)'!M87,List!M:N,2,0),"")</f>
        <v/>
      </c>
      <c r="O87" s="1"/>
      <c r="P87" s="36" t="str">
        <f>IFERROR(VLOOKUP('A2 (Öhdəliklər)'!O87,List!S:T,2,0),"")</f>
        <v/>
      </c>
      <c r="Q87" s="1"/>
      <c r="R87" s="36" t="str">
        <f>IFERROR(VLOOKUP('A2 (Öhdəliklər)'!Q87,List!K:L,2,0),"")</f>
        <v/>
      </c>
      <c r="S87" s="16"/>
      <c r="T87" s="16"/>
      <c r="U87" s="17"/>
      <c r="V87" s="17"/>
      <c r="W87" s="20"/>
      <c r="X87" s="18"/>
      <c r="Y87" s="1"/>
      <c r="Z87" s="36" t="str">
        <f>IFERROR(VLOOKUP('A2 (Öhdəliklər)'!Y87,List!O:P,2,0),"")</f>
        <v/>
      </c>
      <c r="AA87" s="19"/>
      <c r="AB87" s="19"/>
      <c r="AC87" s="37">
        <f t="shared" si="17"/>
        <v>0</v>
      </c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21"/>
      <c r="AZ87" s="36" t="str">
        <f>IFERROR(VLOOKUP('A2 (Öhdəliklər)'!AY87,List!Q:R,2,0),"")</f>
        <v/>
      </c>
      <c r="BA87" s="38">
        <f t="shared" si="18"/>
        <v>0</v>
      </c>
      <c r="BB87" s="38">
        <f t="shared" si="19"/>
        <v>0</v>
      </c>
      <c r="BC87" s="39">
        <f t="shared" si="20"/>
        <v>0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34"/>
      <c r="CA87" s="18"/>
      <c r="CB87" s="20"/>
      <c r="CC87" s="36" t="str">
        <f>IFERROR(VLOOKUP('A2 (Öhdəliklər)'!CB87,List!$Z$2:$AA$8,2,0),"")</f>
        <v/>
      </c>
      <c r="CD87" s="34"/>
    </row>
    <row r="88" spans="1:82" s="112" customFormat="1" ht="19.5" customHeight="1" x14ac:dyDescent="0.2">
      <c r="A88" s="111">
        <v>74</v>
      </c>
      <c r="B88" s="35" t="str">
        <f t="shared" si="16"/>
        <v/>
      </c>
      <c r="C88" s="32"/>
      <c r="D88" s="15"/>
      <c r="E88" s="1"/>
      <c r="F88" s="36" t="str">
        <f>IFERROR(VLOOKUP('A2 (Öhdəliklər)'!E88,List!A:B,2,0),"")</f>
        <v/>
      </c>
      <c r="G88" s="1"/>
      <c r="H88" s="36" t="str">
        <f>IFERROR(VLOOKUP('A2 (Öhdəliklər)'!G88,List!G:H,2,0),"")</f>
        <v/>
      </c>
      <c r="I88" s="1"/>
      <c r="J88" s="36" t="str">
        <f>IFERROR(VLOOKUP('A2 (Öhdəliklər)'!I88,List!C:D,2,0),"")</f>
        <v/>
      </c>
      <c r="K88" s="1"/>
      <c r="L88" s="36" t="str">
        <f>IFERROR(VLOOKUP('A2 (Öhdəliklər)'!K88,List!E:F,2,0),"")</f>
        <v/>
      </c>
      <c r="M88" s="1"/>
      <c r="N88" s="36" t="str">
        <f>IFERROR(VLOOKUP('A2 (Öhdəliklər)'!M88,List!M:N,2,0),"")</f>
        <v/>
      </c>
      <c r="O88" s="1"/>
      <c r="P88" s="36" t="str">
        <f>IFERROR(VLOOKUP('A2 (Öhdəliklər)'!O88,List!S:T,2,0),"")</f>
        <v/>
      </c>
      <c r="Q88" s="1"/>
      <c r="R88" s="36" t="str">
        <f>IFERROR(VLOOKUP('A2 (Öhdəliklər)'!Q88,List!K:L,2,0),"")</f>
        <v/>
      </c>
      <c r="S88" s="16"/>
      <c r="T88" s="16"/>
      <c r="U88" s="17"/>
      <c r="V88" s="17"/>
      <c r="W88" s="20"/>
      <c r="X88" s="18"/>
      <c r="Y88" s="1"/>
      <c r="Z88" s="36" t="str">
        <f>IFERROR(VLOOKUP('A2 (Öhdəliklər)'!Y88,List!O:P,2,0),"")</f>
        <v/>
      </c>
      <c r="AA88" s="19"/>
      <c r="AB88" s="19"/>
      <c r="AC88" s="37">
        <f t="shared" si="17"/>
        <v>0</v>
      </c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21"/>
      <c r="AZ88" s="36" t="str">
        <f>IFERROR(VLOOKUP('A2 (Öhdəliklər)'!AY88,List!Q:R,2,0),"")</f>
        <v/>
      </c>
      <c r="BA88" s="38">
        <f t="shared" si="18"/>
        <v>0</v>
      </c>
      <c r="BB88" s="38">
        <f t="shared" si="19"/>
        <v>0</v>
      </c>
      <c r="BC88" s="39">
        <f t="shared" si="20"/>
        <v>0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34"/>
      <c r="CA88" s="18"/>
      <c r="CB88" s="20"/>
      <c r="CC88" s="36" t="str">
        <f>IFERROR(VLOOKUP('A2 (Öhdəliklər)'!CB88,List!$Z$2:$AA$8,2,0),"")</f>
        <v/>
      </c>
      <c r="CD88" s="34"/>
    </row>
    <row r="89" spans="1:82" s="112" customFormat="1" ht="19.5" customHeight="1" x14ac:dyDescent="0.2">
      <c r="A89" s="111">
        <v>75</v>
      </c>
      <c r="B89" s="35" t="str">
        <f t="shared" si="16"/>
        <v/>
      </c>
      <c r="C89" s="32"/>
      <c r="D89" s="15"/>
      <c r="E89" s="1"/>
      <c r="F89" s="36" t="str">
        <f>IFERROR(VLOOKUP('A2 (Öhdəliklər)'!E89,List!A:B,2,0),"")</f>
        <v/>
      </c>
      <c r="G89" s="1"/>
      <c r="H89" s="36" t="str">
        <f>IFERROR(VLOOKUP('A2 (Öhdəliklər)'!G89,List!G:H,2,0),"")</f>
        <v/>
      </c>
      <c r="I89" s="1"/>
      <c r="J89" s="36" t="str">
        <f>IFERROR(VLOOKUP('A2 (Öhdəliklər)'!I89,List!C:D,2,0),"")</f>
        <v/>
      </c>
      <c r="K89" s="1"/>
      <c r="L89" s="36" t="str">
        <f>IFERROR(VLOOKUP('A2 (Öhdəliklər)'!K89,List!E:F,2,0),"")</f>
        <v/>
      </c>
      <c r="M89" s="1"/>
      <c r="N89" s="36" t="str">
        <f>IFERROR(VLOOKUP('A2 (Öhdəliklər)'!M89,List!M:N,2,0),"")</f>
        <v/>
      </c>
      <c r="O89" s="1"/>
      <c r="P89" s="36" t="str">
        <f>IFERROR(VLOOKUP('A2 (Öhdəliklər)'!O89,List!S:T,2,0),"")</f>
        <v/>
      </c>
      <c r="Q89" s="1"/>
      <c r="R89" s="36" t="str">
        <f>IFERROR(VLOOKUP('A2 (Öhdəliklər)'!Q89,List!K:L,2,0),"")</f>
        <v/>
      </c>
      <c r="S89" s="16"/>
      <c r="T89" s="16"/>
      <c r="U89" s="17"/>
      <c r="V89" s="17"/>
      <c r="W89" s="20"/>
      <c r="X89" s="18"/>
      <c r="Y89" s="1"/>
      <c r="Z89" s="36" t="str">
        <f>IFERROR(VLOOKUP('A2 (Öhdəliklər)'!Y89,List!O:P,2,0),"")</f>
        <v/>
      </c>
      <c r="AA89" s="19"/>
      <c r="AB89" s="19"/>
      <c r="AC89" s="37">
        <f t="shared" si="17"/>
        <v>0</v>
      </c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21"/>
      <c r="AZ89" s="36" t="str">
        <f>IFERROR(VLOOKUP('A2 (Öhdəliklər)'!AY89,List!Q:R,2,0),"")</f>
        <v/>
      </c>
      <c r="BA89" s="38">
        <f t="shared" si="18"/>
        <v>0</v>
      </c>
      <c r="BB89" s="38">
        <f t="shared" si="19"/>
        <v>0</v>
      </c>
      <c r="BC89" s="39">
        <f t="shared" si="20"/>
        <v>0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34"/>
      <c r="CA89" s="18"/>
      <c r="CB89" s="20"/>
      <c r="CC89" s="36" t="str">
        <f>IFERROR(VLOOKUP('A2 (Öhdəliklər)'!CB89,List!$Z$2:$AA$8,2,0),"")</f>
        <v/>
      </c>
      <c r="CD89" s="34"/>
    </row>
    <row r="90" spans="1:82" s="112" customFormat="1" ht="19.5" customHeight="1" x14ac:dyDescent="0.2">
      <c r="A90" s="111">
        <v>76</v>
      </c>
      <c r="B90" s="35" t="str">
        <f t="shared" si="16"/>
        <v/>
      </c>
      <c r="C90" s="32"/>
      <c r="D90" s="15"/>
      <c r="E90" s="1"/>
      <c r="F90" s="36" t="str">
        <f>IFERROR(VLOOKUP('A2 (Öhdəliklər)'!E90,List!A:B,2,0),"")</f>
        <v/>
      </c>
      <c r="G90" s="1"/>
      <c r="H90" s="36" t="str">
        <f>IFERROR(VLOOKUP('A2 (Öhdəliklər)'!G90,List!G:H,2,0),"")</f>
        <v/>
      </c>
      <c r="I90" s="1"/>
      <c r="J90" s="36" t="str">
        <f>IFERROR(VLOOKUP('A2 (Öhdəliklər)'!I90,List!C:D,2,0),"")</f>
        <v/>
      </c>
      <c r="K90" s="1"/>
      <c r="L90" s="36" t="str">
        <f>IFERROR(VLOOKUP('A2 (Öhdəliklər)'!K90,List!E:F,2,0),"")</f>
        <v/>
      </c>
      <c r="M90" s="1"/>
      <c r="N90" s="36" t="str">
        <f>IFERROR(VLOOKUP('A2 (Öhdəliklər)'!M90,List!M:N,2,0),"")</f>
        <v/>
      </c>
      <c r="O90" s="1"/>
      <c r="P90" s="36" t="str">
        <f>IFERROR(VLOOKUP('A2 (Öhdəliklər)'!O90,List!S:T,2,0),"")</f>
        <v/>
      </c>
      <c r="Q90" s="1"/>
      <c r="R90" s="36" t="str">
        <f>IFERROR(VLOOKUP('A2 (Öhdəliklər)'!Q90,List!K:L,2,0),"")</f>
        <v/>
      </c>
      <c r="S90" s="16"/>
      <c r="T90" s="16"/>
      <c r="U90" s="17"/>
      <c r="V90" s="17"/>
      <c r="W90" s="20"/>
      <c r="X90" s="18"/>
      <c r="Y90" s="1"/>
      <c r="Z90" s="36" t="str">
        <f>IFERROR(VLOOKUP('A2 (Öhdəliklər)'!Y90,List!O:P,2,0),"")</f>
        <v/>
      </c>
      <c r="AA90" s="19"/>
      <c r="AB90" s="19"/>
      <c r="AC90" s="37">
        <f t="shared" si="17"/>
        <v>0</v>
      </c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21"/>
      <c r="AZ90" s="36" t="str">
        <f>IFERROR(VLOOKUP('A2 (Öhdəliklər)'!AY90,List!Q:R,2,0),"")</f>
        <v/>
      </c>
      <c r="BA90" s="38">
        <f t="shared" si="18"/>
        <v>0</v>
      </c>
      <c r="BB90" s="38">
        <f t="shared" si="19"/>
        <v>0</v>
      </c>
      <c r="BC90" s="39">
        <f t="shared" si="20"/>
        <v>0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34"/>
      <c r="CA90" s="18"/>
      <c r="CB90" s="20"/>
      <c r="CC90" s="36" t="str">
        <f>IFERROR(VLOOKUP('A2 (Öhdəliklər)'!CB90,List!$Z$2:$AA$8,2,0),"")</f>
        <v/>
      </c>
      <c r="CD90" s="34"/>
    </row>
    <row r="91" spans="1:82" s="112" customFormat="1" ht="19.5" customHeight="1" x14ac:dyDescent="0.2">
      <c r="A91" s="111">
        <v>77</v>
      </c>
      <c r="B91" s="35" t="str">
        <f t="shared" si="16"/>
        <v/>
      </c>
      <c r="C91" s="32"/>
      <c r="D91" s="15"/>
      <c r="E91" s="1"/>
      <c r="F91" s="36" t="str">
        <f>IFERROR(VLOOKUP('A2 (Öhdəliklər)'!E91,List!A:B,2,0),"")</f>
        <v/>
      </c>
      <c r="G91" s="1"/>
      <c r="H91" s="36" t="str">
        <f>IFERROR(VLOOKUP('A2 (Öhdəliklər)'!G91,List!G:H,2,0),"")</f>
        <v/>
      </c>
      <c r="I91" s="1"/>
      <c r="J91" s="36" t="str">
        <f>IFERROR(VLOOKUP('A2 (Öhdəliklər)'!I91,List!C:D,2,0),"")</f>
        <v/>
      </c>
      <c r="K91" s="1"/>
      <c r="L91" s="36" t="str">
        <f>IFERROR(VLOOKUP('A2 (Öhdəliklər)'!K91,List!E:F,2,0),"")</f>
        <v/>
      </c>
      <c r="M91" s="1"/>
      <c r="N91" s="36" t="str">
        <f>IFERROR(VLOOKUP('A2 (Öhdəliklər)'!M91,List!M:N,2,0),"")</f>
        <v/>
      </c>
      <c r="O91" s="1"/>
      <c r="P91" s="36" t="str">
        <f>IFERROR(VLOOKUP('A2 (Öhdəliklər)'!O91,List!S:T,2,0),"")</f>
        <v/>
      </c>
      <c r="Q91" s="1"/>
      <c r="R91" s="36" t="str">
        <f>IFERROR(VLOOKUP('A2 (Öhdəliklər)'!Q91,List!K:L,2,0),"")</f>
        <v/>
      </c>
      <c r="S91" s="16"/>
      <c r="T91" s="16"/>
      <c r="U91" s="17"/>
      <c r="V91" s="17"/>
      <c r="W91" s="20"/>
      <c r="X91" s="18"/>
      <c r="Y91" s="1"/>
      <c r="Z91" s="36" t="str">
        <f>IFERROR(VLOOKUP('A2 (Öhdəliklər)'!Y91,List!O:P,2,0),"")</f>
        <v/>
      </c>
      <c r="AA91" s="19"/>
      <c r="AB91" s="19"/>
      <c r="AC91" s="37">
        <f t="shared" si="17"/>
        <v>0</v>
      </c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21"/>
      <c r="AZ91" s="36" t="str">
        <f>IFERROR(VLOOKUP('A2 (Öhdəliklər)'!AY91,List!Q:R,2,0),"")</f>
        <v/>
      </c>
      <c r="BA91" s="38">
        <f t="shared" si="18"/>
        <v>0</v>
      </c>
      <c r="BB91" s="38">
        <f t="shared" si="19"/>
        <v>0</v>
      </c>
      <c r="BC91" s="39">
        <f t="shared" si="20"/>
        <v>0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34"/>
      <c r="CA91" s="18"/>
      <c r="CB91" s="20"/>
      <c r="CC91" s="36" t="str">
        <f>IFERROR(VLOOKUP('A2 (Öhdəliklər)'!CB91,List!$Z$2:$AA$8,2,0),"")</f>
        <v/>
      </c>
      <c r="CD91" s="34"/>
    </row>
    <row r="92" spans="1:82" s="112" customFormat="1" ht="19.5" customHeight="1" x14ac:dyDescent="0.2">
      <c r="A92" s="111">
        <v>78</v>
      </c>
      <c r="B92" s="35" t="str">
        <f t="shared" si="16"/>
        <v/>
      </c>
      <c r="C92" s="32"/>
      <c r="D92" s="15"/>
      <c r="E92" s="1"/>
      <c r="F92" s="36" t="str">
        <f>IFERROR(VLOOKUP('A2 (Öhdəliklər)'!E92,List!A:B,2,0),"")</f>
        <v/>
      </c>
      <c r="G92" s="1"/>
      <c r="H92" s="36" t="str">
        <f>IFERROR(VLOOKUP('A2 (Öhdəliklər)'!G92,List!G:H,2,0),"")</f>
        <v/>
      </c>
      <c r="I92" s="1"/>
      <c r="J92" s="36" t="str">
        <f>IFERROR(VLOOKUP('A2 (Öhdəliklər)'!I92,List!C:D,2,0),"")</f>
        <v/>
      </c>
      <c r="K92" s="1"/>
      <c r="L92" s="36" t="str">
        <f>IFERROR(VLOOKUP('A2 (Öhdəliklər)'!K92,List!E:F,2,0),"")</f>
        <v/>
      </c>
      <c r="M92" s="1"/>
      <c r="N92" s="36" t="str">
        <f>IFERROR(VLOOKUP('A2 (Öhdəliklər)'!M92,List!M:N,2,0),"")</f>
        <v/>
      </c>
      <c r="O92" s="1"/>
      <c r="P92" s="36" t="str">
        <f>IFERROR(VLOOKUP('A2 (Öhdəliklər)'!O92,List!S:T,2,0),"")</f>
        <v/>
      </c>
      <c r="Q92" s="1"/>
      <c r="R92" s="36" t="str">
        <f>IFERROR(VLOOKUP('A2 (Öhdəliklər)'!Q92,List!K:L,2,0),"")</f>
        <v/>
      </c>
      <c r="S92" s="16"/>
      <c r="T92" s="16"/>
      <c r="U92" s="17"/>
      <c r="V92" s="17"/>
      <c r="W92" s="20"/>
      <c r="X92" s="18"/>
      <c r="Y92" s="1"/>
      <c r="Z92" s="36" t="str">
        <f>IFERROR(VLOOKUP('A2 (Öhdəliklər)'!Y92,List!O:P,2,0),"")</f>
        <v/>
      </c>
      <c r="AA92" s="19"/>
      <c r="AB92" s="19"/>
      <c r="AC92" s="37">
        <f t="shared" si="17"/>
        <v>0</v>
      </c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21"/>
      <c r="AZ92" s="36" t="str">
        <f>IFERROR(VLOOKUP('A2 (Öhdəliklər)'!AY92,List!Q:R,2,0),"")</f>
        <v/>
      </c>
      <c r="BA92" s="38">
        <f t="shared" si="18"/>
        <v>0</v>
      </c>
      <c r="BB92" s="38">
        <f t="shared" si="19"/>
        <v>0</v>
      </c>
      <c r="BC92" s="39">
        <f t="shared" si="20"/>
        <v>0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34"/>
      <c r="CA92" s="18"/>
      <c r="CB92" s="20"/>
      <c r="CC92" s="36" t="str">
        <f>IFERROR(VLOOKUP('A2 (Öhdəliklər)'!CB92,List!$Z$2:$AA$8,2,0),"")</f>
        <v/>
      </c>
      <c r="CD92" s="34"/>
    </row>
    <row r="93" spans="1:82" s="112" customFormat="1" ht="19.5" customHeight="1" x14ac:dyDescent="0.2">
      <c r="A93" s="111">
        <v>79</v>
      </c>
      <c r="B93" s="35" t="str">
        <f t="shared" si="16"/>
        <v/>
      </c>
      <c r="C93" s="32"/>
      <c r="D93" s="15"/>
      <c r="E93" s="1"/>
      <c r="F93" s="36" t="str">
        <f>IFERROR(VLOOKUP('A2 (Öhdəliklər)'!E93,List!A:B,2,0),"")</f>
        <v/>
      </c>
      <c r="G93" s="1"/>
      <c r="H93" s="36" t="str">
        <f>IFERROR(VLOOKUP('A2 (Öhdəliklər)'!G93,List!G:H,2,0),"")</f>
        <v/>
      </c>
      <c r="I93" s="1"/>
      <c r="J93" s="36" t="str">
        <f>IFERROR(VLOOKUP('A2 (Öhdəliklər)'!I93,List!C:D,2,0),"")</f>
        <v/>
      </c>
      <c r="K93" s="1"/>
      <c r="L93" s="36" t="str">
        <f>IFERROR(VLOOKUP('A2 (Öhdəliklər)'!K93,List!E:F,2,0),"")</f>
        <v/>
      </c>
      <c r="M93" s="1"/>
      <c r="N93" s="36" t="str">
        <f>IFERROR(VLOOKUP('A2 (Öhdəliklər)'!M93,List!M:N,2,0),"")</f>
        <v/>
      </c>
      <c r="O93" s="1"/>
      <c r="P93" s="36" t="str">
        <f>IFERROR(VLOOKUP('A2 (Öhdəliklər)'!O93,List!S:T,2,0),"")</f>
        <v/>
      </c>
      <c r="Q93" s="1"/>
      <c r="R93" s="36" t="str">
        <f>IFERROR(VLOOKUP('A2 (Öhdəliklər)'!Q93,List!K:L,2,0),"")</f>
        <v/>
      </c>
      <c r="S93" s="16"/>
      <c r="T93" s="16"/>
      <c r="U93" s="17"/>
      <c r="V93" s="17"/>
      <c r="W93" s="20"/>
      <c r="X93" s="18"/>
      <c r="Y93" s="1"/>
      <c r="Z93" s="36" t="str">
        <f>IFERROR(VLOOKUP('A2 (Öhdəliklər)'!Y93,List!O:P,2,0),"")</f>
        <v/>
      </c>
      <c r="AA93" s="19"/>
      <c r="AB93" s="19"/>
      <c r="AC93" s="37">
        <f t="shared" si="17"/>
        <v>0</v>
      </c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21"/>
      <c r="AZ93" s="36" t="str">
        <f>IFERROR(VLOOKUP('A2 (Öhdəliklər)'!AY93,List!Q:R,2,0),"")</f>
        <v/>
      </c>
      <c r="BA93" s="38">
        <f t="shared" si="18"/>
        <v>0</v>
      </c>
      <c r="BB93" s="38">
        <f t="shared" si="19"/>
        <v>0</v>
      </c>
      <c r="BC93" s="39">
        <f t="shared" si="20"/>
        <v>0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34"/>
      <c r="CA93" s="18"/>
      <c r="CB93" s="20"/>
      <c r="CC93" s="36" t="str">
        <f>IFERROR(VLOOKUP('A2 (Öhdəliklər)'!CB93,List!$Z$2:$AA$8,2,0),"")</f>
        <v/>
      </c>
      <c r="CD93" s="34"/>
    </row>
    <row r="94" spans="1:82" s="112" customFormat="1" ht="19.5" customHeight="1" x14ac:dyDescent="0.2">
      <c r="A94" s="111">
        <v>80</v>
      </c>
      <c r="B94" s="35" t="str">
        <f t="shared" si="16"/>
        <v/>
      </c>
      <c r="C94" s="32"/>
      <c r="D94" s="15"/>
      <c r="E94" s="1"/>
      <c r="F94" s="36" t="str">
        <f>IFERROR(VLOOKUP('A2 (Öhdəliklər)'!E94,List!A:B,2,0),"")</f>
        <v/>
      </c>
      <c r="G94" s="1"/>
      <c r="H94" s="36" t="str">
        <f>IFERROR(VLOOKUP('A2 (Öhdəliklər)'!G94,List!G:H,2,0),"")</f>
        <v/>
      </c>
      <c r="I94" s="1"/>
      <c r="J94" s="36" t="str">
        <f>IFERROR(VLOOKUP('A2 (Öhdəliklər)'!I94,List!C:D,2,0),"")</f>
        <v/>
      </c>
      <c r="K94" s="1"/>
      <c r="L94" s="36" t="str">
        <f>IFERROR(VLOOKUP('A2 (Öhdəliklər)'!K94,List!E:F,2,0),"")</f>
        <v/>
      </c>
      <c r="M94" s="1"/>
      <c r="N94" s="36" t="str">
        <f>IFERROR(VLOOKUP('A2 (Öhdəliklər)'!M94,List!M:N,2,0),"")</f>
        <v/>
      </c>
      <c r="O94" s="1"/>
      <c r="P94" s="36" t="str">
        <f>IFERROR(VLOOKUP('A2 (Öhdəliklər)'!O94,List!S:T,2,0),"")</f>
        <v/>
      </c>
      <c r="Q94" s="1"/>
      <c r="R94" s="36" t="str">
        <f>IFERROR(VLOOKUP('A2 (Öhdəliklər)'!Q94,List!K:L,2,0),"")</f>
        <v/>
      </c>
      <c r="S94" s="16"/>
      <c r="T94" s="16"/>
      <c r="U94" s="17"/>
      <c r="V94" s="17"/>
      <c r="W94" s="20"/>
      <c r="X94" s="18"/>
      <c r="Y94" s="1"/>
      <c r="Z94" s="36" t="str">
        <f>IFERROR(VLOOKUP('A2 (Öhdəliklər)'!Y94,List!O:P,2,0),"")</f>
        <v/>
      </c>
      <c r="AA94" s="19"/>
      <c r="AB94" s="19"/>
      <c r="AC94" s="37">
        <f t="shared" si="17"/>
        <v>0</v>
      </c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21"/>
      <c r="AZ94" s="36" t="str">
        <f>IFERROR(VLOOKUP('A2 (Öhdəliklər)'!AY94,List!Q:R,2,0),"")</f>
        <v/>
      </c>
      <c r="BA94" s="38">
        <f t="shared" si="18"/>
        <v>0</v>
      </c>
      <c r="BB94" s="38">
        <f t="shared" si="19"/>
        <v>0</v>
      </c>
      <c r="BC94" s="39">
        <f t="shared" si="20"/>
        <v>0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34"/>
      <c r="CA94" s="18"/>
      <c r="CB94" s="20"/>
      <c r="CC94" s="36" t="str">
        <f>IFERROR(VLOOKUP('A2 (Öhdəliklər)'!CB94,List!$Z$2:$AA$8,2,0),"")</f>
        <v/>
      </c>
      <c r="CD94" s="34"/>
    </row>
    <row r="95" spans="1:82" s="112" customFormat="1" ht="19.5" customHeight="1" x14ac:dyDescent="0.2">
      <c r="A95" s="111">
        <v>81</v>
      </c>
      <c r="B95" s="35" t="str">
        <f t="shared" si="16"/>
        <v/>
      </c>
      <c r="C95" s="32"/>
      <c r="D95" s="15"/>
      <c r="E95" s="1"/>
      <c r="F95" s="36" t="str">
        <f>IFERROR(VLOOKUP('A2 (Öhdəliklər)'!E95,List!A:B,2,0),"")</f>
        <v/>
      </c>
      <c r="G95" s="1"/>
      <c r="H95" s="36" t="str">
        <f>IFERROR(VLOOKUP('A2 (Öhdəliklər)'!G95,List!G:H,2,0),"")</f>
        <v/>
      </c>
      <c r="I95" s="1"/>
      <c r="J95" s="36" t="str">
        <f>IFERROR(VLOOKUP('A2 (Öhdəliklər)'!I95,List!C:D,2,0),"")</f>
        <v/>
      </c>
      <c r="K95" s="1"/>
      <c r="L95" s="36" t="str">
        <f>IFERROR(VLOOKUP('A2 (Öhdəliklər)'!K95,List!E:F,2,0),"")</f>
        <v/>
      </c>
      <c r="M95" s="1"/>
      <c r="N95" s="36" t="str">
        <f>IFERROR(VLOOKUP('A2 (Öhdəliklər)'!M95,List!M:N,2,0),"")</f>
        <v/>
      </c>
      <c r="O95" s="1"/>
      <c r="P95" s="36" t="str">
        <f>IFERROR(VLOOKUP('A2 (Öhdəliklər)'!O95,List!S:T,2,0),"")</f>
        <v/>
      </c>
      <c r="Q95" s="1"/>
      <c r="R95" s="36" t="str">
        <f>IFERROR(VLOOKUP('A2 (Öhdəliklər)'!Q95,List!K:L,2,0),"")</f>
        <v/>
      </c>
      <c r="S95" s="16"/>
      <c r="T95" s="16"/>
      <c r="U95" s="17"/>
      <c r="V95" s="17"/>
      <c r="W95" s="20"/>
      <c r="X95" s="18"/>
      <c r="Y95" s="1"/>
      <c r="Z95" s="36" t="str">
        <f>IFERROR(VLOOKUP('A2 (Öhdəliklər)'!Y95,List!O:P,2,0),"")</f>
        <v/>
      </c>
      <c r="AA95" s="19"/>
      <c r="AB95" s="19"/>
      <c r="AC95" s="37">
        <f t="shared" si="17"/>
        <v>0</v>
      </c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21"/>
      <c r="AZ95" s="36" t="str">
        <f>IFERROR(VLOOKUP('A2 (Öhdəliklər)'!AY95,List!Q:R,2,0),"")</f>
        <v/>
      </c>
      <c r="BA95" s="38">
        <f t="shared" si="18"/>
        <v>0</v>
      </c>
      <c r="BB95" s="38">
        <f t="shared" si="19"/>
        <v>0</v>
      </c>
      <c r="BC95" s="39">
        <f t="shared" si="20"/>
        <v>0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34"/>
      <c r="CA95" s="18"/>
      <c r="CB95" s="20"/>
      <c r="CC95" s="36" t="str">
        <f>IFERROR(VLOOKUP('A2 (Öhdəliklər)'!CB95,List!$Z$2:$AA$8,2,0),"")</f>
        <v/>
      </c>
      <c r="CD95" s="34"/>
    </row>
    <row r="96" spans="1:82" s="112" customFormat="1" ht="19.5" customHeight="1" x14ac:dyDescent="0.2">
      <c r="A96" s="111">
        <v>82</v>
      </c>
      <c r="B96" s="35" t="str">
        <f t="shared" si="16"/>
        <v/>
      </c>
      <c r="C96" s="32"/>
      <c r="D96" s="15"/>
      <c r="E96" s="1"/>
      <c r="F96" s="36" t="str">
        <f>IFERROR(VLOOKUP('A2 (Öhdəliklər)'!E96,List!A:B,2,0),"")</f>
        <v/>
      </c>
      <c r="G96" s="1"/>
      <c r="H96" s="36" t="str">
        <f>IFERROR(VLOOKUP('A2 (Öhdəliklər)'!G96,List!G:H,2,0),"")</f>
        <v/>
      </c>
      <c r="I96" s="1"/>
      <c r="J96" s="36" t="str">
        <f>IFERROR(VLOOKUP('A2 (Öhdəliklər)'!I96,List!C:D,2,0),"")</f>
        <v/>
      </c>
      <c r="K96" s="1"/>
      <c r="L96" s="36" t="str">
        <f>IFERROR(VLOOKUP('A2 (Öhdəliklər)'!K96,List!E:F,2,0),"")</f>
        <v/>
      </c>
      <c r="M96" s="1"/>
      <c r="N96" s="36" t="str">
        <f>IFERROR(VLOOKUP('A2 (Öhdəliklər)'!M96,List!M:N,2,0),"")</f>
        <v/>
      </c>
      <c r="O96" s="1"/>
      <c r="P96" s="36" t="str">
        <f>IFERROR(VLOOKUP('A2 (Öhdəliklər)'!O96,List!S:T,2,0),"")</f>
        <v/>
      </c>
      <c r="Q96" s="1"/>
      <c r="R96" s="36" t="str">
        <f>IFERROR(VLOOKUP('A2 (Öhdəliklər)'!Q96,List!K:L,2,0),"")</f>
        <v/>
      </c>
      <c r="S96" s="16"/>
      <c r="T96" s="16"/>
      <c r="U96" s="17"/>
      <c r="V96" s="17"/>
      <c r="W96" s="20"/>
      <c r="X96" s="18"/>
      <c r="Y96" s="1"/>
      <c r="Z96" s="36" t="str">
        <f>IFERROR(VLOOKUP('A2 (Öhdəliklər)'!Y96,List!O:P,2,0),"")</f>
        <v/>
      </c>
      <c r="AA96" s="19"/>
      <c r="AB96" s="19"/>
      <c r="AC96" s="37">
        <f t="shared" si="17"/>
        <v>0</v>
      </c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21"/>
      <c r="AZ96" s="36" t="str">
        <f>IFERROR(VLOOKUP('A2 (Öhdəliklər)'!AY96,List!Q:R,2,0),"")</f>
        <v/>
      </c>
      <c r="BA96" s="38">
        <f t="shared" si="18"/>
        <v>0</v>
      </c>
      <c r="BB96" s="38">
        <f t="shared" si="19"/>
        <v>0</v>
      </c>
      <c r="BC96" s="39">
        <f t="shared" si="20"/>
        <v>0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34"/>
      <c r="CA96" s="18"/>
      <c r="CB96" s="20"/>
      <c r="CC96" s="36" t="str">
        <f>IFERROR(VLOOKUP('A2 (Öhdəliklər)'!CB96,List!$Z$2:$AA$8,2,0),"")</f>
        <v/>
      </c>
      <c r="CD96" s="34"/>
    </row>
    <row r="97" spans="1:82" s="112" customFormat="1" ht="19.5" customHeight="1" x14ac:dyDescent="0.2">
      <c r="A97" s="111">
        <v>83</v>
      </c>
      <c r="B97" s="35" t="str">
        <f t="shared" si="16"/>
        <v/>
      </c>
      <c r="C97" s="32"/>
      <c r="D97" s="15"/>
      <c r="E97" s="1"/>
      <c r="F97" s="36" t="str">
        <f>IFERROR(VLOOKUP('A2 (Öhdəliklər)'!E97,List!A:B,2,0),"")</f>
        <v/>
      </c>
      <c r="G97" s="1"/>
      <c r="H97" s="36" t="str">
        <f>IFERROR(VLOOKUP('A2 (Öhdəliklər)'!G97,List!G:H,2,0),"")</f>
        <v/>
      </c>
      <c r="I97" s="1"/>
      <c r="J97" s="36" t="str">
        <f>IFERROR(VLOOKUP('A2 (Öhdəliklər)'!I97,List!C:D,2,0),"")</f>
        <v/>
      </c>
      <c r="K97" s="1"/>
      <c r="L97" s="36" t="str">
        <f>IFERROR(VLOOKUP('A2 (Öhdəliklər)'!K97,List!E:F,2,0),"")</f>
        <v/>
      </c>
      <c r="M97" s="1"/>
      <c r="N97" s="36" t="str">
        <f>IFERROR(VLOOKUP('A2 (Öhdəliklər)'!M97,List!M:N,2,0),"")</f>
        <v/>
      </c>
      <c r="O97" s="1"/>
      <c r="P97" s="36" t="str">
        <f>IFERROR(VLOOKUP('A2 (Öhdəliklər)'!O97,List!S:T,2,0),"")</f>
        <v/>
      </c>
      <c r="Q97" s="1"/>
      <c r="R97" s="36" t="str">
        <f>IFERROR(VLOOKUP('A2 (Öhdəliklər)'!Q97,List!K:L,2,0),"")</f>
        <v/>
      </c>
      <c r="S97" s="16"/>
      <c r="T97" s="16"/>
      <c r="U97" s="17"/>
      <c r="V97" s="17"/>
      <c r="W97" s="20"/>
      <c r="X97" s="18"/>
      <c r="Y97" s="1"/>
      <c r="Z97" s="36" t="str">
        <f>IFERROR(VLOOKUP('A2 (Öhdəliklər)'!Y97,List!O:P,2,0),"")</f>
        <v/>
      </c>
      <c r="AA97" s="19"/>
      <c r="AB97" s="19"/>
      <c r="AC97" s="37">
        <f t="shared" si="17"/>
        <v>0</v>
      </c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21"/>
      <c r="AZ97" s="36" t="str">
        <f>IFERROR(VLOOKUP('A2 (Öhdəliklər)'!AY97,List!Q:R,2,0),"")</f>
        <v/>
      </c>
      <c r="BA97" s="38">
        <f t="shared" si="18"/>
        <v>0</v>
      </c>
      <c r="BB97" s="38">
        <f t="shared" si="19"/>
        <v>0</v>
      </c>
      <c r="BC97" s="39">
        <f t="shared" si="20"/>
        <v>0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34"/>
      <c r="CA97" s="18"/>
      <c r="CB97" s="20"/>
      <c r="CC97" s="36" t="str">
        <f>IFERROR(VLOOKUP('A2 (Öhdəliklər)'!CB97,List!$Z$2:$AA$8,2,0),"")</f>
        <v/>
      </c>
      <c r="CD97" s="34"/>
    </row>
    <row r="98" spans="1:82" s="112" customFormat="1" ht="19.5" customHeight="1" x14ac:dyDescent="0.2">
      <c r="A98" s="111">
        <v>84</v>
      </c>
      <c r="B98" s="35" t="str">
        <f t="shared" si="16"/>
        <v/>
      </c>
      <c r="C98" s="32"/>
      <c r="D98" s="15"/>
      <c r="E98" s="1"/>
      <c r="F98" s="36" t="str">
        <f>IFERROR(VLOOKUP('A2 (Öhdəliklər)'!E98,List!A:B,2,0),"")</f>
        <v/>
      </c>
      <c r="G98" s="1"/>
      <c r="H98" s="36" t="str">
        <f>IFERROR(VLOOKUP('A2 (Öhdəliklər)'!G98,List!G:H,2,0),"")</f>
        <v/>
      </c>
      <c r="I98" s="1"/>
      <c r="J98" s="36" t="str">
        <f>IFERROR(VLOOKUP('A2 (Öhdəliklər)'!I98,List!C:D,2,0),"")</f>
        <v/>
      </c>
      <c r="K98" s="1"/>
      <c r="L98" s="36" t="str">
        <f>IFERROR(VLOOKUP('A2 (Öhdəliklər)'!K98,List!E:F,2,0),"")</f>
        <v/>
      </c>
      <c r="M98" s="1"/>
      <c r="N98" s="36" t="str">
        <f>IFERROR(VLOOKUP('A2 (Öhdəliklər)'!M98,List!M:N,2,0),"")</f>
        <v/>
      </c>
      <c r="O98" s="1"/>
      <c r="P98" s="36" t="str">
        <f>IFERROR(VLOOKUP('A2 (Öhdəliklər)'!O98,List!S:T,2,0),"")</f>
        <v/>
      </c>
      <c r="Q98" s="1"/>
      <c r="R98" s="36" t="str">
        <f>IFERROR(VLOOKUP('A2 (Öhdəliklər)'!Q98,List!K:L,2,0),"")</f>
        <v/>
      </c>
      <c r="S98" s="16"/>
      <c r="T98" s="16"/>
      <c r="U98" s="17"/>
      <c r="V98" s="17"/>
      <c r="W98" s="20"/>
      <c r="X98" s="18"/>
      <c r="Y98" s="1"/>
      <c r="Z98" s="36" t="str">
        <f>IFERROR(VLOOKUP('A2 (Öhdəliklər)'!Y98,List!O:P,2,0),"")</f>
        <v/>
      </c>
      <c r="AA98" s="19"/>
      <c r="AB98" s="19"/>
      <c r="AC98" s="37">
        <f t="shared" si="17"/>
        <v>0</v>
      </c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21"/>
      <c r="AZ98" s="36" t="str">
        <f>IFERROR(VLOOKUP('A2 (Öhdəliklər)'!AY98,List!Q:R,2,0),"")</f>
        <v/>
      </c>
      <c r="BA98" s="38">
        <f t="shared" si="18"/>
        <v>0</v>
      </c>
      <c r="BB98" s="38">
        <f t="shared" si="19"/>
        <v>0</v>
      </c>
      <c r="BC98" s="39">
        <f t="shared" si="20"/>
        <v>0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34"/>
      <c r="CA98" s="18"/>
      <c r="CB98" s="20"/>
      <c r="CC98" s="36" t="str">
        <f>IFERROR(VLOOKUP('A2 (Öhdəliklər)'!CB98,List!$Z$2:$AA$8,2,0),"")</f>
        <v/>
      </c>
      <c r="CD98" s="34"/>
    </row>
    <row r="99" spans="1:82" s="112" customFormat="1" ht="19.5" customHeight="1" x14ac:dyDescent="0.2">
      <c r="A99" s="111">
        <v>85</v>
      </c>
      <c r="B99" s="35" t="str">
        <f t="shared" si="16"/>
        <v/>
      </c>
      <c r="C99" s="32"/>
      <c r="D99" s="15"/>
      <c r="E99" s="1"/>
      <c r="F99" s="36" t="str">
        <f>IFERROR(VLOOKUP('A2 (Öhdəliklər)'!E99,List!A:B,2,0),"")</f>
        <v/>
      </c>
      <c r="G99" s="1"/>
      <c r="H99" s="36" t="str">
        <f>IFERROR(VLOOKUP('A2 (Öhdəliklər)'!G99,List!G:H,2,0),"")</f>
        <v/>
      </c>
      <c r="I99" s="1"/>
      <c r="J99" s="36" t="str">
        <f>IFERROR(VLOOKUP('A2 (Öhdəliklər)'!I99,List!C:D,2,0),"")</f>
        <v/>
      </c>
      <c r="K99" s="1"/>
      <c r="L99" s="36" t="str">
        <f>IFERROR(VLOOKUP('A2 (Öhdəliklər)'!K99,List!E:F,2,0),"")</f>
        <v/>
      </c>
      <c r="M99" s="1"/>
      <c r="N99" s="36" t="str">
        <f>IFERROR(VLOOKUP('A2 (Öhdəliklər)'!M99,List!M:N,2,0),"")</f>
        <v/>
      </c>
      <c r="O99" s="1"/>
      <c r="P99" s="36" t="str">
        <f>IFERROR(VLOOKUP('A2 (Öhdəliklər)'!O99,List!S:T,2,0),"")</f>
        <v/>
      </c>
      <c r="Q99" s="1"/>
      <c r="R99" s="36" t="str">
        <f>IFERROR(VLOOKUP('A2 (Öhdəliklər)'!Q99,List!K:L,2,0),"")</f>
        <v/>
      </c>
      <c r="S99" s="16"/>
      <c r="T99" s="16"/>
      <c r="U99" s="17"/>
      <c r="V99" s="17"/>
      <c r="W99" s="20"/>
      <c r="X99" s="18"/>
      <c r="Y99" s="1"/>
      <c r="Z99" s="36" t="str">
        <f>IFERROR(VLOOKUP('A2 (Öhdəliklər)'!Y99,List!O:P,2,0),"")</f>
        <v/>
      </c>
      <c r="AA99" s="19"/>
      <c r="AB99" s="19"/>
      <c r="AC99" s="37">
        <f t="shared" si="17"/>
        <v>0</v>
      </c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21"/>
      <c r="AZ99" s="36" t="str">
        <f>IFERROR(VLOOKUP('A2 (Öhdəliklər)'!AY99,List!Q:R,2,0),"")</f>
        <v/>
      </c>
      <c r="BA99" s="38">
        <f t="shared" si="18"/>
        <v>0</v>
      </c>
      <c r="BB99" s="38">
        <f t="shared" si="19"/>
        <v>0</v>
      </c>
      <c r="BC99" s="39">
        <f t="shared" si="20"/>
        <v>0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34"/>
      <c r="CA99" s="18"/>
      <c r="CB99" s="20"/>
      <c r="CC99" s="36" t="str">
        <f>IFERROR(VLOOKUP('A2 (Öhdəliklər)'!CB99,List!$Z$2:$AA$8,2,0),"")</f>
        <v/>
      </c>
      <c r="CD99" s="34"/>
    </row>
    <row r="100" spans="1:82" s="112" customFormat="1" ht="19.5" customHeight="1" x14ac:dyDescent="0.2">
      <c r="A100" s="111">
        <v>86</v>
      </c>
      <c r="B100" s="35" t="str">
        <f t="shared" si="16"/>
        <v/>
      </c>
      <c r="C100" s="32"/>
      <c r="D100" s="15"/>
      <c r="E100" s="1"/>
      <c r="F100" s="36" t="str">
        <f>IFERROR(VLOOKUP('A2 (Öhdəliklər)'!E100,List!A:B,2,0),"")</f>
        <v/>
      </c>
      <c r="G100" s="1"/>
      <c r="H100" s="36" t="str">
        <f>IFERROR(VLOOKUP('A2 (Öhdəliklər)'!G100,List!G:H,2,0),"")</f>
        <v/>
      </c>
      <c r="I100" s="1"/>
      <c r="J100" s="36" t="str">
        <f>IFERROR(VLOOKUP('A2 (Öhdəliklər)'!I100,List!C:D,2,0),"")</f>
        <v/>
      </c>
      <c r="K100" s="1"/>
      <c r="L100" s="36" t="str">
        <f>IFERROR(VLOOKUP('A2 (Öhdəliklər)'!K100,List!E:F,2,0),"")</f>
        <v/>
      </c>
      <c r="M100" s="1"/>
      <c r="N100" s="36" t="str">
        <f>IFERROR(VLOOKUP('A2 (Öhdəliklər)'!M100,List!M:N,2,0),"")</f>
        <v/>
      </c>
      <c r="O100" s="1"/>
      <c r="P100" s="36" t="str">
        <f>IFERROR(VLOOKUP('A2 (Öhdəliklər)'!O100,List!S:T,2,0),"")</f>
        <v/>
      </c>
      <c r="Q100" s="1"/>
      <c r="R100" s="36" t="str">
        <f>IFERROR(VLOOKUP('A2 (Öhdəliklər)'!Q100,List!K:L,2,0),"")</f>
        <v/>
      </c>
      <c r="S100" s="16"/>
      <c r="T100" s="16"/>
      <c r="U100" s="17"/>
      <c r="V100" s="17"/>
      <c r="W100" s="20"/>
      <c r="X100" s="18"/>
      <c r="Y100" s="1"/>
      <c r="Z100" s="36" t="str">
        <f>IFERROR(VLOOKUP('A2 (Öhdəliklər)'!Y100,List!O:P,2,0),"")</f>
        <v/>
      </c>
      <c r="AA100" s="19"/>
      <c r="AB100" s="19"/>
      <c r="AC100" s="37">
        <f t="shared" si="17"/>
        <v>0</v>
      </c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21"/>
      <c r="AZ100" s="36" t="str">
        <f>IFERROR(VLOOKUP('A2 (Öhdəliklər)'!AY100,List!Q:R,2,0),"")</f>
        <v/>
      </c>
      <c r="BA100" s="38">
        <f t="shared" si="18"/>
        <v>0</v>
      </c>
      <c r="BB100" s="38">
        <f t="shared" si="19"/>
        <v>0</v>
      </c>
      <c r="BC100" s="39">
        <f t="shared" si="20"/>
        <v>0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34"/>
      <c r="CA100" s="18"/>
      <c r="CB100" s="20"/>
      <c r="CC100" s="36" t="str">
        <f>IFERROR(VLOOKUP('A2 (Öhdəliklər)'!CB100,List!$Z$2:$AA$8,2,0),"")</f>
        <v/>
      </c>
      <c r="CD100" s="34"/>
    </row>
    <row r="101" spans="1:82" s="112" customFormat="1" ht="19.5" customHeight="1" x14ac:dyDescent="0.2">
      <c r="A101" s="111">
        <v>87</v>
      </c>
      <c r="B101" s="35" t="str">
        <f t="shared" si="16"/>
        <v/>
      </c>
      <c r="C101" s="32"/>
      <c r="D101" s="15"/>
      <c r="E101" s="1"/>
      <c r="F101" s="36" t="str">
        <f>IFERROR(VLOOKUP('A2 (Öhdəliklər)'!E101,List!A:B,2,0),"")</f>
        <v/>
      </c>
      <c r="G101" s="1"/>
      <c r="H101" s="36" t="str">
        <f>IFERROR(VLOOKUP('A2 (Öhdəliklər)'!G101,List!G:H,2,0),"")</f>
        <v/>
      </c>
      <c r="I101" s="1"/>
      <c r="J101" s="36" t="str">
        <f>IFERROR(VLOOKUP('A2 (Öhdəliklər)'!I101,List!C:D,2,0),"")</f>
        <v/>
      </c>
      <c r="K101" s="1"/>
      <c r="L101" s="36" t="str">
        <f>IFERROR(VLOOKUP('A2 (Öhdəliklər)'!K101,List!E:F,2,0),"")</f>
        <v/>
      </c>
      <c r="M101" s="1"/>
      <c r="N101" s="36" t="str">
        <f>IFERROR(VLOOKUP('A2 (Öhdəliklər)'!M101,List!M:N,2,0),"")</f>
        <v/>
      </c>
      <c r="O101" s="1"/>
      <c r="P101" s="36" t="str">
        <f>IFERROR(VLOOKUP('A2 (Öhdəliklər)'!O101,List!S:T,2,0),"")</f>
        <v/>
      </c>
      <c r="Q101" s="1"/>
      <c r="R101" s="36" t="str">
        <f>IFERROR(VLOOKUP('A2 (Öhdəliklər)'!Q101,List!K:L,2,0),"")</f>
        <v/>
      </c>
      <c r="S101" s="16"/>
      <c r="T101" s="16"/>
      <c r="U101" s="17"/>
      <c r="V101" s="17"/>
      <c r="W101" s="20"/>
      <c r="X101" s="18"/>
      <c r="Y101" s="1"/>
      <c r="Z101" s="36" t="str">
        <f>IFERROR(VLOOKUP('A2 (Öhdəliklər)'!Y101,List!O:P,2,0),"")</f>
        <v/>
      </c>
      <c r="AA101" s="19"/>
      <c r="AB101" s="19"/>
      <c r="AC101" s="37">
        <f t="shared" si="17"/>
        <v>0</v>
      </c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21"/>
      <c r="AZ101" s="36" t="str">
        <f>IFERROR(VLOOKUP('A2 (Öhdəliklər)'!AY101,List!Q:R,2,0),"")</f>
        <v/>
      </c>
      <c r="BA101" s="38">
        <f t="shared" si="18"/>
        <v>0</v>
      </c>
      <c r="BB101" s="38">
        <f t="shared" si="19"/>
        <v>0</v>
      </c>
      <c r="BC101" s="39">
        <f t="shared" si="20"/>
        <v>0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34"/>
      <c r="CA101" s="18"/>
      <c r="CB101" s="20"/>
      <c r="CC101" s="36" t="str">
        <f>IFERROR(VLOOKUP('A2 (Öhdəliklər)'!CB101,List!$Z$2:$AA$8,2,0),"")</f>
        <v/>
      </c>
      <c r="CD101" s="34"/>
    </row>
    <row r="102" spans="1:82" s="112" customFormat="1" ht="19.5" customHeight="1" x14ac:dyDescent="0.2">
      <c r="A102" s="111">
        <v>88</v>
      </c>
      <c r="B102" s="35" t="str">
        <f t="shared" si="16"/>
        <v/>
      </c>
      <c r="C102" s="32"/>
      <c r="D102" s="15"/>
      <c r="E102" s="1"/>
      <c r="F102" s="36" t="str">
        <f>IFERROR(VLOOKUP('A2 (Öhdəliklər)'!E102,List!A:B,2,0),"")</f>
        <v/>
      </c>
      <c r="G102" s="1"/>
      <c r="H102" s="36" t="str">
        <f>IFERROR(VLOOKUP('A2 (Öhdəliklər)'!G102,List!G:H,2,0),"")</f>
        <v/>
      </c>
      <c r="I102" s="1"/>
      <c r="J102" s="36" t="str">
        <f>IFERROR(VLOOKUP('A2 (Öhdəliklər)'!I102,List!C:D,2,0),"")</f>
        <v/>
      </c>
      <c r="K102" s="1"/>
      <c r="L102" s="36" t="str">
        <f>IFERROR(VLOOKUP('A2 (Öhdəliklər)'!K102,List!E:F,2,0),"")</f>
        <v/>
      </c>
      <c r="M102" s="1"/>
      <c r="N102" s="36" t="str">
        <f>IFERROR(VLOOKUP('A2 (Öhdəliklər)'!M102,List!M:N,2,0),"")</f>
        <v/>
      </c>
      <c r="O102" s="1"/>
      <c r="P102" s="36" t="str">
        <f>IFERROR(VLOOKUP('A2 (Öhdəliklər)'!O102,List!S:T,2,0),"")</f>
        <v/>
      </c>
      <c r="Q102" s="1"/>
      <c r="R102" s="36" t="str">
        <f>IFERROR(VLOOKUP('A2 (Öhdəliklər)'!Q102,List!K:L,2,0),"")</f>
        <v/>
      </c>
      <c r="S102" s="16"/>
      <c r="T102" s="16"/>
      <c r="U102" s="17"/>
      <c r="V102" s="17"/>
      <c r="W102" s="20"/>
      <c r="X102" s="18"/>
      <c r="Y102" s="1"/>
      <c r="Z102" s="36" t="str">
        <f>IFERROR(VLOOKUP('A2 (Öhdəliklər)'!Y102,List!O:P,2,0),"")</f>
        <v/>
      </c>
      <c r="AA102" s="19"/>
      <c r="AB102" s="19"/>
      <c r="AC102" s="37">
        <f t="shared" si="17"/>
        <v>0</v>
      </c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21"/>
      <c r="AZ102" s="36" t="str">
        <f>IFERROR(VLOOKUP('A2 (Öhdəliklər)'!AY102,List!Q:R,2,0),"")</f>
        <v/>
      </c>
      <c r="BA102" s="38">
        <f t="shared" si="18"/>
        <v>0</v>
      </c>
      <c r="BB102" s="38">
        <f t="shared" si="19"/>
        <v>0</v>
      </c>
      <c r="BC102" s="39">
        <f t="shared" si="20"/>
        <v>0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34"/>
      <c r="CA102" s="18"/>
      <c r="CB102" s="20"/>
      <c r="CC102" s="36" t="str">
        <f>IFERROR(VLOOKUP('A2 (Öhdəliklər)'!CB102,List!$Z$2:$AA$8,2,0),"")</f>
        <v/>
      </c>
      <c r="CD102" s="34"/>
    </row>
    <row r="103" spans="1:82" s="112" customFormat="1" ht="19.5" customHeight="1" x14ac:dyDescent="0.2">
      <c r="A103" s="111">
        <v>89</v>
      </c>
      <c r="B103" s="35" t="str">
        <f t="shared" si="16"/>
        <v/>
      </c>
      <c r="C103" s="32"/>
      <c r="D103" s="15"/>
      <c r="E103" s="1"/>
      <c r="F103" s="36" t="str">
        <f>IFERROR(VLOOKUP('A2 (Öhdəliklər)'!E103,List!A:B,2,0),"")</f>
        <v/>
      </c>
      <c r="G103" s="1"/>
      <c r="H103" s="36" t="str">
        <f>IFERROR(VLOOKUP('A2 (Öhdəliklər)'!G103,List!G:H,2,0),"")</f>
        <v/>
      </c>
      <c r="I103" s="1"/>
      <c r="J103" s="36" t="str">
        <f>IFERROR(VLOOKUP('A2 (Öhdəliklər)'!I103,List!C:D,2,0),"")</f>
        <v/>
      </c>
      <c r="K103" s="1"/>
      <c r="L103" s="36" t="str">
        <f>IFERROR(VLOOKUP('A2 (Öhdəliklər)'!K103,List!E:F,2,0),"")</f>
        <v/>
      </c>
      <c r="M103" s="1"/>
      <c r="N103" s="36" t="str">
        <f>IFERROR(VLOOKUP('A2 (Öhdəliklər)'!M103,List!M:N,2,0),"")</f>
        <v/>
      </c>
      <c r="O103" s="1"/>
      <c r="P103" s="36" t="str">
        <f>IFERROR(VLOOKUP('A2 (Öhdəliklər)'!O103,List!S:T,2,0),"")</f>
        <v/>
      </c>
      <c r="Q103" s="1"/>
      <c r="R103" s="36" t="str">
        <f>IFERROR(VLOOKUP('A2 (Öhdəliklər)'!Q103,List!K:L,2,0),"")</f>
        <v/>
      </c>
      <c r="S103" s="16"/>
      <c r="T103" s="16"/>
      <c r="U103" s="17"/>
      <c r="V103" s="17"/>
      <c r="W103" s="20"/>
      <c r="X103" s="18"/>
      <c r="Y103" s="1"/>
      <c r="Z103" s="36" t="str">
        <f>IFERROR(VLOOKUP('A2 (Öhdəliklər)'!Y103,List!O:P,2,0),"")</f>
        <v/>
      </c>
      <c r="AA103" s="19"/>
      <c r="AB103" s="19"/>
      <c r="AC103" s="37">
        <f t="shared" si="17"/>
        <v>0</v>
      </c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21"/>
      <c r="AZ103" s="36" t="str">
        <f>IFERROR(VLOOKUP('A2 (Öhdəliklər)'!AY103,List!Q:R,2,0),"")</f>
        <v/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34"/>
      <c r="CA103" s="18"/>
      <c r="CB103" s="20"/>
      <c r="CC103" s="36" t="str">
        <f>IFERROR(VLOOKUP('A2 (Öhdəliklər)'!CB103,List!$Z$2:$AA$8,2,0),"")</f>
        <v/>
      </c>
      <c r="CD103" s="34"/>
    </row>
    <row r="104" spans="1:82" s="112" customFormat="1" ht="19.5" customHeight="1" x14ac:dyDescent="0.2">
      <c r="A104" s="111">
        <v>90</v>
      </c>
      <c r="B104" s="35" t="str">
        <f t="shared" si="16"/>
        <v/>
      </c>
      <c r="C104" s="32"/>
      <c r="D104" s="15"/>
      <c r="E104" s="1"/>
      <c r="F104" s="36" t="str">
        <f>IFERROR(VLOOKUP('A2 (Öhdəliklər)'!E104,List!A:B,2,0),"")</f>
        <v/>
      </c>
      <c r="G104" s="1"/>
      <c r="H104" s="36" t="str">
        <f>IFERROR(VLOOKUP('A2 (Öhdəliklər)'!G104,List!G:H,2,0),"")</f>
        <v/>
      </c>
      <c r="I104" s="1"/>
      <c r="J104" s="36" t="str">
        <f>IFERROR(VLOOKUP('A2 (Öhdəliklər)'!I104,List!C:D,2,0),"")</f>
        <v/>
      </c>
      <c r="K104" s="1"/>
      <c r="L104" s="36" t="str">
        <f>IFERROR(VLOOKUP('A2 (Öhdəliklər)'!K104,List!E:F,2,0),"")</f>
        <v/>
      </c>
      <c r="M104" s="1"/>
      <c r="N104" s="36" t="str">
        <f>IFERROR(VLOOKUP('A2 (Öhdəliklər)'!M104,List!M:N,2,0),"")</f>
        <v/>
      </c>
      <c r="O104" s="1"/>
      <c r="P104" s="36" t="str">
        <f>IFERROR(VLOOKUP('A2 (Öhdəliklər)'!O104,List!S:T,2,0),"")</f>
        <v/>
      </c>
      <c r="Q104" s="1"/>
      <c r="R104" s="36" t="str">
        <f>IFERROR(VLOOKUP('A2 (Öhdəliklər)'!Q104,List!K:L,2,0),"")</f>
        <v/>
      </c>
      <c r="S104" s="16"/>
      <c r="T104" s="16"/>
      <c r="U104" s="17"/>
      <c r="V104" s="17"/>
      <c r="W104" s="20"/>
      <c r="X104" s="18"/>
      <c r="Y104" s="1"/>
      <c r="Z104" s="36" t="str">
        <f>IFERROR(VLOOKUP('A2 (Öhdəliklər)'!Y104,List!O:P,2,0),"")</f>
        <v/>
      </c>
      <c r="AA104" s="19"/>
      <c r="AB104" s="19"/>
      <c r="AC104" s="37">
        <f t="shared" si="17"/>
        <v>0</v>
      </c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21"/>
      <c r="AZ104" s="36" t="str">
        <f>IFERROR(VLOOKUP('A2 (Öhdəliklər)'!AY104,List!Q:R,2,0),"")</f>
        <v/>
      </c>
      <c r="BA104" s="38">
        <f t="shared" si="18"/>
        <v>0</v>
      </c>
      <c r="BB104" s="38">
        <f t="shared" si="19"/>
        <v>0</v>
      </c>
      <c r="BC104" s="39">
        <f t="shared" si="20"/>
        <v>0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34"/>
      <c r="CA104" s="18"/>
      <c r="CB104" s="20"/>
      <c r="CC104" s="36" t="str">
        <f>IFERROR(VLOOKUP('A2 (Öhdəliklər)'!CB104,List!$Z$2:$AA$8,2,0),"")</f>
        <v/>
      </c>
      <c r="CD104" s="34"/>
    </row>
    <row r="105" spans="1:82" s="112" customFormat="1" ht="19.5" customHeight="1" x14ac:dyDescent="0.2">
      <c r="A105" s="111">
        <v>91</v>
      </c>
      <c r="B105" s="35" t="str">
        <f t="shared" si="16"/>
        <v/>
      </c>
      <c r="C105" s="32"/>
      <c r="D105" s="15"/>
      <c r="E105" s="1"/>
      <c r="F105" s="36" t="str">
        <f>IFERROR(VLOOKUP('A2 (Öhdəliklər)'!E105,List!A:B,2,0),"")</f>
        <v/>
      </c>
      <c r="G105" s="1"/>
      <c r="H105" s="36" t="str">
        <f>IFERROR(VLOOKUP('A2 (Öhdəliklər)'!G105,List!G:H,2,0),"")</f>
        <v/>
      </c>
      <c r="I105" s="1"/>
      <c r="J105" s="36" t="str">
        <f>IFERROR(VLOOKUP('A2 (Öhdəliklər)'!I105,List!C:D,2,0),"")</f>
        <v/>
      </c>
      <c r="K105" s="1"/>
      <c r="L105" s="36" t="str">
        <f>IFERROR(VLOOKUP('A2 (Öhdəliklər)'!K105,List!E:F,2,0),"")</f>
        <v/>
      </c>
      <c r="M105" s="1"/>
      <c r="N105" s="36" t="str">
        <f>IFERROR(VLOOKUP('A2 (Öhdəliklər)'!M105,List!M:N,2,0),"")</f>
        <v/>
      </c>
      <c r="O105" s="1"/>
      <c r="P105" s="36" t="str">
        <f>IFERROR(VLOOKUP('A2 (Öhdəliklər)'!O105,List!S:T,2,0),"")</f>
        <v/>
      </c>
      <c r="Q105" s="1"/>
      <c r="R105" s="36" t="str">
        <f>IFERROR(VLOOKUP('A2 (Öhdəliklər)'!Q105,List!K:L,2,0),"")</f>
        <v/>
      </c>
      <c r="S105" s="16"/>
      <c r="T105" s="16"/>
      <c r="U105" s="17"/>
      <c r="V105" s="17"/>
      <c r="W105" s="20"/>
      <c r="X105" s="18"/>
      <c r="Y105" s="1"/>
      <c r="Z105" s="36" t="str">
        <f>IFERROR(VLOOKUP('A2 (Öhdəliklər)'!Y105,List!O:P,2,0),"")</f>
        <v/>
      </c>
      <c r="AA105" s="19"/>
      <c r="AB105" s="19"/>
      <c r="AC105" s="37">
        <f t="shared" si="17"/>
        <v>0</v>
      </c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21"/>
      <c r="AZ105" s="36" t="str">
        <f>IFERROR(VLOOKUP('A2 (Öhdəliklər)'!AY105,List!Q:R,2,0),"")</f>
        <v/>
      </c>
      <c r="BA105" s="38">
        <f t="shared" si="18"/>
        <v>0</v>
      </c>
      <c r="BB105" s="38">
        <f t="shared" si="19"/>
        <v>0</v>
      </c>
      <c r="BC105" s="39">
        <f t="shared" si="20"/>
        <v>0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34"/>
      <c r="CA105" s="18"/>
      <c r="CB105" s="20"/>
      <c r="CC105" s="36" t="str">
        <f>IFERROR(VLOOKUP('A2 (Öhdəliklər)'!CB105,List!$Z$2:$AA$8,2,0),"")</f>
        <v/>
      </c>
      <c r="CD105" s="34"/>
    </row>
    <row r="106" spans="1:82" s="112" customFormat="1" ht="19.5" customHeight="1" x14ac:dyDescent="0.2">
      <c r="A106" s="111">
        <v>92</v>
      </c>
      <c r="B106" s="35" t="str">
        <f t="shared" si="16"/>
        <v/>
      </c>
      <c r="C106" s="32"/>
      <c r="D106" s="15"/>
      <c r="E106" s="1"/>
      <c r="F106" s="36" t="str">
        <f>IFERROR(VLOOKUP('A2 (Öhdəliklər)'!E106,List!A:B,2,0),"")</f>
        <v/>
      </c>
      <c r="G106" s="1"/>
      <c r="H106" s="36" t="str">
        <f>IFERROR(VLOOKUP('A2 (Öhdəliklər)'!G106,List!G:H,2,0),"")</f>
        <v/>
      </c>
      <c r="I106" s="1"/>
      <c r="J106" s="36" t="str">
        <f>IFERROR(VLOOKUP('A2 (Öhdəliklər)'!I106,List!C:D,2,0),"")</f>
        <v/>
      </c>
      <c r="K106" s="1"/>
      <c r="L106" s="36" t="str">
        <f>IFERROR(VLOOKUP('A2 (Öhdəliklər)'!K106,List!E:F,2,0),"")</f>
        <v/>
      </c>
      <c r="M106" s="1"/>
      <c r="N106" s="36" t="str">
        <f>IFERROR(VLOOKUP('A2 (Öhdəliklər)'!M106,List!M:N,2,0),"")</f>
        <v/>
      </c>
      <c r="O106" s="1"/>
      <c r="P106" s="36" t="str">
        <f>IFERROR(VLOOKUP('A2 (Öhdəliklər)'!O106,List!S:T,2,0),"")</f>
        <v/>
      </c>
      <c r="Q106" s="1"/>
      <c r="R106" s="36" t="str">
        <f>IFERROR(VLOOKUP('A2 (Öhdəliklər)'!Q106,List!K:L,2,0),"")</f>
        <v/>
      </c>
      <c r="S106" s="16"/>
      <c r="T106" s="16"/>
      <c r="U106" s="17"/>
      <c r="V106" s="17"/>
      <c r="W106" s="20"/>
      <c r="X106" s="18"/>
      <c r="Y106" s="1"/>
      <c r="Z106" s="36" t="str">
        <f>IFERROR(VLOOKUP('A2 (Öhdəliklər)'!Y106,List!O:P,2,0),"")</f>
        <v/>
      </c>
      <c r="AA106" s="19"/>
      <c r="AB106" s="19"/>
      <c r="AC106" s="37">
        <f t="shared" si="17"/>
        <v>0</v>
      </c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21"/>
      <c r="AZ106" s="36" t="str">
        <f>IFERROR(VLOOKUP('A2 (Öhdəliklər)'!AY106,List!Q:R,2,0),"")</f>
        <v/>
      </c>
      <c r="BA106" s="38">
        <f t="shared" si="18"/>
        <v>0</v>
      </c>
      <c r="BB106" s="38">
        <f t="shared" si="19"/>
        <v>0</v>
      </c>
      <c r="BC106" s="39">
        <f t="shared" si="20"/>
        <v>0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34"/>
      <c r="CA106" s="18"/>
      <c r="CB106" s="20"/>
      <c r="CC106" s="36" t="str">
        <f>IFERROR(VLOOKUP('A2 (Öhdəliklər)'!CB106,List!$Z$2:$AA$8,2,0),"")</f>
        <v/>
      </c>
      <c r="CD106" s="34"/>
    </row>
    <row r="107" spans="1:82" s="112" customFormat="1" ht="19.5" customHeight="1" x14ac:dyDescent="0.2">
      <c r="A107" s="111">
        <v>93</v>
      </c>
      <c r="B107" s="35" t="str">
        <f t="shared" si="16"/>
        <v/>
      </c>
      <c r="C107" s="32"/>
      <c r="D107" s="15"/>
      <c r="E107" s="1"/>
      <c r="F107" s="36" t="str">
        <f>IFERROR(VLOOKUP('A2 (Öhdəliklər)'!E107,List!A:B,2,0),"")</f>
        <v/>
      </c>
      <c r="G107" s="1"/>
      <c r="H107" s="36" t="str">
        <f>IFERROR(VLOOKUP('A2 (Öhdəliklər)'!G107,List!G:H,2,0),"")</f>
        <v/>
      </c>
      <c r="I107" s="1"/>
      <c r="J107" s="36" t="str">
        <f>IFERROR(VLOOKUP('A2 (Öhdəliklər)'!I107,List!C:D,2,0),"")</f>
        <v/>
      </c>
      <c r="K107" s="1"/>
      <c r="L107" s="36" t="str">
        <f>IFERROR(VLOOKUP('A2 (Öhdəliklər)'!K107,List!E:F,2,0),"")</f>
        <v/>
      </c>
      <c r="M107" s="1"/>
      <c r="N107" s="36" t="str">
        <f>IFERROR(VLOOKUP('A2 (Öhdəliklər)'!M107,List!M:N,2,0),"")</f>
        <v/>
      </c>
      <c r="O107" s="1"/>
      <c r="P107" s="36" t="str">
        <f>IFERROR(VLOOKUP('A2 (Öhdəliklər)'!O107,List!S:T,2,0),"")</f>
        <v/>
      </c>
      <c r="Q107" s="1"/>
      <c r="R107" s="36" t="str">
        <f>IFERROR(VLOOKUP('A2 (Öhdəliklər)'!Q107,List!K:L,2,0),"")</f>
        <v/>
      </c>
      <c r="S107" s="16"/>
      <c r="T107" s="16"/>
      <c r="U107" s="17"/>
      <c r="V107" s="17"/>
      <c r="W107" s="20"/>
      <c r="X107" s="18"/>
      <c r="Y107" s="1"/>
      <c r="Z107" s="36" t="str">
        <f>IFERROR(VLOOKUP('A2 (Öhdəliklər)'!Y107,List!O:P,2,0),"")</f>
        <v/>
      </c>
      <c r="AA107" s="19"/>
      <c r="AB107" s="19"/>
      <c r="AC107" s="37">
        <f t="shared" si="17"/>
        <v>0</v>
      </c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21"/>
      <c r="AZ107" s="36" t="str">
        <f>IFERROR(VLOOKUP('A2 (Öhdəliklər)'!AY107,List!Q:R,2,0),"")</f>
        <v/>
      </c>
      <c r="BA107" s="38">
        <f t="shared" si="18"/>
        <v>0</v>
      </c>
      <c r="BB107" s="38">
        <f t="shared" si="19"/>
        <v>0</v>
      </c>
      <c r="BC107" s="39">
        <f t="shared" si="20"/>
        <v>0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34"/>
      <c r="CA107" s="18"/>
      <c r="CB107" s="20"/>
      <c r="CC107" s="36" t="str">
        <f>IFERROR(VLOOKUP('A2 (Öhdəliklər)'!CB107,List!$Z$2:$AA$8,2,0),"")</f>
        <v/>
      </c>
      <c r="CD107" s="34"/>
    </row>
    <row r="108" spans="1:82" s="112" customFormat="1" ht="19.5" customHeight="1" x14ac:dyDescent="0.2">
      <c r="A108" s="111">
        <v>94</v>
      </c>
      <c r="B108" s="35" t="str">
        <f t="shared" si="16"/>
        <v/>
      </c>
      <c r="C108" s="32"/>
      <c r="D108" s="15"/>
      <c r="E108" s="1"/>
      <c r="F108" s="36" t="str">
        <f>IFERROR(VLOOKUP('A2 (Öhdəliklər)'!E108,List!A:B,2,0),"")</f>
        <v/>
      </c>
      <c r="G108" s="1"/>
      <c r="H108" s="36" t="str">
        <f>IFERROR(VLOOKUP('A2 (Öhdəliklər)'!G108,List!G:H,2,0),"")</f>
        <v/>
      </c>
      <c r="I108" s="1"/>
      <c r="J108" s="36" t="str">
        <f>IFERROR(VLOOKUP('A2 (Öhdəliklər)'!I108,List!C:D,2,0),"")</f>
        <v/>
      </c>
      <c r="K108" s="1"/>
      <c r="L108" s="36" t="str">
        <f>IFERROR(VLOOKUP('A2 (Öhdəliklər)'!K108,List!E:F,2,0),"")</f>
        <v/>
      </c>
      <c r="M108" s="1"/>
      <c r="N108" s="36" t="str">
        <f>IFERROR(VLOOKUP('A2 (Öhdəliklər)'!M108,List!M:N,2,0),"")</f>
        <v/>
      </c>
      <c r="O108" s="1"/>
      <c r="P108" s="36" t="str">
        <f>IFERROR(VLOOKUP('A2 (Öhdəliklər)'!O108,List!S:T,2,0),"")</f>
        <v/>
      </c>
      <c r="Q108" s="1"/>
      <c r="R108" s="36" t="str">
        <f>IFERROR(VLOOKUP('A2 (Öhdəliklər)'!Q108,List!K:L,2,0),"")</f>
        <v/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  <v/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  <v/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  <v/>
      </c>
      <c r="CD108" s="34"/>
    </row>
    <row r="109" spans="1:82" s="112" customFormat="1" ht="19.5" customHeight="1" x14ac:dyDescent="0.2">
      <c r="A109" s="111">
        <v>95</v>
      </c>
      <c r="B109" s="35" t="str">
        <f t="shared" si="16"/>
        <v/>
      </c>
      <c r="C109" s="32"/>
      <c r="D109" s="15"/>
      <c r="E109" s="1"/>
      <c r="F109" s="36" t="str">
        <f>IFERROR(VLOOKUP('A2 (Öhdəliklər)'!E109,List!A:B,2,0),"")</f>
        <v/>
      </c>
      <c r="G109" s="1"/>
      <c r="H109" s="36" t="str">
        <f>IFERROR(VLOOKUP('A2 (Öhdəliklər)'!G109,List!G:H,2,0),"")</f>
        <v/>
      </c>
      <c r="I109" s="1"/>
      <c r="J109" s="36" t="str">
        <f>IFERROR(VLOOKUP('A2 (Öhdəliklər)'!I109,List!C:D,2,0),"")</f>
        <v/>
      </c>
      <c r="K109" s="1"/>
      <c r="L109" s="36" t="str">
        <f>IFERROR(VLOOKUP('A2 (Öhdəliklər)'!K109,List!E:F,2,0),"")</f>
        <v/>
      </c>
      <c r="M109" s="1"/>
      <c r="N109" s="36" t="str">
        <f>IFERROR(VLOOKUP('A2 (Öhdəliklər)'!M109,List!M:N,2,0),"")</f>
        <v/>
      </c>
      <c r="O109" s="1"/>
      <c r="P109" s="36" t="str">
        <f>IFERROR(VLOOKUP('A2 (Öhdəliklər)'!O109,List!S:T,2,0),"")</f>
        <v/>
      </c>
      <c r="Q109" s="1"/>
      <c r="R109" s="36" t="str">
        <f>IFERROR(VLOOKUP('A2 (Öhdəliklər)'!Q109,List!K:L,2,0),"")</f>
        <v/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  <v/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  <v/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  <v/>
      </c>
      <c r="CD109" s="34"/>
    </row>
    <row r="110" spans="1:82" s="112" customFormat="1" ht="19.5" customHeight="1" x14ac:dyDescent="0.2">
      <c r="A110" s="111">
        <v>96</v>
      </c>
      <c r="B110" s="35" t="str">
        <f t="shared" si="16"/>
        <v/>
      </c>
      <c r="C110" s="32"/>
      <c r="D110" s="15"/>
      <c r="E110" s="1"/>
      <c r="F110" s="36" t="str">
        <f>IFERROR(VLOOKUP('A2 (Öhdəliklər)'!E110,List!A:B,2,0),"")</f>
        <v/>
      </c>
      <c r="G110" s="1"/>
      <c r="H110" s="36" t="str">
        <f>IFERROR(VLOOKUP('A2 (Öhdəliklər)'!G110,List!G:H,2,0),"")</f>
        <v/>
      </c>
      <c r="I110" s="1"/>
      <c r="J110" s="36" t="str">
        <f>IFERROR(VLOOKUP('A2 (Öhdəliklər)'!I110,List!C:D,2,0),"")</f>
        <v/>
      </c>
      <c r="K110" s="1"/>
      <c r="L110" s="36" t="str">
        <f>IFERROR(VLOOKUP('A2 (Öhdəliklər)'!K110,List!E:F,2,0),"")</f>
        <v/>
      </c>
      <c r="M110" s="1"/>
      <c r="N110" s="36" t="str">
        <f>IFERROR(VLOOKUP('A2 (Öhdəliklər)'!M110,List!M:N,2,0),"")</f>
        <v/>
      </c>
      <c r="O110" s="1"/>
      <c r="P110" s="36" t="str">
        <f>IFERROR(VLOOKUP('A2 (Öhdəliklər)'!O110,List!S:T,2,0),"")</f>
        <v/>
      </c>
      <c r="Q110" s="1"/>
      <c r="R110" s="36" t="str">
        <f>IFERROR(VLOOKUP('A2 (Öhdəliklər)'!Q110,List!K:L,2,0),"")</f>
        <v/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  <v/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  <v/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  <v/>
      </c>
      <c r="CD110" s="34"/>
    </row>
    <row r="111" spans="1:82" s="112" customFormat="1" ht="19.5" customHeight="1" x14ac:dyDescent="0.2">
      <c r="A111" s="111">
        <v>97</v>
      </c>
      <c r="B111" s="35" t="str">
        <f t="shared" si="16"/>
        <v/>
      </c>
      <c r="C111" s="32"/>
      <c r="D111" s="15"/>
      <c r="E111" s="1"/>
      <c r="F111" s="36" t="str">
        <f>IFERROR(VLOOKUP('A2 (Öhdəliklər)'!E111,List!A:B,2,0),"")</f>
        <v/>
      </c>
      <c r="G111" s="1"/>
      <c r="H111" s="36" t="str">
        <f>IFERROR(VLOOKUP('A2 (Öhdəliklər)'!G111,List!G:H,2,0),"")</f>
        <v/>
      </c>
      <c r="I111" s="1"/>
      <c r="J111" s="36" t="str">
        <f>IFERROR(VLOOKUP('A2 (Öhdəliklər)'!I111,List!C:D,2,0),"")</f>
        <v/>
      </c>
      <c r="K111" s="1"/>
      <c r="L111" s="36" t="str">
        <f>IFERROR(VLOOKUP('A2 (Öhdəliklər)'!K111,List!E:F,2,0),"")</f>
        <v/>
      </c>
      <c r="M111" s="1"/>
      <c r="N111" s="36" t="str">
        <f>IFERROR(VLOOKUP('A2 (Öhdəliklər)'!M111,List!M:N,2,0),"")</f>
        <v/>
      </c>
      <c r="O111" s="1"/>
      <c r="P111" s="36" t="str">
        <f>IFERROR(VLOOKUP('A2 (Öhdəliklər)'!O111,List!S:T,2,0),"")</f>
        <v/>
      </c>
      <c r="Q111" s="1"/>
      <c r="R111" s="36" t="str">
        <f>IFERROR(VLOOKUP('A2 (Öhdəliklər)'!Q111,List!K:L,2,0),"")</f>
        <v/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  <v/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  <v/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  <v/>
      </c>
      <c r="CD111" s="34"/>
    </row>
    <row r="112" spans="1:82" s="112" customFormat="1" ht="19.5" customHeight="1" x14ac:dyDescent="0.2">
      <c r="A112" s="111">
        <v>98</v>
      </c>
      <c r="B112" s="35" t="str">
        <f t="shared" si="16"/>
        <v/>
      </c>
      <c r="C112" s="32"/>
      <c r="D112" s="15"/>
      <c r="E112" s="1"/>
      <c r="F112" s="36" t="str">
        <f>IFERROR(VLOOKUP('A2 (Öhdəliklər)'!E112,List!A:B,2,0),"")</f>
        <v/>
      </c>
      <c r="G112" s="1"/>
      <c r="H112" s="36" t="str">
        <f>IFERROR(VLOOKUP('A2 (Öhdəliklər)'!G112,List!G:H,2,0),"")</f>
        <v/>
      </c>
      <c r="I112" s="1"/>
      <c r="J112" s="36" t="str">
        <f>IFERROR(VLOOKUP('A2 (Öhdəliklər)'!I112,List!C:D,2,0),"")</f>
        <v/>
      </c>
      <c r="K112" s="1"/>
      <c r="L112" s="36" t="str">
        <f>IFERROR(VLOOKUP('A2 (Öhdəliklər)'!K112,List!E:F,2,0),"")</f>
        <v/>
      </c>
      <c r="M112" s="1"/>
      <c r="N112" s="36" t="str">
        <f>IFERROR(VLOOKUP('A2 (Öhdəliklər)'!M112,List!M:N,2,0),"")</f>
        <v/>
      </c>
      <c r="O112" s="1"/>
      <c r="P112" s="36" t="str">
        <f>IFERROR(VLOOKUP('A2 (Öhdəliklər)'!O112,List!S:T,2,0),"")</f>
        <v/>
      </c>
      <c r="Q112" s="1"/>
      <c r="R112" s="36" t="str">
        <f>IFERROR(VLOOKUP('A2 (Öhdəliklər)'!Q112,List!K:L,2,0),"")</f>
        <v/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  <v/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  <v/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  <v/>
      </c>
      <c r="CD112" s="34"/>
    </row>
    <row r="113" spans="1:82" s="112" customFormat="1" ht="19.5" customHeight="1" x14ac:dyDescent="0.2">
      <c r="A113" s="111">
        <v>99</v>
      </c>
      <c r="B113" s="35" t="str">
        <f t="shared" si="16"/>
        <v/>
      </c>
      <c r="C113" s="32"/>
      <c r="D113" s="15"/>
      <c r="E113" s="1"/>
      <c r="F113" s="36" t="str">
        <f>IFERROR(VLOOKUP('A2 (Öhdəliklər)'!E113,List!A:B,2,0),"")</f>
        <v/>
      </c>
      <c r="G113" s="1"/>
      <c r="H113" s="36" t="str">
        <f>IFERROR(VLOOKUP('A2 (Öhdəliklər)'!G113,List!G:H,2,0),"")</f>
        <v/>
      </c>
      <c r="I113" s="1"/>
      <c r="J113" s="36" t="str">
        <f>IFERROR(VLOOKUP('A2 (Öhdəliklər)'!I113,List!C:D,2,0),"")</f>
        <v/>
      </c>
      <c r="K113" s="1"/>
      <c r="L113" s="36" t="str">
        <f>IFERROR(VLOOKUP('A2 (Öhdəliklər)'!K113,List!E:F,2,0),"")</f>
        <v/>
      </c>
      <c r="M113" s="1"/>
      <c r="N113" s="36" t="str">
        <f>IFERROR(VLOOKUP('A2 (Öhdəliklər)'!M113,List!M:N,2,0),"")</f>
        <v/>
      </c>
      <c r="O113" s="1"/>
      <c r="P113" s="36" t="str">
        <f>IFERROR(VLOOKUP('A2 (Öhdəliklər)'!O113,List!S:T,2,0),"")</f>
        <v/>
      </c>
      <c r="Q113" s="1"/>
      <c r="R113" s="36" t="str">
        <f>IFERROR(VLOOKUP('A2 (Öhdəliklər)'!Q113,List!K:L,2,0),"")</f>
        <v/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  <v/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  <v/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  <v/>
      </c>
      <c r="CD113" s="34"/>
    </row>
    <row r="114" spans="1:82" s="112" customFormat="1" ht="19.5" customHeight="1" x14ac:dyDescent="0.2">
      <c r="A114" s="111">
        <v>100</v>
      </c>
      <c r="B114" s="35" t="str">
        <f t="shared" si="16"/>
        <v/>
      </c>
      <c r="C114" s="32"/>
      <c r="D114" s="15"/>
      <c r="E114" s="1"/>
      <c r="F114" s="36" t="str">
        <f>IFERROR(VLOOKUP('A2 (Öhdəliklər)'!E114,List!A:B,2,0),"")</f>
        <v/>
      </c>
      <c r="G114" s="1"/>
      <c r="H114" s="36" t="str">
        <f>IFERROR(VLOOKUP('A2 (Öhdəliklər)'!G114,List!G:H,2,0),"")</f>
        <v/>
      </c>
      <c r="I114" s="1"/>
      <c r="J114" s="36" t="str">
        <f>IFERROR(VLOOKUP('A2 (Öhdəliklər)'!I114,List!C:D,2,0),"")</f>
        <v/>
      </c>
      <c r="K114" s="1"/>
      <c r="L114" s="36" t="str">
        <f>IFERROR(VLOOKUP('A2 (Öhdəliklər)'!K114,List!E:F,2,0),"")</f>
        <v/>
      </c>
      <c r="M114" s="1"/>
      <c r="N114" s="36" t="str">
        <f>IFERROR(VLOOKUP('A2 (Öhdəliklər)'!M114,List!M:N,2,0),"")</f>
        <v/>
      </c>
      <c r="O114" s="1"/>
      <c r="P114" s="36" t="str">
        <f>IFERROR(VLOOKUP('A2 (Öhdəliklər)'!O114,List!S:T,2,0),"")</f>
        <v/>
      </c>
      <c r="Q114" s="1"/>
      <c r="R114" s="36" t="str">
        <f>IFERROR(VLOOKUP('A2 (Öhdəliklər)'!Q114,List!K:L,2,0),"")</f>
        <v/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  <v/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  <v/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  <v/>
      </c>
      <c r="CD114" s="34"/>
    </row>
    <row r="115" spans="1:82" s="112" customFormat="1" ht="19.5" customHeight="1" x14ac:dyDescent="0.2">
      <c r="A115" s="111">
        <v>101</v>
      </c>
      <c r="B115" s="35" t="str">
        <f t="shared" si="16"/>
        <v/>
      </c>
      <c r="C115" s="32"/>
      <c r="D115" s="15"/>
      <c r="E115" s="1"/>
      <c r="F115" s="36" t="str">
        <f>IFERROR(VLOOKUP('A2 (Öhdəliklər)'!E115,List!A:B,2,0),"")</f>
        <v/>
      </c>
      <c r="G115" s="1"/>
      <c r="H115" s="36" t="str">
        <f>IFERROR(VLOOKUP('A2 (Öhdəliklər)'!G115,List!G:H,2,0),"")</f>
        <v/>
      </c>
      <c r="I115" s="1"/>
      <c r="J115" s="36" t="str">
        <f>IFERROR(VLOOKUP('A2 (Öhdəliklər)'!I115,List!C:D,2,0),"")</f>
        <v/>
      </c>
      <c r="K115" s="1"/>
      <c r="L115" s="36" t="str">
        <f>IFERROR(VLOOKUP('A2 (Öhdəliklər)'!K115,List!E:F,2,0),"")</f>
        <v/>
      </c>
      <c r="M115" s="1"/>
      <c r="N115" s="36" t="str">
        <f>IFERROR(VLOOKUP('A2 (Öhdəliklər)'!M115,List!M:N,2,0),"")</f>
        <v/>
      </c>
      <c r="O115" s="1"/>
      <c r="P115" s="36" t="str">
        <f>IFERROR(VLOOKUP('A2 (Öhdəliklər)'!O115,List!S:T,2,0),"")</f>
        <v/>
      </c>
      <c r="Q115" s="1"/>
      <c r="R115" s="36" t="str">
        <f>IFERROR(VLOOKUP('A2 (Öhdəliklər)'!Q115,List!K:L,2,0),"")</f>
        <v/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  <v/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  <v/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  <v/>
      </c>
      <c r="CD115" s="34"/>
    </row>
    <row r="116" spans="1:82" s="112" customFormat="1" ht="19.5" customHeight="1" x14ac:dyDescent="0.2">
      <c r="A116" s="111">
        <v>102</v>
      </c>
      <c r="B116" s="35" t="str">
        <f t="shared" si="16"/>
        <v/>
      </c>
      <c r="C116" s="32"/>
      <c r="D116" s="15"/>
      <c r="E116" s="1"/>
      <c r="F116" s="36" t="str">
        <f>IFERROR(VLOOKUP('A2 (Öhdəliklər)'!E116,List!A:B,2,0),"")</f>
        <v/>
      </c>
      <c r="G116" s="1"/>
      <c r="H116" s="36" t="str">
        <f>IFERROR(VLOOKUP('A2 (Öhdəliklər)'!G116,List!G:H,2,0),"")</f>
        <v/>
      </c>
      <c r="I116" s="1"/>
      <c r="J116" s="36" t="str">
        <f>IFERROR(VLOOKUP('A2 (Öhdəliklər)'!I116,List!C:D,2,0),"")</f>
        <v/>
      </c>
      <c r="K116" s="1"/>
      <c r="L116" s="36" t="str">
        <f>IFERROR(VLOOKUP('A2 (Öhdəliklər)'!K116,List!E:F,2,0),"")</f>
        <v/>
      </c>
      <c r="M116" s="1"/>
      <c r="N116" s="36" t="str">
        <f>IFERROR(VLOOKUP('A2 (Öhdəliklər)'!M116,List!M:N,2,0),"")</f>
        <v/>
      </c>
      <c r="O116" s="1"/>
      <c r="P116" s="36" t="str">
        <f>IFERROR(VLOOKUP('A2 (Öhdəliklər)'!O116,List!S:T,2,0),"")</f>
        <v/>
      </c>
      <c r="Q116" s="1"/>
      <c r="R116" s="36" t="str">
        <f>IFERROR(VLOOKUP('A2 (Öhdəliklər)'!Q116,List!K:L,2,0),"")</f>
        <v/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  <v/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  <v/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  <v/>
      </c>
      <c r="CD116" s="34"/>
    </row>
    <row r="117" spans="1:82" s="112" customFormat="1" ht="19.5" customHeight="1" x14ac:dyDescent="0.2">
      <c r="A117" s="111">
        <v>103</v>
      </c>
      <c r="B117" s="35" t="str">
        <f t="shared" si="16"/>
        <v/>
      </c>
      <c r="C117" s="32"/>
      <c r="D117" s="15"/>
      <c r="E117" s="1"/>
      <c r="F117" s="36" t="str">
        <f>IFERROR(VLOOKUP('A2 (Öhdəliklər)'!E117,List!A:B,2,0),"")</f>
        <v/>
      </c>
      <c r="G117" s="1"/>
      <c r="H117" s="36" t="str">
        <f>IFERROR(VLOOKUP('A2 (Öhdəliklər)'!G117,List!G:H,2,0),"")</f>
        <v/>
      </c>
      <c r="I117" s="1"/>
      <c r="J117" s="36" t="str">
        <f>IFERROR(VLOOKUP('A2 (Öhdəliklər)'!I117,List!C:D,2,0),"")</f>
        <v/>
      </c>
      <c r="K117" s="1"/>
      <c r="L117" s="36" t="str">
        <f>IFERROR(VLOOKUP('A2 (Öhdəliklər)'!K117,List!E:F,2,0),"")</f>
        <v/>
      </c>
      <c r="M117" s="1"/>
      <c r="N117" s="36" t="str">
        <f>IFERROR(VLOOKUP('A2 (Öhdəliklər)'!M117,List!M:N,2,0),"")</f>
        <v/>
      </c>
      <c r="O117" s="1"/>
      <c r="P117" s="36" t="str">
        <f>IFERROR(VLOOKUP('A2 (Öhdəliklər)'!O117,List!S:T,2,0),"")</f>
        <v/>
      </c>
      <c r="Q117" s="1"/>
      <c r="R117" s="36" t="str">
        <f>IFERROR(VLOOKUP('A2 (Öhdəliklər)'!Q117,List!K:L,2,0),"")</f>
        <v/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  <v/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  <v/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  <v/>
      </c>
      <c r="CD117" s="34"/>
    </row>
    <row r="118" spans="1:82" s="112" customFormat="1" ht="19.5" customHeight="1" x14ac:dyDescent="0.2">
      <c r="A118" s="111">
        <v>104</v>
      </c>
      <c r="B118" s="35" t="str">
        <f t="shared" si="16"/>
        <v/>
      </c>
      <c r="C118" s="32"/>
      <c r="D118" s="15"/>
      <c r="E118" s="1"/>
      <c r="F118" s="36" t="str">
        <f>IFERROR(VLOOKUP('A2 (Öhdəliklər)'!E118,List!A:B,2,0),"")</f>
        <v/>
      </c>
      <c r="G118" s="1"/>
      <c r="H118" s="36" t="str">
        <f>IFERROR(VLOOKUP('A2 (Öhdəliklər)'!G118,List!G:H,2,0),"")</f>
        <v/>
      </c>
      <c r="I118" s="1"/>
      <c r="J118" s="36" t="str">
        <f>IFERROR(VLOOKUP('A2 (Öhdəliklər)'!I118,List!C:D,2,0),"")</f>
        <v/>
      </c>
      <c r="K118" s="1"/>
      <c r="L118" s="36" t="str">
        <f>IFERROR(VLOOKUP('A2 (Öhdəliklər)'!K118,List!E:F,2,0),"")</f>
        <v/>
      </c>
      <c r="M118" s="1"/>
      <c r="N118" s="36" t="str">
        <f>IFERROR(VLOOKUP('A2 (Öhdəliklər)'!M118,List!M:N,2,0),"")</f>
        <v/>
      </c>
      <c r="O118" s="1"/>
      <c r="P118" s="36" t="str">
        <f>IFERROR(VLOOKUP('A2 (Öhdəliklər)'!O118,List!S:T,2,0),"")</f>
        <v/>
      </c>
      <c r="Q118" s="1"/>
      <c r="R118" s="36" t="str">
        <f>IFERROR(VLOOKUP('A2 (Öhdəliklər)'!Q118,List!K:L,2,0),"")</f>
        <v/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  <v/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  <v/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  <v/>
      </c>
      <c r="CD118" s="34"/>
    </row>
    <row r="119" spans="1:82" s="112" customFormat="1" ht="19.5" customHeight="1" x14ac:dyDescent="0.2">
      <c r="A119" s="111">
        <v>105</v>
      </c>
      <c r="B119" s="35" t="str">
        <f t="shared" si="16"/>
        <v/>
      </c>
      <c r="C119" s="32"/>
      <c r="D119" s="15"/>
      <c r="E119" s="1"/>
      <c r="F119" s="36" t="str">
        <f>IFERROR(VLOOKUP('A2 (Öhdəliklər)'!E119,List!A:B,2,0),"")</f>
        <v/>
      </c>
      <c r="G119" s="1"/>
      <c r="H119" s="36" t="str">
        <f>IFERROR(VLOOKUP('A2 (Öhdəliklər)'!G119,List!G:H,2,0),"")</f>
        <v/>
      </c>
      <c r="I119" s="1"/>
      <c r="J119" s="36" t="str">
        <f>IFERROR(VLOOKUP('A2 (Öhdəliklər)'!I119,List!C:D,2,0),"")</f>
        <v/>
      </c>
      <c r="K119" s="1"/>
      <c r="L119" s="36" t="str">
        <f>IFERROR(VLOOKUP('A2 (Öhdəliklər)'!K119,List!E:F,2,0),"")</f>
        <v/>
      </c>
      <c r="M119" s="1"/>
      <c r="N119" s="36" t="str">
        <f>IFERROR(VLOOKUP('A2 (Öhdəliklər)'!M119,List!M:N,2,0),"")</f>
        <v/>
      </c>
      <c r="O119" s="1"/>
      <c r="P119" s="36" t="str">
        <f>IFERROR(VLOOKUP('A2 (Öhdəliklər)'!O119,List!S:T,2,0),"")</f>
        <v/>
      </c>
      <c r="Q119" s="1"/>
      <c r="R119" s="36" t="str">
        <f>IFERROR(VLOOKUP('A2 (Öhdəliklər)'!Q119,List!K:L,2,0),"")</f>
        <v/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  <v/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  <v/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  <v/>
      </c>
      <c r="CD119" s="34"/>
    </row>
    <row r="120" spans="1:82" s="112" customFormat="1" ht="19.5" customHeight="1" x14ac:dyDescent="0.2">
      <c r="A120" s="111">
        <v>106</v>
      </c>
      <c r="B120" s="35" t="str">
        <f t="shared" si="16"/>
        <v/>
      </c>
      <c r="C120" s="32"/>
      <c r="D120" s="15"/>
      <c r="E120" s="1"/>
      <c r="F120" s="36" t="str">
        <f>IFERROR(VLOOKUP('A2 (Öhdəliklər)'!E120,List!A:B,2,0),"")</f>
        <v/>
      </c>
      <c r="G120" s="1"/>
      <c r="H120" s="36" t="str">
        <f>IFERROR(VLOOKUP('A2 (Öhdəliklər)'!G120,List!G:H,2,0),"")</f>
        <v/>
      </c>
      <c r="I120" s="1"/>
      <c r="J120" s="36" t="str">
        <f>IFERROR(VLOOKUP('A2 (Öhdəliklər)'!I120,List!C:D,2,0),"")</f>
        <v/>
      </c>
      <c r="K120" s="1"/>
      <c r="L120" s="36" t="str">
        <f>IFERROR(VLOOKUP('A2 (Öhdəliklər)'!K120,List!E:F,2,0),"")</f>
        <v/>
      </c>
      <c r="M120" s="1"/>
      <c r="N120" s="36" t="str">
        <f>IFERROR(VLOOKUP('A2 (Öhdəliklər)'!M120,List!M:N,2,0),"")</f>
        <v/>
      </c>
      <c r="O120" s="1"/>
      <c r="P120" s="36" t="str">
        <f>IFERROR(VLOOKUP('A2 (Öhdəliklər)'!O120,List!S:T,2,0),"")</f>
        <v/>
      </c>
      <c r="Q120" s="1"/>
      <c r="R120" s="36" t="str">
        <f>IFERROR(VLOOKUP('A2 (Öhdəliklər)'!Q120,List!K:L,2,0),"")</f>
        <v/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  <v/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  <v/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  <v/>
      </c>
      <c r="CD120" s="34"/>
    </row>
    <row r="121" spans="1:82" s="112" customFormat="1" ht="19.5" customHeight="1" x14ac:dyDescent="0.2">
      <c r="A121" s="111">
        <v>107</v>
      </c>
      <c r="B121" s="35" t="str">
        <f t="shared" si="16"/>
        <v/>
      </c>
      <c r="C121" s="32"/>
      <c r="D121" s="15"/>
      <c r="E121" s="1"/>
      <c r="F121" s="36" t="str">
        <f>IFERROR(VLOOKUP('A2 (Öhdəliklər)'!E121,List!A:B,2,0),"")</f>
        <v/>
      </c>
      <c r="G121" s="1"/>
      <c r="H121" s="36" t="str">
        <f>IFERROR(VLOOKUP('A2 (Öhdəliklər)'!G121,List!G:H,2,0),"")</f>
        <v/>
      </c>
      <c r="I121" s="1"/>
      <c r="J121" s="36" t="str">
        <f>IFERROR(VLOOKUP('A2 (Öhdəliklər)'!I121,List!C:D,2,0),"")</f>
        <v/>
      </c>
      <c r="K121" s="1"/>
      <c r="L121" s="36" t="str">
        <f>IFERROR(VLOOKUP('A2 (Öhdəliklər)'!K121,List!E:F,2,0),"")</f>
        <v/>
      </c>
      <c r="M121" s="1"/>
      <c r="N121" s="36" t="str">
        <f>IFERROR(VLOOKUP('A2 (Öhdəliklər)'!M121,List!M:N,2,0),"")</f>
        <v/>
      </c>
      <c r="O121" s="1"/>
      <c r="P121" s="36" t="str">
        <f>IFERROR(VLOOKUP('A2 (Öhdəliklər)'!O121,List!S:T,2,0),"")</f>
        <v/>
      </c>
      <c r="Q121" s="1"/>
      <c r="R121" s="36" t="str">
        <f>IFERROR(VLOOKUP('A2 (Öhdəliklər)'!Q121,List!K:L,2,0),"")</f>
        <v/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  <v/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  <v/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  <v/>
      </c>
      <c r="CD121" s="34"/>
    </row>
    <row r="122" spans="1:82" s="112" customFormat="1" ht="19.5" customHeight="1" x14ac:dyDescent="0.2">
      <c r="A122" s="111">
        <v>108</v>
      </c>
      <c r="B122" s="35" t="str">
        <f t="shared" si="16"/>
        <v/>
      </c>
      <c r="C122" s="32"/>
      <c r="D122" s="15"/>
      <c r="E122" s="1"/>
      <c r="F122" s="36" t="str">
        <f>IFERROR(VLOOKUP('A2 (Öhdəliklər)'!E122,List!A:B,2,0),"")</f>
        <v/>
      </c>
      <c r="G122" s="1"/>
      <c r="H122" s="36" t="str">
        <f>IFERROR(VLOOKUP('A2 (Öhdəliklər)'!G122,List!G:H,2,0),"")</f>
        <v/>
      </c>
      <c r="I122" s="1"/>
      <c r="J122" s="36" t="str">
        <f>IFERROR(VLOOKUP('A2 (Öhdəliklər)'!I122,List!C:D,2,0),"")</f>
        <v/>
      </c>
      <c r="K122" s="1"/>
      <c r="L122" s="36" t="str">
        <f>IFERROR(VLOOKUP('A2 (Öhdəliklər)'!K122,List!E:F,2,0),"")</f>
        <v/>
      </c>
      <c r="M122" s="1"/>
      <c r="N122" s="36" t="str">
        <f>IFERROR(VLOOKUP('A2 (Öhdəliklər)'!M122,List!M:N,2,0),"")</f>
        <v/>
      </c>
      <c r="O122" s="1"/>
      <c r="P122" s="36" t="str">
        <f>IFERROR(VLOOKUP('A2 (Öhdəliklər)'!O122,List!S:T,2,0),"")</f>
        <v/>
      </c>
      <c r="Q122" s="1"/>
      <c r="R122" s="36" t="str">
        <f>IFERROR(VLOOKUP('A2 (Öhdəliklər)'!Q122,List!K:L,2,0),"")</f>
        <v/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  <v/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  <v/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  <v/>
      </c>
      <c r="CD122" s="34"/>
    </row>
    <row r="123" spans="1:82" s="112" customFormat="1" ht="19.5" customHeight="1" x14ac:dyDescent="0.2">
      <c r="A123" s="111">
        <v>109</v>
      </c>
      <c r="B123" s="35" t="str">
        <f t="shared" si="16"/>
        <v/>
      </c>
      <c r="C123" s="32"/>
      <c r="D123" s="15"/>
      <c r="E123" s="1"/>
      <c r="F123" s="36" t="str">
        <f>IFERROR(VLOOKUP('A2 (Öhdəliklər)'!E123,List!A:B,2,0),"")</f>
        <v/>
      </c>
      <c r="G123" s="1"/>
      <c r="H123" s="36" t="str">
        <f>IFERROR(VLOOKUP('A2 (Öhdəliklər)'!G123,List!G:H,2,0),"")</f>
        <v/>
      </c>
      <c r="I123" s="1"/>
      <c r="J123" s="36" t="str">
        <f>IFERROR(VLOOKUP('A2 (Öhdəliklər)'!I123,List!C:D,2,0),"")</f>
        <v/>
      </c>
      <c r="K123" s="1"/>
      <c r="L123" s="36" t="str">
        <f>IFERROR(VLOOKUP('A2 (Öhdəliklər)'!K123,List!E:F,2,0),"")</f>
        <v/>
      </c>
      <c r="M123" s="1"/>
      <c r="N123" s="36" t="str">
        <f>IFERROR(VLOOKUP('A2 (Öhdəliklər)'!M123,List!M:N,2,0),"")</f>
        <v/>
      </c>
      <c r="O123" s="1"/>
      <c r="P123" s="36" t="str">
        <f>IFERROR(VLOOKUP('A2 (Öhdəliklər)'!O123,List!S:T,2,0),"")</f>
        <v/>
      </c>
      <c r="Q123" s="1"/>
      <c r="R123" s="36" t="str">
        <f>IFERROR(VLOOKUP('A2 (Öhdəliklər)'!Q123,List!K:L,2,0),"")</f>
        <v/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  <v/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  <v/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  <v/>
      </c>
      <c r="CD123" s="34"/>
    </row>
    <row r="124" spans="1:82" s="112" customFormat="1" ht="19.5" customHeight="1" x14ac:dyDescent="0.2">
      <c r="A124" s="111">
        <v>110</v>
      </c>
      <c r="B124" s="35" t="str">
        <f t="shared" si="16"/>
        <v/>
      </c>
      <c r="C124" s="32"/>
      <c r="D124" s="15"/>
      <c r="E124" s="1"/>
      <c r="F124" s="36" t="str">
        <f>IFERROR(VLOOKUP('A2 (Öhdəliklər)'!E124,List!A:B,2,0),"")</f>
        <v/>
      </c>
      <c r="G124" s="1"/>
      <c r="H124" s="36" t="str">
        <f>IFERROR(VLOOKUP('A2 (Öhdəliklər)'!G124,List!G:H,2,0),"")</f>
        <v/>
      </c>
      <c r="I124" s="1"/>
      <c r="J124" s="36" t="str">
        <f>IFERROR(VLOOKUP('A2 (Öhdəliklər)'!I124,List!C:D,2,0),"")</f>
        <v/>
      </c>
      <c r="K124" s="1"/>
      <c r="L124" s="36" t="str">
        <f>IFERROR(VLOOKUP('A2 (Öhdəliklər)'!K124,List!E:F,2,0),"")</f>
        <v/>
      </c>
      <c r="M124" s="1"/>
      <c r="N124" s="36" t="str">
        <f>IFERROR(VLOOKUP('A2 (Öhdəliklər)'!M124,List!M:N,2,0),"")</f>
        <v/>
      </c>
      <c r="O124" s="1"/>
      <c r="P124" s="36" t="str">
        <f>IFERROR(VLOOKUP('A2 (Öhdəliklər)'!O124,List!S:T,2,0),"")</f>
        <v/>
      </c>
      <c r="Q124" s="1"/>
      <c r="R124" s="36" t="str">
        <f>IFERROR(VLOOKUP('A2 (Öhdəliklər)'!Q124,List!K:L,2,0),"")</f>
        <v/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  <v/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  <v/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  <v/>
      </c>
      <c r="CD124" s="34"/>
    </row>
    <row r="125" spans="1:82" s="112" customFormat="1" ht="19.5" customHeight="1" x14ac:dyDescent="0.2">
      <c r="A125" s="111">
        <v>111</v>
      </c>
      <c r="B125" s="35" t="str">
        <f t="shared" si="16"/>
        <v/>
      </c>
      <c r="C125" s="32"/>
      <c r="D125" s="15"/>
      <c r="E125" s="1"/>
      <c r="F125" s="36" t="str">
        <f>IFERROR(VLOOKUP('A2 (Öhdəliklər)'!E125,List!A:B,2,0),"")</f>
        <v/>
      </c>
      <c r="G125" s="1"/>
      <c r="H125" s="36" t="str">
        <f>IFERROR(VLOOKUP('A2 (Öhdəliklər)'!G125,List!G:H,2,0),"")</f>
        <v/>
      </c>
      <c r="I125" s="1"/>
      <c r="J125" s="36" t="str">
        <f>IFERROR(VLOOKUP('A2 (Öhdəliklər)'!I125,List!C:D,2,0),"")</f>
        <v/>
      </c>
      <c r="K125" s="1"/>
      <c r="L125" s="36" t="str">
        <f>IFERROR(VLOOKUP('A2 (Öhdəliklər)'!K125,List!E:F,2,0),"")</f>
        <v/>
      </c>
      <c r="M125" s="1"/>
      <c r="N125" s="36" t="str">
        <f>IFERROR(VLOOKUP('A2 (Öhdəliklər)'!M125,List!M:N,2,0),"")</f>
        <v/>
      </c>
      <c r="O125" s="1"/>
      <c r="P125" s="36" t="str">
        <f>IFERROR(VLOOKUP('A2 (Öhdəliklər)'!O125,List!S:T,2,0),"")</f>
        <v/>
      </c>
      <c r="Q125" s="1"/>
      <c r="R125" s="36" t="str">
        <f>IFERROR(VLOOKUP('A2 (Öhdəliklər)'!Q125,List!K:L,2,0),"")</f>
        <v/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  <v/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  <v/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  <v/>
      </c>
      <c r="CD125" s="34"/>
    </row>
    <row r="127" spans="1:82" x14ac:dyDescent="0.2">
      <c r="AR127" s="113"/>
    </row>
    <row r="131" spans="38:46" x14ac:dyDescent="0.2">
      <c r="AN131" s="113"/>
      <c r="AT131" s="114"/>
    </row>
    <row r="132" spans="38:46" x14ac:dyDescent="0.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 count="71"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>
      <formula1>-1000000000000</formula1>
      <formula2>1000000000000</formula2>
    </dataValidation>
    <dataValidation allowBlank="1" showInputMessage="1" showErrorMessage="1" errorTitle="Diqqət!" error="Ədədi düzgün daxil edin!" sqref="AV12:AX13"/>
    <dataValidation type="decimal" allowBlank="1" showInputMessage="1" showErrorMessage="1" errorTitle="Diqqət!" error="Ədədi düzgün daxil edin!" sqref="AL15:AQ125 AA15:AB125 BG15:BY125 AD15:AJ125">
      <formula1>0</formula1>
      <formula2>1000000000000</formula2>
    </dataValidation>
    <dataValidation type="date" allowBlank="1" showInputMessage="1" showErrorMessage="1" errorTitle="Diqqət!" error="Tarixi düzgün daxil edin!" sqref="U15:V125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>
      <formula1>0</formula1>
      <formula2>999999999999999</formula2>
    </dataValidation>
    <dataValidation type="list" allowBlank="1" showInputMessage="1" showErrorMessage="1" sqref="E15:E125">
      <formula1>investisiya_bolme_adi</formula1>
    </dataValidation>
    <dataValidation type="list" allowBlank="1" showInputMessage="1" showErrorMessage="1" sqref="G15:G125">
      <formula1>investisiya_madde2</formula1>
    </dataValidation>
    <dataValidation type="list" allowBlank="1" showInputMessage="1" showErrorMessage="1" sqref="I15:I125">
      <formula1>qeyrirezident_elaqe</formula1>
    </dataValidation>
    <dataValidation type="list" allowBlank="1" showInputMessage="1" showErrorMessage="1" sqref="K15:K125">
      <formula1>qeyrirezident_sektor</formula1>
    </dataValidation>
    <dataValidation type="list" allowBlank="1" showInputMessage="1" showErrorMessage="1" sqref="M15:M125">
      <formula1>Country</formula1>
    </dataValidation>
    <dataValidation type="list" allowBlank="1" showInputMessage="1" showErrorMessage="1" sqref="O15:O125">
      <formula1>valyuta</formula1>
    </dataValidation>
    <dataValidation type="list" allowBlank="1" showInputMessage="1" showErrorMessage="1" sqref="Q15:Q125">
      <formula1>restrukturizasiya</formula1>
    </dataValidation>
    <dataValidation type="list" allowBlank="1" showInputMessage="1" showErrorMessage="1" sqref="Y15:Y125">
      <formula1>faiz_novu</formula1>
    </dataValidation>
    <dataValidation type="list" allowBlank="1" showInputMessage="1" showErrorMessage="1" sqref="AY15:AY125">
      <formula1>diger_deyishiklik</formula1>
    </dataValidation>
    <dataValidation type="list" allowBlank="1" showInputMessage="1" showErrorMessage="1" sqref="CB15:CB125">
      <formula1>kupon_muddet</formula1>
    </dataValidation>
    <dataValidation type="list" allowBlank="1" showInputMessage="1" showErrorMessage="1" sqref="BZ15:BZ125">
      <formula1>zemanet</formula1>
    </dataValidation>
    <dataValidation type="whole" allowBlank="1" showInputMessage="1" showErrorMessage="1" errorTitle="Diqqət!" error="Ədədi düzgün daxil edin!" sqref="C15:C125">
      <formula1>0</formula1>
      <formula2>1000000000000</formula2>
    </dataValidation>
  </dataValidations>
  <pageMargins left="0.7" right="0.7" top="0.75" bottom="0.75" header="0.3" footer="0.3"/>
  <pageSetup scale="64" orientation="landscape" r:id="rId1"/>
  <colBreaks count="3" manualBreakCount="3">
    <brk id="37" min="2" max="23" man="1"/>
    <brk id="47" min="2" max="23" man="1"/>
    <brk id="56" min="2" max="2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style="64" customWidth="1"/>
    <col min="2" max="2" width="31.140625" style="64" customWidth="1"/>
    <col min="3" max="3" width="29" style="64" customWidth="1"/>
    <col min="4" max="4" width="21.140625" style="64" customWidth="1"/>
    <col min="5" max="5" width="21.28515625" style="115" customWidth="1"/>
    <col min="6" max="6" width="9.28515625" style="115" customWidth="1"/>
    <col min="7" max="7" width="37.140625" style="67" bestFit="1" customWidth="1"/>
    <col min="8" max="8" width="10" style="64" customWidth="1"/>
    <col min="9" max="9" width="39" style="64" customWidth="1"/>
    <col min="10" max="10" width="11.5703125" style="64" customWidth="1"/>
    <col min="11" max="11" width="33.85546875" style="64" customWidth="1"/>
    <col min="12" max="12" width="8.42578125" style="64" customWidth="1"/>
    <col min="13" max="13" width="28.28515625" style="64" customWidth="1"/>
    <col min="14" max="14" width="11.7109375" style="64" customWidth="1"/>
    <col min="15" max="15" width="14.5703125" style="64" customWidth="1"/>
    <col min="16" max="16" width="7.42578125" style="64" customWidth="1"/>
    <col min="17" max="17" width="18.140625" style="64" customWidth="1"/>
    <col min="18" max="18" width="17.28515625" style="64" customWidth="1"/>
    <col min="19" max="19" width="14.5703125" style="64" customWidth="1"/>
    <col min="20" max="20" width="13.28515625" style="64" customWidth="1"/>
    <col min="21" max="21" width="11" style="67" customWidth="1"/>
    <col min="22" max="24" width="18.7109375" style="64" customWidth="1"/>
    <col min="25" max="25" width="27" style="64" customWidth="1"/>
    <col min="26" max="26" width="19.5703125" style="64" customWidth="1"/>
    <col min="27" max="27" width="48.7109375" style="64" bestFit="1" customWidth="1"/>
    <col min="28" max="28" width="9.42578125" style="64" customWidth="1"/>
    <col min="29" max="38" width="18.7109375" style="64" customWidth="1"/>
    <col min="39" max="39" width="14.85546875" style="64" customWidth="1"/>
    <col min="40" max="40" width="14.7109375" style="64"/>
    <col min="41" max="41" width="0" style="64" hidden="1" customWidth="1"/>
    <col min="42" max="16384" width="14.7109375" style="64"/>
  </cols>
  <sheetData>
    <row r="1" spans="1:41" ht="18" customHeight="1" x14ac:dyDescent="0.2">
      <c r="G1" s="144" t="s">
        <v>2387</v>
      </c>
      <c r="H1" s="144"/>
      <c r="I1" s="144"/>
    </row>
    <row r="2" spans="1:41" ht="18" customHeight="1" x14ac:dyDescent="0.2">
      <c r="G2" s="144" t="s">
        <v>2388</v>
      </c>
      <c r="H2" s="144"/>
      <c r="I2" s="144"/>
    </row>
    <row r="3" spans="1:41" x14ac:dyDescent="0.2">
      <c r="G3" s="144" t="s">
        <v>442</v>
      </c>
      <c r="H3" s="144"/>
      <c r="I3" s="144"/>
      <c r="O3" s="69"/>
      <c r="P3" s="69"/>
      <c r="T3" s="69"/>
    </row>
    <row r="4" spans="1:41" ht="15.75" customHeight="1" x14ac:dyDescent="0.25">
      <c r="A4" s="185" t="s">
        <v>1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2386</v>
      </c>
      <c r="H4" s="144"/>
      <c r="I4" s="144"/>
      <c r="M4" s="69"/>
      <c r="O4" s="69"/>
      <c r="S4" s="69"/>
      <c r="AO4" s="90">
        <v>15</v>
      </c>
    </row>
    <row r="5" spans="1:41" s="67" customFormat="1" ht="18" x14ac:dyDescent="0.25">
      <c r="A5" s="186" t="s">
        <v>0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414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spans="1:41" s="67" customFormat="1" ht="20.25" customHeight="1" x14ac:dyDescent="0.25">
      <c r="A6" s="186" t="s">
        <v>177</v>
      </c>
      <c r="B6" s="186"/>
      <c r="C6" s="77">
        <f>IF(XBBIS!D16="","",XBBIS!D16)</f>
        <v>0</v>
      </c>
      <c r="D6" s="70"/>
      <c r="E6" s="118"/>
      <c r="F6" s="118"/>
      <c r="G6" s="144" t="s">
        <v>142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spans="1:41" s="67" customFormat="1" ht="15.75" customHeight="1" x14ac:dyDescent="0.2">
      <c r="A7" s="187" t="s">
        <v>406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547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spans="1:41" s="67" customFormat="1" ht="18" x14ac:dyDescent="0.2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spans="1:41" s="67" customFormat="1" ht="27.75" customHeight="1" x14ac:dyDescent="0.5">
      <c r="B9" s="83"/>
      <c r="C9" s="83"/>
      <c r="D9" s="83"/>
      <c r="E9" s="119"/>
      <c r="F9" s="120" t="s">
        <v>467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spans="1:41" s="90" customFormat="1" ht="36.75" customHeight="1" x14ac:dyDescent="0.3">
      <c r="A10" s="67"/>
      <c r="B10" s="67"/>
      <c r="C10" s="67"/>
      <c r="F10" s="121"/>
      <c r="G10" s="91" t="s">
        <v>435</v>
      </c>
      <c r="H10" s="91"/>
      <c r="I10" s="92" t="s">
        <v>143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spans="1:41" s="103" customFormat="1" ht="33" customHeight="1" x14ac:dyDescent="0.25">
      <c r="A11" s="156" t="s">
        <v>147</v>
      </c>
      <c r="B11" s="156" t="s">
        <v>446</v>
      </c>
      <c r="C11" s="156" t="s">
        <v>468</v>
      </c>
      <c r="D11" s="156" t="s">
        <v>447</v>
      </c>
      <c r="E11" s="176" t="s">
        <v>473</v>
      </c>
      <c r="F11" s="177"/>
      <c r="G11" s="152" t="s">
        <v>425</v>
      </c>
      <c r="H11" s="153"/>
      <c r="I11" s="152" t="s">
        <v>470</v>
      </c>
      <c r="J11" s="153"/>
      <c r="K11" s="152" t="s">
        <v>471</v>
      </c>
      <c r="L11" s="153"/>
      <c r="M11" s="152" t="s">
        <v>472</v>
      </c>
      <c r="N11" s="153"/>
      <c r="O11" s="152" t="s">
        <v>469</v>
      </c>
      <c r="P11" s="153"/>
      <c r="Q11" s="167" t="s">
        <v>548</v>
      </c>
      <c r="R11" s="153"/>
      <c r="S11" s="156" t="s">
        <v>158</v>
      </c>
      <c r="T11" s="156" t="s">
        <v>159</v>
      </c>
      <c r="U11" s="156" t="s">
        <v>161</v>
      </c>
      <c r="V11" s="156" t="s">
        <v>167</v>
      </c>
      <c r="W11" s="160" t="s">
        <v>165</v>
      </c>
      <c r="X11" s="160"/>
      <c r="Y11" s="156" t="s">
        <v>545</v>
      </c>
      <c r="Z11" s="156" t="s">
        <v>2090</v>
      </c>
      <c r="AA11" s="152" t="s">
        <v>181</v>
      </c>
      <c r="AB11" s="153"/>
      <c r="AC11" s="156" t="s">
        <v>168</v>
      </c>
      <c r="AD11" s="192" t="s">
        <v>565</v>
      </c>
      <c r="AE11" s="174" t="s">
        <v>149</v>
      </c>
      <c r="AF11" s="174"/>
      <c r="AG11" s="174"/>
      <c r="AH11" s="174"/>
      <c r="AI11" s="174" t="s">
        <v>144</v>
      </c>
      <c r="AJ11" s="174"/>
      <c r="AK11" s="122" t="s">
        <v>145</v>
      </c>
      <c r="AL11" s="182" t="s">
        <v>441</v>
      </c>
      <c r="AM11" s="174" t="s">
        <v>541</v>
      </c>
      <c r="AN11" s="102"/>
    </row>
    <row r="12" spans="1:41" s="67" customFormat="1" ht="21.75" customHeight="1" x14ac:dyDescent="0.2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428</v>
      </c>
      <c r="X12" s="123" t="s">
        <v>148</v>
      </c>
      <c r="Y12" s="195"/>
      <c r="Z12" s="197"/>
      <c r="AA12" s="154"/>
      <c r="AB12" s="155"/>
      <c r="AC12" s="157"/>
      <c r="AD12" s="192"/>
      <c r="AE12" s="164" t="s">
        <v>150</v>
      </c>
      <c r="AF12" s="164" t="s">
        <v>151</v>
      </c>
      <c r="AG12" s="174" t="s">
        <v>152</v>
      </c>
      <c r="AH12" s="174" t="s">
        <v>153</v>
      </c>
      <c r="AI12" s="174" t="s">
        <v>154</v>
      </c>
      <c r="AJ12" s="174" t="s">
        <v>155</v>
      </c>
      <c r="AK12" s="174" t="s">
        <v>156</v>
      </c>
      <c r="AL12" s="183"/>
      <c r="AM12" s="174"/>
      <c r="AN12" s="76"/>
    </row>
    <row r="13" spans="1:41" s="89" customFormat="1" ht="67.5" customHeight="1" x14ac:dyDescent="0.2">
      <c r="A13" s="157"/>
      <c r="B13" s="157"/>
      <c r="C13" s="157"/>
      <c r="D13" s="157"/>
      <c r="E13" s="109" t="s">
        <v>424</v>
      </c>
      <c r="F13" s="109" t="s">
        <v>180</v>
      </c>
      <c r="G13" s="104" t="s">
        <v>417</v>
      </c>
      <c r="H13" s="104" t="s">
        <v>180</v>
      </c>
      <c r="I13" s="104" t="s">
        <v>417</v>
      </c>
      <c r="J13" s="104" t="s">
        <v>180</v>
      </c>
      <c r="K13" s="104" t="s">
        <v>418</v>
      </c>
      <c r="L13" s="104" t="s">
        <v>180</v>
      </c>
      <c r="M13" s="104" t="s">
        <v>418</v>
      </c>
      <c r="N13" s="104" t="s">
        <v>180</v>
      </c>
      <c r="O13" s="104" t="s">
        <v>418</v>
      </c>
      <c r="P13" s="104" t="s">
        <v>180</v>
      </c>
      <c r="Q13" s="106" t="s">
        <v>408</v>
      </c>
      <c r="R13" s="106" t="s">
        <v>415</v>
      </c>
      <c r="S13" s="157"/>
      <c r="T13" s="157"/>
      <c r="U13" s="157"/>
      <c r="V13" s="194"/>
      <c r="W13" s="104" t="s">
        <v>426</v>
      </c>
      <c r="X13" s="104" t="s">
        <v>427</v>
      </c>
      <c r="Y13" s="196"/>
      <c r="Z13" s="198"/>
      <c r="AA13" s="104" t="s">
        <v>417</v>
      </c>
      <c r="AB13" s="104" t="s">
        <v>180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pans="1:41" s="67" customFormat="1" x14ac:dyDescent="0.2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spans="1:41" s="112" customFormat="1" ht="15" customHeight="1" x14ac:dyDescent="0.2">
      <c r="A15" s="111">
        <v>1</v>
      </c>
      <c r="B15" s="35" t="str">
        <f t="shared" ref="B15" si="0">IF((C15&amp;"-"&amp;D15&amp;"-"&amp;J15&amp;"-"&amp;N15&amp;"-"&amp;P15)="----","",(C15&amp;"-"&amp;D15&amp;"-"&amp;J15&amp;"-"&amp;N15&amp;"-"&amp;P15))</f>
        <v/>
      </c>
      <c r="C15" s="15"/>
      <c r="D15" s="15"/>
      <c r="E15" s="31"/>
      <c r="F15" s="36" t="str">
        <f>IFERROR(VLOOKUP('A3 (Şərti öhdəliklər)'!E15,List!AD:AE,2,0),"")</f>
        <v/>
      </c>
      <c r="G15" s="1"/>
      <c r="H15" s="36" t="str">
        <f>IFERROR(VLOOKUP('A3 (Şərti öhdəliklər)'!G15,List!G:H,2,0),"")</f>
        <v/>
      </c>
      <c r="I15" s="1"/>
      <c r="J15" s="36" t="str">
        <f>IFERROR(VLOOKUP('A3 (Şərti öhdəliklər)'!I15,List!C:D,2,0),"")</f>
        <v/>
      </c>
      <c r="K15" s="1"/>
      <c r="L15" s="36" t="str">
        <f>IFERROR(VLOOKUP('A3 (Şərti öhdəliklər)'!K15,List!E:F,2,0),"")</f>
        <v/>
      </c>
      <c r="M15" s="1"/>
      <c r="N15" s="36" t="str">
        <f>IFERROR(VLOOKUP('A3 (Şərti öhdəliklər)'!M15,List!M:N,2,0),"")</f>
        <v/>
      </c>
      <c r="O15" s="1"/>
      <c r="P15" s="36" t="str">
        <f>IFERROR(VLOOKUP('A3 (Şərti öhdəliklər)'!O15,List!S:T,2,0),"")</f>
        <v/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  <v/>
      </c>
      <c r="AC15" s="40">
        <f t="shared" ref="AC15" si="1"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spans="1:41" s="67" customFormat="1" ht="15" customHeight="1" x14ac:dyDescent="0.4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spans="5:39" s="67" customFormat="1" ht="15" customHeight="1" x14ac:dyDescent="0.4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 count="44"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>
      <formula1>0</formula1>
      <formula2>1000000000000</formula2>
    </dataValidation>
    <dataValidation type="date" allowBlank="1" showInputMessage="1" showErrorMessage="1" errorTitle="Diqqət!" error="Tarixi düzgün daxil edin!" sqref="S15:T15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>
      <formula1>1</formula1>
      <formula2>999999999999999</formula2>
    </dataValidation>
    <dataValidation type="list" allowBlank="1" showInputMessage="1" showErrorMessage="1" sqref="I15">
      <formula1>qeyrirezident_elaqe</formula1>
    </dataValidation>
    <dataValidation type="list" allowBlank="1" showInputMessage="1" showErrorMessage="1" sqref="K15">
      <formula1>qeyrirezident_sektor</formula1>
    </dataValidation>
    <dataValidation type="list" allowBlank="1" showInputMessage="1" showErrorMessage="1" sqref="M15">
      <formula1>Country</formula1>
    </dataValidation>
    <dataValidation type="list" allowBlank="1" showInputMessage="1" showErrorMessage="1" sqref="O15">
      <formula1>valyuta</formula1>
    </dataValidation>
    <dataValidation type="list" allowBlank="1" showInputMessage="1" showErrorMessage="1" sqref="AA15">
      <formula1>diger_deyishiklik</formula1>
    </dataValidation>
    <dataValidation type="list" allowBlank="1" showInputMessage="1" showErrorMessage="1" sqref="G15">
      <formula1>investisiya_madde3</formula1>
    </dataValidation>
    <dataValidation type="list" allowBlank="1" showInputMessage="1" showErrorMessage="1" sqref="E15">
      <formula1>debitor_rezident</formula1>
    </dataValidation>
    <dataValidation type="decimal" allowBlank="1" showInputMessage="1" showErrorMessage="1" errorTitle="Diqqət!" error="Ədədi düzgün daxil edin!" sqref="Y15:Z15">
      <formula1>-1000000000000</formula1>
      <formula2>1000000000000</formula2>
    </dataValidation>
  </dataValidations>
  <pageMargins left="0.7" right="0.7" top="0.75" bottom="0.75" header="0.3" footer="0.3"/>
  <pageSetup scale="64" orientation="landscape" r:id="rId1"/>
  <colBreaks count="1" manualBreakCount="1">
    <brk id="30" min="2" max="2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width="28.5703125" style="3" bestFit="1" customWidth="1"/>
    <col min="2" max="2" width="30.28515625" style="2" bestFit="1" customWidth="1"/>
    <col min="3" max="3" width="42" style="3" bestFit="1" customWidth="1"/>
    <col min="4" max="4" width="51.7109375" style="2" bestFit="1" customWidth="1"/>
    <col min="5" max="5" width="50.7109375" style="6" bestFit="1" customWidth="1"/>
    <col min="6" max="6" width="49" style="2" bestFit="1" customWidth="1"/>
    <col min="7" max="7" width="51.42578125" style="6" bestFit="1" customWidth="1"/>
    <col min="8" max="8" width="28.140625" style="2" bestFit="1" customWidth="1"/>
    <col min="9" max="9" width="23.140625" style="2" bestFit="1" customWidth="1"/>
    <col min="10" max="10" width="6.42578125" style="2" bestFit="1" customWidth="1"/>
    <col min="11" max="11" width="30" style="3" bestFit="1" customWidth="1"/>
    <col min="12" max="12" width="35" style="2" bestFit="1" customWidth="1"/>
    <col min="13" max="13" width="59.28515625" style="3" bestFit="1" customWidth="1"/>
    <col min="14" max="14" width="28.7109375" style="2" bestFit="1" customWidth="1"/>
    <col min="15" max="15" width="11.140625" style="2" bestFit="1" customWidth="1"/>
    <col min="16" max="16" width="20.85546875" style="2" bestFit="1" customWidth="1"/>
    <col min="17" max="17" width="57.28515625" style="2" bestFit="1" customWidth="1"/>
    <col min="18" max="18" width="25.7109375" style="2" bestFit="1" customWidth="1"/>
    <col min="19" max="19" width="8.7109375" style="8" bestFit="1" customWidth="1"/>
    <col min="20" max="20" width="6.42578125" style="8" bestFit="1" customWidth="1"/>
    <col min="21" max="21" width="38.5703125" style="8" bestFit="1" customWidth="1"/>
    <col min="22" max="22" width="8.28515625" style="8" bestFit="1" customWidth="1"/>
    <col min="23" max="23" width="5.28515625" style="8" bestFit="1" customWidth="1"/>
    <col min="24" max="24" width="5.42578125" style="2" bestFit="1" customWidth="1"/>
    <col min="25" max="25" width="46.7109375" style="2" customWidth="1"/>
    <col min="26" max="26" width="44.85546875" style="2" bestFit="1" customWidth="1"/>
    <col min="27" max="27" width="8.140625" style="2"/>
    <col min="28" max="28" width="14.7109375" style="2" customWidth="1"/>
    <col min="29" max="29" width="154.28515625" style="6" customWidth="1"/>
    <col min="30" max="30" width="27.7109375" style="2" customWidth="1"/>
    <col min="31" max="31" width="8.140625" style="2"/>
    <col min="32" max="32" width="54.28515625" style="2" bestFit="1" customWidth="1"/>
    <col min="33" max="33" width="28.28515625" style="2" bestFit="1" customWidth="1"/>
    <col min="34" max="16384" width="8.140625" style="2"/>
  </cols>
  <sheetData>
    <row r="1" spans="1:33" s="26" customFormat="1" ht="15" x14ac:dyDescent="0.25">
      <c r="A1" s="26" t="s">
        <v>172</v>
      </c>
      <c r="B1" s="26" t="s">
        <v>178</v>
      </c>
      <c r="C1" s="26" t="s">
        <v>419</v>
      </c>
      <c r="D1" s="26" t="s">
        <v>420</v>
      </c>
      <c r="E1" s="26" t="s">
        <v>543</v>
      </c>
      <c r="F1" s="26" t="s">
        <v>544</v>
      </c>
      <c r="G1" s="26" t="s">
        <v>430</v>
      </c>
      <c r="H1" s="26" t="s">
        <v>173</v>
      </c>
      <c r="I1" s="26" t="s">
        <v>404</v>
      </c>
      <c r="J1" s="26" t="s">
        <v>180</v>
      </c>
      <c r="K1" s="26" t="s">
        <v>162</v>
      </c>
      <c r="L1" s="26" t="s">
        <v>182</v>
      </c>
      <c r="M1" s="26" t="s">
        <v>163</v>
      </c>
      <c r="N1" s="26" t="s">
        <v>179</v>
      </c>
      <c r="O1" s="26" t="s">
        <v>174</v>
      </c>
      <c r="P1" s="26" t="s">
        <v>403</v>
      </c>
      <c r="Q1" s="26" t="s">
        <v>146</v>
      </c>
      <c r="R1" s="26" t="s">
        <v>183</v>
      </c>
      <c r="S1" s="26" t="s">
        <v>534</v>
      </c>
      <c r="T1" s="26" t="s">
        <v>180</v>
      </c>
      <c r="U1" s="26" t="s">
        <v>535</v>
      </c>
      <c r="V1" s="26" t="s">
        <v>236</v>
      </c>
      <c r="W1" s="26" t="s">
        <v>402</v>
      </c>
      <c r="X1" s="26" t="s">
        <v>401</v>
      </c>
      <c r="Y1" s="26" t="s">
        <v>540</v>
      </c>
      <c r="Z1" s="26" t="s">
        <v>556</v>
      </c>
      <c r="AA1" s="26" t="s">
        <v>180</v>
      </c>
      <c r="AB1" s="26" t="s">
        <v>566</v>
      </c>
      <c r="AC1" s="28" t="s">
        <v>1320</v>
      </c>
      <c r="AD1" s="26" t="s">
        <v>2099</v>
      </c>
      <c r="AE1" s="26" t="s">
        <v>180</v>
      </c>
      <c r="AF1" s="26" t="s">
        <v>2377</v>
      </c>
      <c r="AG1" s="26" t="s">
        <v>179</v>
      </c>
    </row>
    <row r="2" spans="1:33" ht="15" x14ac:dyDescent="0.25">
      <c r="A2" s="30" t="s">
        <v>454</v>
      </c>
      <c r="B2" s="2">
        <v>1</v>
      </c>
      <c r="C2" s="9" t="s">
        <v>451</v>
      </c>
      <c r="D2" s="5">
        <v>1</v>
      </c>
      <c r="E2" s="6" t="s">
        <v>453</v>
      </c>
      <c r="F2" s="5">
        <v>1</v>
      </c>
      <c r="G2" s="7" t="s">
        <v>538</v>
      </c>
      <c r="H2" s="5">
        <v>100</v>
      </c>
      <c r="I2" s="5" t="s">
        <v>175</v>
      </c>
      <c r="J2" s="5">
        <v>1</v>
      </c>
      <c r="K2" s="9" t="s">
        <v>409</v>
      </c>
      <c r="L2" s="5">
        <v>1</v>
      </c>
      <c r="M2" t="s">
        <v>2196</v>
      </c>
      <c r="N2">
        <v>248</v>
      </c>
      <c r="O2" s="3" t="s">
        <v>410</v>
      </c>
      <c r="P2" s="2">
        <v>1</v>
      </c>
      <c r="Q2" s="6" t="s">
        <v>2093</v>
      </c>
      <c r="R2" s="2">
        <v>1</v>
      </c>
      <c r="S2" s="23" t="s">
        <v>16</v>
      </c>
      <c r="T2" s="23">
        <v>8</v>
      </c>
      <c r="U2" s="23" t="s">
        <v>237</v>
      </c>
      <c r="V2" s="23">
        <v>1</v>
      </c>
      <c r="W2" s="2">
        <v>1</v>
      </c>
      <c r="X2" s="2">
        <v>2000</v>
      </c>
      <c r="Y2" s="2" t="s">
        <v>542</v>
      </c>
      <c r="Z2" s="2" t="s">
        <v>561</v>
      </c>
      <c r="AA2" s="2">
        <v>0</v>
      </c>
      <c r="AB2" s="27" t="s">
        <v>567</v>
      </c>
      <c r="AC2" s="29" t="s">
        <v>1321</v>
      </c>
      <c r="AD2" s="2" t="s">
        <v>2100</v>
      </c>
      <c r="AE2" s="2">
        <v>1</v>
      </c>
      <c r="AF2" t="s">
        <v>2196</v>
      </c>
      <c r="AG2">
        <v>248</v>
      </c>
    </row>
    <row r="3" spans="1:33" ht="15" x14ac:dyDescent="0.25">
      <c r="A3" s="30" t="s">
        <v>455</v>
      </c>
      <c r="B3" s="2">
        <v>2</v>
      </c>
      <c r="C3" s="9" t="s">
        <v>2394</v>
      </c>
      <c r="D3" s="5">
        <v>2</v>
      </c>
      <c r="E3" s="6" t="s">
        <v>458</v>
      </c>
      <c r="F3" s="5">
        <v>2</v>
      </c>
      <c r="G3" s="7" t="s">
        <v>506</v>
      </c>
      <c r="H3" s="5">
        <v>110</v>
      </c>
      <c r="I3" s="5" t="s">
        <v>175</v>
      </c>
      <c r="J3" s="5">
        <v>1</v>
      </c>
      <c r="K3" s="3" t="s">
        <v>2381</v>
      </c>
      <c r="L3" s="2">
        <v>2</v>
      </c>
      <c r="M3" t="s">
        <v>2105</v>
      </c>
      <c r="N3">
        <v>8</v>
      </c>
      <c r="O3" s="3" t="s">
        <v>411</v>
      </c>
      <c r="P3" s="2">
        <v>2</v>
      </c>
      <c r="Q3" s="6" t="s">
        <v>2092</v>
      </c>
      <c r="R3" s="2">
        <v>2</v>
      </c>
      <c r="S3" s="24" t="s">
        <v>8</v>
      </c>
      <c r="T3" s="24">
        <v>10</v>
      </c>
      <c r="U3" s="24" t="s">
        <v>238</v>
      </c>
      <c r="V3" s="24">
        <v>1</v>
      </c>
      <c r="W3" s="2">
        <v>2</v>
      </c>
      <c r="X3" s="2">
        <v>2001</v>
      </c>
      <c r="Z3" s="2" t="s">
        <v>558</v>
      </c>
      <c r="AA3" s="2">
        <v>1</v>
      </c>
      <c r="AB3" s="27" t="s">
        <v>568</v>
      </c>
      <c r="AC3" s="29" t="s">
        <v>1322</v>
      </c>
      <c r="AD3" s="2" t="s">
        <v>2101</v>
      </c>
      <c r="AE3" s="2">
        <v>2</v>
      </c>
      <c r="AF3" t="s">
        <v>2105</v>
      </c>
      <c r="AG3">
        <v>8</v>
      </c>
    </row>
    <row r="4" spans="1:33" ht="15" x14ac:dyDescent="0.25">
      <c r="A4" s="30" t="s">
        <v>466</v>
      </c>
      <c r="B4" s="2">
        <v>3</v>
      </c>
      <c r="C4" s="9" t="s">
        <v>2395</v>
      </c>
      <c r="D4" s="5">
        <v>3</v>
      </c>
      <c r="E4" s="6" t="s">
        <v>459</v>
      </c>
      <c r="F4" s="2">
        <v>3</v>
      </c>
      <c r="G4" s="7" t="s">
        <v>505</v>
      </c>
      <c r="H4" s="5">
        <f>H3+1</f>
        <v>111</v>
      </c>
      <c r="I4" s="5" t="s">
        <v>175</v>
      </c>
      <c r="J4" s="5">
        <v>1</v>
      </c>
      <c r="K4" s="3" t="s">
        <v>536</v>
      </c>
      <c r="L4" s="2">
        <v>3</v>
      </c>
      <c r="M4" t="s">
        <v>2206</v>
      </c>
      <c r="N4">
        <v>276</v>
      </c>
      <c r="O4" s="3" t="s">
        <v>412</v>
      </c>
      <c r="P4" s="2">
        <v>3</v>
      </c>
      <c r="Q4" s="6" t="s">
        <v>2091</v>
      </c>
      <c r="R4" s="2">
        <v>3</v>
      </c>
      <c r="S4" s="24" t="s">
        <v>49</v>
      </c>
      <c r="T4" s="24">
        <v>12</v>
      </c>
      <c r="U4" s="23" t="s">
        <v>239</v>
      </c>
      <c r="V4" s="23">
        <v>1</v>
      </c>
      <c r="W4" s="2">
        <v>3</v>
      </c>
      <c r="X4" s="2">
        <v>2002</v>
      </c>
      <c r="Z4" s="2" t="s">
        <v>559</v>
      </c>
      <c r="AA4" s="2">
        <v>2</v>
      </c>
      <c r="AB4" s="27" t="s">
        <v>569</v>
      </c>
      <c r="AC4" s="29" t="s">
        <v>1323</v>
      </c>
      <c r="AF4" t="s">
        <v>2206</v>
      </c>
      <c r="AG4">
        <v>276</v>
      </c>
    </row>
    <row r="5" spans="1:33" ht="15" x14ac:dyDescent="0.25">
      <c r="A5" s="30" t="s">
        <v>452</v>
      </c>
      <c r="B5" s="2">
        <v>4</v>
      </c>
      <c r="C5" s="4" t="s">
        <v>457</v>
      </c>
      <c r="D5" s="5">
        <v>4</v>
      </c>
      <c r="E5" s="6" t="s">
        <v>460</v>
      </c>
      <c r="F5" s="2">
        <v>4</v>
      </c>
      <c r="G5" s="7" t="s">
        <v>504</v>
      </c>
      <c r="H5" s="5">
        <v>112</v>
      </c>
      <c r="I5" s="5" t="s">
        <v>175</v>
      </c>
      <c r="J5" s="5">
        <v>1</v>
      </c>
      <c r="K5" s="3" t="s">
        <v>2382</v>
      </c>
      <c r="L5" s="2">
        <v>4</v>
      </c>
      <c r="M5" t="s">
        <v>2110</v>
      </c>
      <c r="N5">
        <v>13</v>
      </c>
      <c r="Q5" s="6" t="s">
        <v>2094</v>
      </c>
      <c r="R5" s="2">
        <v>4</v>
      </c>
      <c r="S5" s="24" t="s">
        <v>184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562</v>
      </c>
      <c r="AA5" s="2">
        <v>3</v>
      </c>
      <c r="AB5" s="27" t="s">
        <v>570</v>
      </c>
      <c r="AC5" s="29" t="s">
        <v>1324</v>
      </c>
      <c r="AF5" t="s">
        <v>2110</v>
      </c>
      <c r="AG5">
        <v>13</v>
      </c>
    </row>
    <row r="6" spans="1:33" ht="15" x14ac:dyDescent="0.25">
      <c r="C6" s="4"/>
      <c r="D6" s="5"/>
      <c r="E6" s="6" t="s">
        <v>461</v>
      </c>
      <c r="F6" s="2">
        <v>5</v>
      </c>
      <c r="G6" s="7" t="s">
        <v>503</v>
      </c>
      <c r="H6" s="5">
        <v>120</v>
      </c>
      <c r="I6" s="5" t="s">
        <v>175</v>
      </c>
      <c r="J6" s="5">
        <v>1</v>
      </c>
      <c r="K6" s="3" t="s">
        <v>2383</v>
      </c>
      <c r="L6" s="2">
        <v>5</v>
      </c>
      <c r="M6" t="s">
        <v>2364</v>
      </c>
      <c r="N6">
        <v>840</v>
      </c>
      <c r="Q6" s="6" t="s">
        <v>2095</v>
      </c>
      <c r="R6" s="2">
        <v>5</v>
      </c>
      <c r="S6" s="24" t="s">
        <v>185</v>
      </c>
      <c r="T6" s="24">
        <v>30</v>
      </c>
      <c r="U6" s="23"/>
      <c r="V6" s="23">
        <v>1</v>
      </c>
      <c r="W6" s="2"/>
      <c r="X6" s="2">
        <v>2004</v>
      </c>
      <c r="Z6" s="2" t="s">
        <v>560</v>
      </c>
      <c r="AA6" s="2">
        <v>4</v>
      </c>
      <c r="AB6" s="27" t="s">
        <v>571</v>
      </c>
      <c r="AC6" s="29" t="s">
        <v>1325</v>
      </c>
      <c r="AF6" t="s">
        <v>2364</v>
      </c>
      <c r="AG6">
        <v>840</v>
      </c>
    </row>
    <row r="7" spans="1:33" ht="15" x14ac:dyDescent="0.25">
      <c r="C7" s="4"/>
      <c r="D7" s="10"/>
      <c r="E7" s="6" t="s">
        <v>462</v>
      </c>
      <c r="F7" s="2">
        <v>6</v>
      </c>
      <c r="G7" s="7" t="s">
        <v>502</v>
      </c>
      <c r="H7" s="5">
        <f>H6+1</f>
        <v>121</v>
      </c>
      <c r="I7" s="5" t="s">
        <v>175</v>
      </c>
      <c r="J7" s="5">
        <v>1</v>
      </c>
      <c r="M7" t="s">
        <v>2113</v>
      </c>
      <c r="N7">
        <v>16</v>
      </c>
      <c r="Q7" s="6" t="s">
        <v>2096</v>
      </c>
      <c r="R7" s="2">
        <v>6</v>
      </c>
      <c r="S7" s="24" t="s">
        <v>20</v>
      </c>
      <c r="T7" s="24">
        <v>32</v>
      </c>
      <c r="U7" s="24" t="s">
        <v>240</v>
      </c>
      <c r="V7" s="24">
        <v>1</v>
      </c>
      <c r="W7" s="2"/>
      <c r="X7" s="2">
        <v>2005</v>
      </c>
      <c r="Z7" s="2" t="s">
        <v>563</v>
      </c>
      <c r="AA7" s="2">
        <v>6</v>
      </c>
      <c r="AB7" s="27" t="s">
        <v>572</v>
      </c>
      <c r="AC7" s="29" t="s">
        <v>1326</v>
      </c>
      <c r="AF7" t="s">
        <v>2113</v>
      </c>
      <c r="AG7">
        <v>16</v>
      </c>
    </row>
    <row r="8" spans="1:33" ht="15" x14ac:dyDescent="0.25">
      <c r="C8" s="4"/>
      <c r="D8" s="10"/>
      <c r="E8" s="6" t="s">
        <v>533</v>
      </c>
      <c r="F8" s="2">
        <v>7</v>
      </c>
      <c r="G8" s="7" t="s">
        <v>532</v>
      </c>
      <c r="H8" s="5">
        <f>H7+1</f>
        <v>122</v>
      </c>
      <c r="I8" s="5" t="s">
        <v>175</v>
      </c>
      <c r="J8" s="5">
        <v>1</v>
      </c>
      <c r="M8" t="s">
        <v>2116</v>
      </c>
      <c r="N8">
        <v>20</v>
      </c>
      <c r="Q8" s="6" t="s">
        <v>2097</v>
      </c>
      <c r="R8" s="2">
        <v>7</v>
      </c>
      <c r="S8" s="24" t="s">
        <v>12</v>
      </c>
      <c r="T8" s="24">
        <v>36</v>
      </c>
      <c r="U8" s="23" t="s">
        <v>241</v>
      </c>
      <c r="V8" s="23">
        <v>1</v>
      </c>
      <c r="W8" s="2"/>
      <c r="X8" s="2">
        <v>2006</v>
      </c>
      <c r="Z8" s="2" t="s">
        <v>564</v>
      </c>
      <c r="AA8" s="2">
        <v>12</v>
      </c>
      <c r="AB8" s="27" t="s">
        <v>573</v>
      </c>
      <c r="AC8" s="29" t="s">
        <v>1327</v>
      </c>
      <c r="AF8" t="s">
        <v>2116</v>
      </c>
      <c r="AG8">
        <v>20</v>
      </c>
    </row>
    <row r="9" spans="1:33" ht="15" x14ac:dyDescent="0.25">
      <c r="E9" s="6" t="s">
        <v>537</v>
      </c>
      <c r="F9" s="2">
        <v>8</v>
      </c>
      <c r="G9" s="7" t="s">
        <v>501</v>
      </c>
      <c r="H9" s="5">
        <v>130</v>
      </c>
      <c r="I9" s="5" t="s">
        <v>175</v>
      </c>
      <c r="J9" s="5">
        <v>1</v>
      </c>
      <c r="M9" t="s">
        <v>2313</v>
      </c>
      <c r="N9">
        <v>660</v>
      </c>
      <c r="S9" s="24" t="s">
        <v>186</v>
      </c>
      <c r="T9" s="24">
        <v>37</v>
      </c>
      <c r="U9" s="24" t="s">
        <v>242</v>
      </c>
      <c r="V9" s="24">
        <v>1</v>
      </c>
      <c r="W9" s="2"/>
      <c r="X9" s="2">
        <v>2007</v>
      </c>
      <c r="AB9" s="27" t="s">
        <v>574</v>
      </c>
      <c r="AC9" s="29" t="s">
        <v>1328</v>
      </c>
      <c r="AF9" t="s">
        <v>2313</v>
      </c>
      <c r="AG9">
        <v>660</v>
      </c>
    </row>
    <row r="10" spans="1:33" ht="15" x14ac:dyDescent="0.25">
      <c r="C10" s="4"/>
      <c r="D10" s="10"/>
      <c r="E10" s="11"/>
      <c r="F10" s="22"/>
      <c r="G10" s="7" t="s">
        <v>499</v>
      </c>
      <c r="H10" s="5">
        <f>H9+1</f>
        <v>131</v>
      </c>
      <c r="I10" s="5" t="s">
        <v>175</v>
      </c>
      <c r="J10" s="5">
        <v>1</v>
      </c>
      <c r="M10" t="s">
        <v>2120</v>
      </c>
      <c r="N10">
        <v>24</v>
      </c>
      <c r="S10" s="24" t="s">
        <v>187</v>
      </c>
      <c r="T10" s="24">
        <v>40</v>
      </c>
      <c r="U10" s="23"/>
      <c r="V10" s="23">
        <v>1</v>
      </c>
      <c r="W10" s="2"/>
      <c r="X10" s="2">
        <v>2008</v>
      </c>
      <c r="AB10" s="27" t="s">
        <v>575</v>
      </c>
      <c r="AC10" s="29" t="s">
        <v>1329</v>
      </c>
      <c r="AF10" t="s">
        <v>2120</v>
      </c>
      <c r="AG10">
        <v>24</v>
      </c>
    </row>
    <row r="11" spans="1:33" ht="15" x14ac:dyDescent="0.25">
      <c r="C11" s="4"/>
      <c r="D11" s="10"/>
      <c r="E11" s="11"/>
      <c r="F11" s="22"/>
      <c r="G11" s="6" t="s">
        <v>551</v>
      </c>
      <c r="H11" s="5">
        <f>H10+1</f>
        <v>132</v>
      </c>
      <c r="I11" s="5" t="s">
        <v>175</v>
      </c>
      <c r="J11" s="5">
        <v>1</v>
      </c>
      <c r="M11" t="s">
        <v>2107</v>
      </c>
      <c r="N11">
        <v>10</v>
      </c>
      <c r="S11" s="24" t="s">
        <v>32</v>
      </c>
      <c r="T11" s="24">
        <v>44</v>
      </c>
      <c r="U11" s="24" t="s">
        <v>243</v>
      </c>
      <c r="V11" s="24">
        <v>1</v>
      </c>
      <c r="W11" s="2"/>
      <c r="X11" s="2">
        <v>2009</v>
      </c>
      <c r="AB11" s="27" t="s">
        <v>576</v>
      </c>
      <c r="AC11" s="29" t="s">
        <v>1330</v>
      </c>
      <c r="AF11" t="s">
        <v>2107</v>
      </c>
      <c r="AG11">
        <v>10</v>
      </c>
    </row>
    <row r="12" spans="1:33" ht="15" x14ac:dyDescent="0.25">
      <c r="C12" s="4"/>
      <c r="D12" s="10"/>
      <c r="E12" s="11"/>
      <c r="F12" s="22"/>
      <c r="G12" s="7" t="s">
        <v>507</v>
      </c>
      <c r="H12" s="5">
        <v>140</v>
      </c>
      <c r="I12" s="5" t="s">
        <v>175</v>
      </c>
      <c r="J12" s="5">
        <v>1</v>
      </c>
      <c r="M12" t="s">
        <v>2124</v>
      </c>
      <c r="N12">
        <v>28</v>
      </c>
      <c r="S12" s="24" t="s">
        <v>26</v>
      </c>
      <c r="T12" s="24">
        <v>48</v>
      </c>
      <c r="U12" s="23" t="s">
        <v>244</v>
      </c>
      <c r="V12" s="23">
        <v>1</v>
      </c>
      <c r="W12" s="2"/>
      <c r="X12" s="2">
        <v>2010</v>
      </c>
      <c r="AB12" s="27" t="s">
        <v>577</v>
      </c>
      <c r="AC12" s="29" t="s">
        <v>1331</v>
      </c>
      <c r="AF12" t="s">
        <v>2124</v>
      </c>
      <c r="AG12">
        <v>28</v>
      </c>
    </row>
    <row r="13" spans="1:33" ht="15" x14ac:dyDescent="0.25">
      <c r="C13" s="4"/>
      <c r="D13" s="10"/>
      <c r="E13" s="11"/>
      <c r="F13" s="22"/>
      <c r="G13" s="7" t="s">
        <v>2389</v>
      </c>
      <c r="H13" s="5">
        <f t="shared" ref="H13:H19" si="0">H12+1</f>
        <v>141</v>
      </c>
      <c r="I13" s="5" t="s">
        <v>175</v>
      </c>
      <c r="J13" s="5">
        <v>1</v>
      </c>
      <c r="M13" t="s">
        <v>2127</v>
      </c>
      <c r="N13">
        <v>32</v>
      </c>
      <c r="S13" s="24" t="s">
        <v>24</v>
      </c>
      <c r="T13" s="24">
        <v>50</v>
      </c>
      <c r="U13" s="24" t="s">
        <v>245</v>
      </c>
      <c r="V13" s="24">
        <v>1</v>
      </c>
      <c r="W13" s="2"/>
      <c r="X13" s="2">
        <v>2011</v>
      </c>
      <c r="AB13" s="27" t="s">
        <v>578</v>
      </c>
      <c r="AC13" s="29" t="s">
        <v>1332</v>
      </c>
      <c r="AF13" t="s">
        <v>2127</v>
      </c>
      <c r="AG13">
        <v>32</v>
      </c>
    </row>
    <row r="14" spans="1:33" ht="15" x14ac:dyDescent="0.25">
      <c r="C14" s="4"/>
      <c r="D14" s="10"/>
      <c r="E14" s="11"/>
      <c r="F14" s="22"/>
      <c r="G14" s="7" t="s">
        <v>508</v>
      </c>
      <c r="H14" s="5">
        <v>150</v>
      </c>
      <c r="I14" s="5" t="s">
        <v>175</v>
      </c>
      <c r="J14" s="5">
        <v>1</v>
      </c>
      <c r="M14" t="s">
        <v>2276</v>
      </c>
      <c r="N14">
        <v>533</v>
      </c>
      <c r="S14" s="24" t="s">
        <v>17</v>
      </c>
      <c r="T14" s="24">
        <v>51</v>
      </c>
      <c r="U14" s="23" t="s">
        <v>246</v>
      </c>
      <c r="V14" s="23">
        <v>1</v>
      </c>
      <c r="W14" s="2"/>
      <c r="X14" s="2">
        <v>2012</v>
      </c>
      <c r="AB14" s="27" t="s">
        <v>579</v>
      </c>
      <c r="AC14" s="29" t="s">
        <v>1333</v>
      </c>
      <c r="AF14" t="s">
        <v>2276</v>
      </c>
      <c r="AG14">
        <v>533</v>
      </c>
    </row>
    <row r="15" spans="1:33" ht="15" x14ac:dyDescent="0.25">
      <c r="C15" s="4"/>
      <c r="D15" s="10"/>
      <c r="E15" s="11"/>
      <c r="F15" s="22"/>
      <c r="G15" s="7" t="s">
        <v>509</v>
      </c>
      <c r="H15" s="5">
        <f t="shared" si="0"/>
        <v>151</v>
      </c>
      <c r="I15" s="5" t="s">
        <v>175</v>
      </c>
      <c r="J15" s="5">
        <v>1</v>
      </c>
      <c r="M15" t="s">
        <v>2134</v>
      </c>
      <c r="N15">
        <v>45</v>
      </c>
      <c r="S15" s="24" t="s">
        <v>23</v>
      </c>
      <c r="T15" s="24">
        <v>52</v>
      </c>
      <c r="U15" s="24" t="s">
        <v>247</v>
      </c>
      <c r="V15" s="24">
        <v>1</v>
      </c>
      <c r="W15" s="2"/>
      <c r="X15" s="2">
        <v>2013</v>
      </c>
      <c r="AB15" s="27" t="s">
        <v>580</v>
      </c>
      <c r="AC15" s="29" t="s">
        <v>1334</v>
      </c>
      <c r="AF15" t="s">
        <v>2134</v>
      </c>
      <c r="AG15">
        <v>45</v>
      </c>
    </row>
    <row r="16" spans="1:33" ht="15" x14ac:dyDescent="0.25">
      <c r="C16" s="4"/>
      <c r="D16" s="10"/>
      <c r="E16" s="11"/>
      <c r="F16" s="22"/>
      <c r="G16" s="7" t="s">
        <v>510</v>
      </c>
      <c r="H16" s="5">
        <f t="shared" si="0"/>
        <v>152</v>
      </c>
      <c r="I16" s="5" t="s">
        <v>175</v>
      </c>
      <c r="J16" s="5">
        <v>1</v>
      </c>
      <c r="M16" t="s">
        <v>2132</v>
      </c>
      <c r="N16">
        <v>43</v>
      </c>
      <c r="S16" s="24" t="s">
        <v>188</v>
      </c>
      <c r="T16" s="24">
        <v>56</v>
      </c>
      <c r="U16" s="23"/>
      <c r="V16" s="23">
        <v>1</v>
      </c>
      <c r="W16" s="2"/>
      <c r="X16" s="2">
        <v>2014</v>
      </c>
      <c r="AB16" s="27" t="s">
        <v>581</v>
      </c>
      <c r="AC16" s="29" t="s">
        <v>1335</v>
      </c>
      <c r="AF16" t="s">
        <v>2132</v>
      </c>
      <c r="AG16">
        <v>43</v>
      </c>
    </row>
    <row r="17" spans="3:33" ht="15" x14ac:dyDescent="0.25">
      <c r="C17" s="4"/>
      <c r="D17" s="10"/>
      <c r="E17" s="11"/>
      <c r="F17" s="22"/>
      <c r="G17" s="7" t="s">
        <v>511</v>
      </c>
      <c r="H17" s="5">
        <f t="shared" si="0"/>
        <v>153</v>
      </c>
      <c r="I17" s="5" t="s">
        <v>175</v>
      </c>
      <c r="J17" s="5">
        <v>1</v>
      </c>
      <c r="M17" t="s">
        <v>2114</v>
      </c>
      <c r="N17">
        <v>18</v>
      </c>
      <c r="Q17" s="22"/>
      <c r="S17" s="24" t="s">
        <v>28</v>
      </c>
      <c r="T17" s="24">
        <v>60</v>
      </c>
      <c r="U17" s="24" t="s">
        <v>248</v>
      </c>
      <c r="V17" s="24">
        <v>1</v>
      </c>
      <c r="W17" s="2"/>
      <c r="X17" s="2">
        <v>2015</v>
      </c>
      <c r="AB17" s="27" t="s">
        <v>582</v>
      </c>
      <c r="AC17" s="29" t="s">
        <v>1336</v>
      </c>
      <c r="AF17" t="s">
        <v>2114</v>
      </c>
      <c r="AG17">
        <v>18</v>
      </c>
    </row>
    <row r="18" spans="3:33" ht="15" x14ac:dyDescent="0.25">
      <c r="C18" s="4"/>
      <c r="D18" s="10"/>
      <c r="E18" s="11"/>
      <c r="F18" s="22"/>
      <c r="G18" s="7" t="s">
        <v>512</v>
      </c>
      <c r="H18" s="5">
        <v>160</v>
      </c>
      <c r="I18" s="5" t="s">
        <v>175</v>
      </c>
      <c r="J18" s="5">
        <v>1</v>
      </c>
      <c r="M18" t="s">
        <v>2130</v>
      </c>
      <c r="N18">
        <v>36</v>
      </c>
      <c r="Q18" s="22"/>
      <c r="S18" s="24" t="s">
        <v>33</v>
      </c>
      <c r="T18" s="24">
        <v>64</v>
      </c>
      <c r="U18" s="23" t="s">
        <v>249</v>
      </c>
      <c r="V18" s="23">
        <v>1</v>
      </c>
      <c r="W18" s="2"/>
      <c r="X18" s="2">
        <v>2016</v>
      </c>
      <c r="AB18" s="27" t="s">
        <v>583</v>
      </c>
      <c r="AC18" s="29" t="s">
        <v>1337</v>
      </c>
      <c r="AF18" t="s">
        <v>2130</v>
      </c>
      <c r="AG18">
        <v>36</v>
      </c>
    </row>
    <row r="19" spans="3:33" ht="15" x14ac:dyDescent="0.25">
      <c r="C19" s="4"/>
      <c r="D19" s="10"/>
      <c r="E19" s="11"/>
      <c r="F19" s="22"/>
      <c r="G19" s="7" t="s">
        <v>513</v>
      </c>
      <c r="H19" s="5">
        <f t="shared" si="0"/>
        <v>161</v>
      </c>
      <c r="I19" s="5" t="s">
        <v>175</v>
      </c>
      <c r="J19" s="5">
        <v>1</v>
      </c>
      <c r="M19" t="s">
        <v>2131</v>
      </c>
      <c r="N19">
        <v>40</v>
      </c>
      <c r="Q19" s="22"/>
      <c r="S19" s="24" t="s">
        <v>30</v>
      </c>
      <c r="T19" s="24">
        <v>68</v>
      </c>
      <c r="U19" s="24" t="s">
        <v>250</v>
      </c>
      <c r="V19" s="24">
        <v>1</v>
      </c>
      <c r="W19" s="2"/>
      <c r="X19" s="2">
        <v>2017</v>
      </c>
      <c r="AB19" s="27" t="s">
        <v>584</v>
      </c>
      <c r="AC19" s="29" t="s">
        <v>1338</v>
      </c>
      <c r="AF19" t="s">
        <v>2131</v>
      </c>
      <c r="AG19">
        <v>40</v>
      </c>
    </row>
    <row r="20" spans="3:33" ht="15" x14ac:dyDescent="0.25">
      <c r="C20" s="4"/>
      <c r="D20" s="10"/>
      <c r="E20" s="11"/>
      <c r="F20" s="22"/>
      <c r="G20" s="7" t="s">
        <v>2398</v>
      </c>
      <c r="H20" s="5">
        <f>H19+1</f>
        <v>162</v>
      </c>
      <c r="I20" s="5" t="s">
        <v>175</v>
      </c>
      <c r="J20" s="5">
        <v>1</v>
      </c>
      <c r="M20" t="s">
        <v>2126</v>
      </c>
      <c r="N20">
        <v>31</v>
      </c>
      <c r="Q20" s="22"/>
      <c r="S20" s="24" t="s">
        <v>34</v>
      </c>
      <c r="T20" s="24">
        <v>72</v>
      </c>
      <c r="U20" s="23" t="s">
        <v>251</v>
      </c>
      <c r="V20" s="23">
        <v>1</v>
      </c>
      <c r="W20" s="2"/>
      <c r="X20" s="2">
        <v>2018</v>
      </c>
      <c r="AB20" s="27" t="s">
        <v>585</v>
      </c>
      <c r="AC20" s="29" t="s">
        <v>1339</v>
      </c>
      <c r="AF20" t="s">
        <v>2133</v>
      </c>
      <c r="AG20">
        <v>44</v>
      </c>
    </row>
    <row r="21" spans="3:33" ht="15" x14ac:dyDescent="0.25">
      <c r="C21" s="4"/>
      <c r="D21" s="10"/>
      <c r="E21" s="11"/>
      <c r="F21" s="22"/>
      <c r="G21" s="7" t="s">
        <v>514</v>
      </c>
      <c r="H21" s="5">
        <f>H20+1</f>
        <v>163</v>
      </c>
      <c r="I21" s="5" t="s">
        <v>175</v>
      </c>
      <c r="J21" s="5">
        <v>1</v>
      </c>
      <c r="M21" t="s">
        <v>2133</v>
      </c>
      <c r="N21">
        <v>44</v>
      </c>
      <c r="Q21" s="22"/>
      <c r="S21" s="24" t="s">
        <v>36</v>
      </c>
      <c r="T21" s="24">
        <v>84</v>
      </c>
      <c r="U21" s="24" t="s">
        <v>252</v>
      </c>
      <c r="V21" s="24">
        <v>1</v>
      </c>
      <c r="W21" s="2"/>
      <c r="X21" s="2">
        <v>2019</v>
      </c>
      <c r="AB21" s="27" t="s">
        <v>586</v>
      </c>
      <c r="AC21" s="29" t="s">
        <v>1340</v>
      </c>
      <c r="AF21" t="s">
        <v>2137</v>
      </c>
      <c r="AG21">
        <v>50</v>
      </c>
    </row>
    <row r="22" spans="3:33" ht="15" x14ac:dyDescent="0.25">
      <c r="C22" s="4"/>
      <c r="D22" s="10"/>
      <c r="E22" s="11"/>
      <c r="F22" s="22"/>
      <c r="G22" s="7" t="s">
        <v>500</v>
      </c>
      <c r="H22" s="5">
        <v>170</v>
      </c>
      <c r="I22" s="5" t="s">
        <v>175</v>
      </c>
      <c r="J22" s="5">
        <v>1</v>
      </c>
      <c r="M22" t="s">
        <v>2137</v>
      </c>
      <c r="N22">
        <v>50</v>
      </c>
      <c r="Q22" s="22"/>
      <c r="S22" s="24" t="s">
        <v>107</v>
      </c>
      <c r="T22" s="24">
        <v>90</v>
      </c>
      <c r="U22" s="23" t="s">
        <v>253</v>
      </c>
      <c r="V22" s="23">
        <v>1</v>
      </c>
      <c r="W22" s="2"/>
      <c r="X22" s="2">
        <v>2020</v>
      </c>
      <c r="AB22" s="27" t="s">
        <v>587</v>
      </c>
      <c r="AC22" s="29" t="s">
        <v>1341</v>
      </c>
      <c r="AF22" t="s">
        <v>2139</v>
      </c>
      <c r="AG22">
        <v>52</v>
      </c>
    </row>
    <row r="23" spans="3:33" ht="15" x14ac:dyDescent="0.25">
      <c r="C23" s="4"/>
      <c r="D23" s="10"/>
      <c r="E23" s="11"/>
      <c r="F23" s="22"/>
      <c r="G23" s="7" t="s">
        <v>539</v>
      </c>
      <c r="H23" s="5">
        <f t="shared" ref="H23:H42" si="1">H2+100</f>
        <v>200</v>
      </c>
      <c r="I23" s="5" t="s">
        <v>176</v>
      </c>
      <c r="J23" s="5">
        <v>2</v>
      </c>
      <c r="M23" t="s">
        <v>2139</v>
      </c>
      <c r="N23">
        <v>52</v>
      </c>
      <c r="Q23" s="22"/>
      <c r="S23" s="24" t="s">
        <v>29</v>
      </c>
      <c r="T23" s="24">
        <v>96</v>
      </c>
      <c r="U23" s="24" t="s">
        <v>254</v>
      </c>
      <c r="V23" s="24">
        <v>1</v>
      </c>
      <c r="W23" s="2"/>
      <c r="X23" s="2">
        <v>2021</v>
      </c>
      <c r="AB23" s="27" t="s">
        <v>588</v>
      </c>
      <c r="AC23" s="29" t="s">
        <v>1342</v>
      </c>
      <c r="AF23" t="s">
        <v>2136</v>
      </c>
      <c r="AG23">
        <v>48</v>
      </c>
    </row>
    <row r="24" spans="3:33" ht="15" x14ac:dyDescent="0.25">
      <c r="C24" s="4"/>
      <c r="D24" s="10"/>
      <c r="E24" s="11"/>
      <c r="F24" s="22"/>
      <c r="G24" s="7" t="s">
        <v>515</v>
      </c>
      <c r="H24" s="5">
        <f t="shared" si="1"/>
        <v>210</v>
      </c>
      <c r="I24" s="5" t="s">
        <v>176</v>
      </c>
      <c r="J24" s="5">
        <v>2</v>
      </c>
      <c r="M24" t="s">
        <v>2136</v>
      </c>
      <c r="N24">
        <v>48</v>
      </c>
      <c r="S24" s="24" t="s">
        <v>79</v>
      </c>
      <c r="T24" s="24">
        <v>104</v>
      </c>
      <c r="U24" s="23" t="s">
        <v>255</v>
      </c>
      <c r="V24" s="23">
        <v>1</v>
      </c>
      <c r="W24" s="2"/>
      <c r="X24" s="2">
        <v>2022</v>
      </c>
      <c r="AB24" s="27" t="s">
        <v>589</v>
      </c>
      <c r="AC24" s="29" t="s">
        <v>1343</v>
      </c>
      <c r="AF24" t="s">
        <v>2156</v>
      </c>
      <c r="AG24">
        <v>112</v>
      </c>
    </row>
    <row r="25" spans="3:33" ht="15" x14ac:dyDescent="0.25">
      <c r="C25" s="4"/>
      <c r="D25" s="10"/>
      <c r="E25" s="11"/>
      <c r="F25" s="22"/>
      <c r="G25" s="7" t="s">
        <v>516</v>
      </c>
      <c r="H25" s="5">
        <f t="shared" si="1"/>
        <v>211</v>
      </c>
      <c r="I25" s="5" t="s">
        <v>176</v>
      </c>
      <c r="J25" s="5">
        <v>2</v>
      </c>
      <c r="M25" t="s">
        <v>2156</v>
      </c>
      <c r="N25">
        <v>112</v>
      </c>
      <c r="S25" s="24" t="s">
        <v>27</v>
      </c>
      <c r="T25" s="24">
        <v>108</v>
      </c>
      <c r="U25" s="24" t="s">
        <v>256</v>
      </c>
      <c r="V25" s="24">
        <v>1</v>
      </c>
      <c r="W25" s="2"/>
      <c r="X25" s="2">
        <v>2023</v>
      </c>
      <c r="AB25" s="27" t="s">
        <v>590</v>
      </c>
      <c r="AC25" s="29" t="s">
        <v>1344</v>
      </c>
      <c r="AF25" t="s">
        <v>2140</v>
      </c>
      <c r="AG25">
        <v>56</v>
      </c>
    </row>
    <row r="26" spans="3:33" ht="15" x14ac:dyDescent="0.25">
      <c r="C26" s="4"/>
      <c r="D26" s="10"/>
      <c r="E26" s="11"/>
      <c r="F26" s="22"/>
      <c r="G26" s="7" t="s">
        <v>517</v>
      </c>
      <c r="H26" s="5">
        <f t="shared" si="1"/>
        <v>212</v>
      </c>
      <c r="I26" s="5" t="s">
        <v>176</v>
      </c>
      <c r="J26" s="5">
        <v>2</v>
      </c>
      <c r="M26" t="s">
        <v>2140</v>
      </c>
      <c r="N26">
        <v>56</v>
      </c>
      <c r="S26" s="24" t="s">
        <v>189</v>
      </c>
      <c r="T26" s="24">
        <v>116</v>
      </c>
      <c r="U26" s="23" t="s">
        <v>257</v>
      </c>
      <c r="V26" s="23">
        <v>1</v>
      </c>
      <c r="W26" s="2"/>
      <c r="X26" s="2">
        <v>2024</v>
      </c>
      <c r="AB26" s="27" t="s">
        <v>591</v>
      </c>
      <c r="AC26" s="29" t="s">
        <v>1345</v>
      </c>
      <c r="AF26" t="s">
        <v>2148</v>
      </c>
      <c r="AG26">
        <v>84</v>
      </c>
    </row>
    <row r="27" spans="3:33" ht="15" x14ac:dyDescent="0.25">
      <c r="C27" s="4"/>
      <c r="D27" s="10"/>
      <c r="E27" s="11"/>
      <c r="F27" s="22"/>
      <c r="G27" s="7" t="s">
        <v>518</v>
      </c>
      <c r="H27" s="5">
        <f t="shared" si="1"/>
        <v>220</v>
      </c>
      <c r="I27" s="5" t="s">
        <v>176</v>
      </c>
      <c r="J27" s="5">
        <v>2</v>
      </c>
      <c r="M27" t="s">
        <v>2148</v>
      </c>
      <c r="N27">
        <v>84</v>
      </c>
      <c r="S27" s="24" t="s">
        <v>4</v>
      </c>
      <c r="T27" s="24">
        <v>124</v>
      </c>
      <c r="U27" s="24" t="s">
        <v>258</v>
      </c>
      <c r="V27" s="24">
        <v>1</v>
      </c>
      <c r="W27" s="2"/>
      <c r="X27" s="2">
        <v>2025</v>
      </c>
      <c r="AB27" s="27" t="s">
        <v>592</v>
      </c>
      <c r="AC27" s="29" t="s">
        <v>1346</v>
      </c>
      <c r="AF27" t="s">
        <v>2181</v>
      </c>
      <c r="AG27">
        <v>204</v>
      </c>
    </row>
    <row r="28" spans="3:33" ht="15" x14ac:dyDescent="0.25">
      <c r="C28" s="4"/>
      <c r="D28" s="10"/>
      <c r="E28" s="11"/>
      <c r="F28" s="22"/>
      <c r="G28" s="7" t="s">
        <v>519</v>
      </c>
      <c r="H28" s="5">
        <f t="shared" si="1"/>
        <v>221</v>
      </c>
      <c r="I28" s="5" t="s">
        <v>176</v>
      </c>
      <c r="J28" s="5">
        <v>2</v>
      </c>
      <c r="M28" t="s">
        <v>2181</v>
      </c>
      <c r="N28">
        <v>204</v>
      </c>
      <c r="S28" s="24" t="s">
        <v>44</v>
      </c>
      <c r="T28" s="24">
        <v>132</v>
      </c>
      <c r="U28" s="23" t="s">
        <v>259</v>
      </c>
      <c r="V28" s="23">
        <v>1</v>
      </c>
      <c r="W28" s="2"/>
      <c r="X28" s="2">
        <v>2026</v>
      </c>
      <c r="AB28" s="27" t="s">
        <v>593</v>
      </c>
      <c r="AC28" s="29" t="s">
        <v>1347</v>
      </c>
      <c r="AF28" t="s">
        <v>2141</v>
      </c>
      <c r="AG28">
        <v>60</v>
      </c>
    </row>
    <row r="29" spans="3:33" ht="15" x14ac:dyDescent="0.25">
      <c r="C29" s="4"/>
      <c r="D29" s="10"/>
      <c r="E29" s="11"/>
      <c r="F29" s="22"/>
      <c r="G29" s="7" t="s">
        <v>520</v>
      </c>
      <c r="H29" s="5">
        <f t="shared" si="1"/>
        <v>222</v>
      </c>
      <c r="I29" s="5" t="s">
        <v>176</v>
      </c>
      <c r="J29" s="5">
        <v>2</v>
      </c>
      <c r="M29" t="s">
        <v>2141</v>
      </c>
      <c r="N29">
        <v>60</v>
      </c>
      <c r="S29" s="24" t="s">
        <v>66</v>
      </c>
      <c r="T29" s="24">
        <v>136</v>
      </c>
      <c r="U29" s="24" t="s">
        <v>260</v>
      </c>
      <c r="V29" s="24">
        <v>1</v>
      </c>
      <c r="W29" s="2"/>
      <c r="X29" s="2">
        <v>2027</v>
      </c>
      <c r="AB29" s="27" t="s">
        <v>594</v>
      </c>
      <c r="AC29" s="29" t="s">
        <v>1348</v>
      </c>
      <c r="AF29" t="s">
        <v>2112</v>
      </c>
      <c r="AG29">
        <v>15</v>
      </c>
    </row>
    <row r="30" spans="3:33" ht="15" x14ac:dyDescent="0.25">
      <c r="C30" s="4"/>
      <c r="D30" s="10"/>
      <c r="E30" s="11"/>
      <c r="F30" s="22"/>
      <c r="G30" s="7" t="s">
        <v>521</v>
      </c>
      <c r="H30" s="5">
        <f t="shared" si="1"/>
        <v>230</v>
      </c>
      <c r="I30" s="5" t="s">
        <v>176</v>
      </c>
      <c r="J30" s="5">
        <v>2</v>
      </c>
      <c r="M30" t="s">
        <v>2112</v>
      </c>
      <c r="N30">
        <v>15</v>
      </c>
      <c r="S30" s="24" t="s">
        <v>70</v>
      </c>
      <c r="T30" s="24">
        <v>144</v>
      </c>
      <c r="U30" s="23" t="s">
        <v>261</v>
      </c>
      <c r="V30" s="23">
        <v>1</v>
      </c>
      <c r="W30" s="2"/>
      <c r="X30" s="2">
        <v>2028</v>
      </c>
      <c r="AB30" s="27" t="s">
        <v>595</v>
      </c>
      <c r="AC30" s="29" t="s">
        <v>1349</v>
      </c>
      <c r="AF30" t="s">
        <v>2119</v>
      </c>
      <c r="AG30">
        <v>23</v>
      </c>
    </row>
    <row r="31" spans="3:33" ht="15" x14ac:dyDescent="0.25">
      <c r="C31" s="4"/>
      <c r="D31" s="10"/>
      <c r="E31" s="11"/>
      <c r="F31" s="22"/>
      <c r="G31" s="7" t="s">
        <v>522</v>
      </c>
      <c r="H31" s="5">
        <f t="shared" si="1"/>
        <v>231</v>
      </c>
      <c r="I31" s="5" t="s">
        <v>176</v>
      </c>
      <c r="J31" s="5">
        <v>2</v>
      </c>
      <c r="M31" t="s">
        <v>2119</v>
      </c>
      <c r="N31">
        <v>23</v>
      </c>
      <c r="S31" s="24" t="s">
        <v>38</v>
      </c>
      <c r="T31" s="24">
        <v>152</v>
      </c>
      <c r="U31" s="24" t="s">
        <v>262</v>
      </c>
      <c r="V31" s="24">
        <v>100</v>
      </c>
      <c r="W31" s="2"/>
      <c r="X31" s="2">
        <v>2029</v>
      </c>
      <c r="AB31" s="27" t="s">
        <v>596</v>
      </c>
      <c r="AC31" s="29" t="s">
        <v>1350</v>
      </c>
      <c r="AF31" t="s">
        <v>2123</v>
      </c>
      <c r="AG31">
        <v>27</v>
      </c>
    </row>
    <row r="32" spans="3:33" ht="15" x14ac:dyDescent="0.25">
      <c r="C32" s="4"/>
      <c r="D32" s="10"/>
      <c r="E32" s="11"/>
      <c r="F32" s="22"/>
      <c r="G32" s="7" t="s">
        <v>552</v>
      </c>
      <c r="H32" s="5">
        <f t="shared" si="1"/>
        <v>232</v>
      </c>
      <c r="I32" s="5" t="s">
        <v>176</v>
      </c>
      <c r="J32" s="5">
        <v>2</v>
      </c>
      <c r="M32" t="s">
        <v>2123</v>
      </c>
      <c r="N32">
        <v>27</v>
      </c>
      <c r="S32" s="24" t="s">
        <v>39</v>
      </c>
      <c r="T32" s="24">
        <v>156</v>
      </c>
      <c r="U32" s="23" t="s">
        <v>263</v>
      </c>
      <c r="V32" s="23">
        <v>1</v>
      </c>
      <c r="W32" s="2"/>
      <c r="X32" s="2">
        <v>2030</v>
      </c>
      <c r="AB32" s="27" t="s">
        <v>597</v>
      </c>
      <c r="AC32" s="29" t="s">
        <v>1351</v>
      </c>
      <c r="AF32" t="s">
        <v>2103</v>
      </c>
      <c r="AG32">
        <v>3</v>
      </c>
    </row>
    <row r="33" spans="3:33" ht="15" x14ac:dyDescent="0.25">
      <c r="C33" s="4"/>
      <c r="D33" s="10"/>
      <c r="E33" s="11"/>
      <c r="F33" s="22"/>
      <c r="G33" s="7" t="s">
        <v>523</v>
      </c>
      <c r="H33" s="5">
        <f t="shared" si="1"/>
        <v>240</v>
      </c>
      <c r="I33" s="5" t="s">
        <v>176</v>
      </c>
      <c r="J33" s="5">
        <v>2</v>
      </c>
      <c r="M33" t="s">
        <v>2103</v>
      </c>
      <c r="N33">
        <v>3</v>
      </c>
      <c r="S33" s="24" t="s">
        <v>40</v>
      </c>
      <c r="T33" s="24">
        <v>170</v>
      </c>
      <c r="U33" s="24" t="s">
        <v>264</v>
      </c>
      <c r="V33" s="24">
        <v>1</v>
      </c>
      <c r="W33" s="2"/>
      <c r="X33" s="2">
        <v>2031</v>
      </c>
      <c r="AB33" s="27" t="s">
        <v>598</v>
      </c>
      <c r="AC33" s="29" t="s">
        <v>1352</v>
      </c>
      <c r="AF33" t="s">
        <v>2348</v>
      </c>
      <c r="AG33">
        <v>784</v>
      </c>
    </row>
    <row r="34" spans="3:33" ht="15" x14ac:dyDescent="0.25">
      <c r="C34" s="4"/>
      <c r="D34" s="10"/>
      <c r="E34" s="11"/>
      <c r="F34" s="22"/>
      <c r="G34" s="7" t="s">
        <v>2390</v>
      </c>
      <c r="H34" s="5">
        <f t="shared" si="1"/>
        <v>241</v>
      </c>
      <c r="I34" s="5" t="s">
        <v>176</v>
      </c>
      <c r="J34" s="5">
        <v>2</v>
      </c>
      <c r="M34" t="s">
        <v>2348</v>
      </c>
      <c r="N34">
        <v>784</v>
      </c>
      <c r="S34" s="24" t="s">
        <v>190</v>
      </c>
      <c r="T34" s="24">
        <v>174</v>
      </c>
      <c r="U34" s="23" t="s">
        <v>265</v>
      </c>
      <c r="V34" s="23">
        <v>1</v>
      </c>
      <c r="W34" s="2"/>
      <c r="X34" s="2">
        <v>2032</v>
      </c>
      <c r="AB34" s="27" t="s">
        <v>599</v>
      </c>
      <c r="AC34" s="29" t="s">
        <v>1353</v>
      </c>
      <c r="AF34" t="s">
        <v>2358</v>
      </c>
      <c r="AG34">
        <v>826</v>
      </c>
    </row>
    <row r="35" spans="3:33" ht="15" x14ac:dyDescent="0.25">
      <c r="C35" s="4"/>
      <c r="D35" s="10"/>
      <c r="E35" s="11"/>
      <c r="F35" s="22"/>
      <c r="G35" s="7" t="s">
        <v>524</v>
      </c>
      <c r="H35" s="5">
        <f t="shared" si="1"/>
        <v>250</v>
      </c>
      <c r="I35" s="5" t="s">
        <v>176</v>
      </c>
      <c r="J35" s="5">
        <v>2</v>
      </c>
      <c r="M35" t="s">
        <v>2358</v>
      </c>
      <c r="N35">
        <v>826</v>
      </c>
      <c r="S35" s="24" t="s">
        <v>41</v>
      </c>
      <c r="T35" s="24">
        <v>188</v>
      </c>
      <c r="U35" s="24" t="s">
        <v>266</v>
      </c>
      <c r="V35" s="24">
        <v>1</v>
      </c>
      <c r="W35" s="2"/>
      <c r="X35" s="2">
        <v>2033</v>
      </c>
      <c r="AB35" s="27" t="s">
        <v>600</v>
      </c>
      <c r="AC35" s="29" t="s">
        <v>1354</v>
      </c>
      <c r="AF35" t="s">
        <v>2149</v>
      </c>
      <c r="AG35">
        <v>86</v>
      </c>
    </row>
    <row r="36" spans="3:33" ht="15" x14ac:dyDescent="0.25">
      <c r="C36" s="4"/>
      <c r="D36" s="10"/>
      <c r="E36" s="11"/>
      <c r="F36" s="22"/>
      <c r="G36" s="7" t="s">
        <v>525</v>
      </c>
      <c r="H36" s="5">
        <f t="shared" si="1"/>
        <v>251</v>
      </c>
      <c r="I36" s="5" t="s">
        <v>176</v>
      </c>
      <c r="J36" s="5">
        <v>2</v>
      </c>
      <c r="M36" t="s">
        <v>2149</v>
      </c>
      <c r="N36">
        <v>86</v>
      </c>
      <c r="S36" s="24" t="s">
        <v>63</v>
      </c>
      <c r="T36" s="24">
        <v>191</v>
      </c>
      <c r="U36" s="23" t="s">
        <v>267</v>
      </c>
      <c r="V36" s="23">
        <v>1</v>
      </c>
      <c r="W36" s="2"/>
      <c r="X36" s="2">
        <v>2034</v>
      </c>
      <c r="AB36" s="27" t="s">
        <v>601</v>
      </c>
      <c r="AC36" s="29" t="s">
        <v>1355</v>
      </c>
      <c r="AF36" t="s">
        <v>2363</v>
      </c>
      <c r="AG36">
        <v>834</v>
      </c>
    </row>
    <row r="37" spans="3:33" ht="15" x14ac:dyDescent="0.25">
      <c r="C37" s="4"/>
      <c r="D37" s="10"/>
      <c r="E37" s="11"/>
      <c r="F37" s="22"/>
      <c r="G37" s="7" t="s">
        <v>526</v>
      </c>
      <c r="H37" s="5">
        <f t="shared" si="1"/>
        <v>252</v>
      </c>
      <c r="I37" s="5" t="s">
        <v>176</v>
      </c>
      <c r="J37" s="5">
        <v>2</v>
      </c>
      <c r="M37" t="s">
        <v>2363</v>
      </c>
      <c r="N37">
        <v>834</v>
      </c>
      <c r="S37" s="24" t="s">
        <v>43</v>
      </c>
      <c r="T37" s="24">
        <v>192</v>
      </c>
      <c r="U37" s="24" t="s">
        <v>268</v>
      </c>
      <c r="V37" s="24">
        <v>1</v>
      </c>
      <c r="W37" s="2"/>
      <c r="X37" s="2">
        <v>2035</v>
      </c>
      <c r="AB37" s="27" t="s">
        <v>602</v>
      </c>
      <c r="AC37" s="29" t="s">
        <v>1356</v>
      </c>
      <c r="AF37" t="s">
        <v>2143</v>
      </c>
      <c r="AG37">
        <v>68</v>
      </c>
    </row>
    <row r="38" spans="3:33" ht="15" x14ac:dyDescent="0.25">
      <c r="C38" s="4"/>
      <c r="D38" s="10"/>
      <c r="E38" s="11"/>
      <c r="F38" s="22"/>
      <c r="G38" s="7" t="s">
        <v>527</v>
      </c>
      <c r="H38" s="5">
        <f t="shared" si="1"/>
        <v>253</v>
      </c>
      <c r="I38" s="5" t="s">
        <v>176</v>
      </c>
      <c r="J38" s="5">
        <v>2</v>
      </c>
      <c r="M38" t="s">
        <v>2143</v>
      </c>
      <c r="N38">
        <v>68</v>
      </c>
      <c r="S38" s="24" t="s">
        <v>45</v>
      </c>
      <c r="T38" s="24">
        <v>203</v>
      </c>
      <c r="U38" s="23" t="s">
        <v>269</v>
      </c>
      <c r="V38" s="23">
        <v>1</v>
      </c>
      <c r="W38" s="2"/>
      <c r="X38" s="2">
        <v>2036</v>
      </c>
      <c r="AB38" s="27" t="s">
        <v>603</v>
      </c>
      <c r="AC38" s="29" t="s">
        <v>1357</v>
      </c>
      <c r="AF38" t="s">
        <v>2153</v>
      </c>
      <c r="AG38">
        <v>100</v>
      </c>
    </row>
    <row r="39" spans="3:33" ht="15" x14ac:dyDescent="0.25">
      <c r="C39" s="4"/>
      <c r="D39" s="10"/>
      <c r="E39" s="11"/>
      <c r="F39" s="22"/>
      <c r="G39" s="7" t="s">
        <v>528</v>
      </c>
      <c r="H39" s="5">
        <f t="shared" si="1"/>
        <v>260</v>
      </c>
      <c r="I39" s="5" t="s">
        <v>176</v>
      </c>
      <c r="J39" s="5">
        <v>2</v>
      </c>
      <c r="M39" t="s">
        <v>2153</v>
      </c>
      <c r="N39">
        <v>100</v>
      </c>
      <c r="S39" s="24" t="s">
        <v>47</v>
      </c>
      <c r="T39" s="24">
        <v>208</v>
      </c>
      <c r="U39" s="24" t="s">
        <v>270</v>
      </c>
      <c r="V39" s="24">
        <v>1</v>
      </c>
      <c r="W39" s="2"/>
      <c r="X39" s="2">
        <v>2037</v>
      </c>
      <c r="AB39" s="27" t="s">
        <v>604</v>
      </c>
      <c r="AC39" s="29" t="s">
        <v>1358</v>
      </c>
      <c r="AF39" t="s">
        <v>2278</v>
      </c>
      <c r="AG39">
        <v>535</v>
      </c>
    </row>
    <row r="40" spans="3:33" ht="15" x14ac:dyDescent="0.25">
      <c r="C40" s="4"/>
      <c r="D40" s="10"/>
      <c r="E40" s="11"/>
      <c r="F40" s="22"/>
      <c r="G40" s="7" t="s">
        <v>529</v>
      </c>
      <c r="H40" s="5">
        <f t="shared" si="1"/>
        <v>261</v>
      </c>
      <c r="I40" s="5" t="s">
        <v>176</v>
      </c>
      <c r="J40" s="5">
        <v>2</v>
      </c>
      <c r="M40" t="s">
        <v>2278</v>
      </c>
      <c r="N40">
        <v>535</v>
      </c>
      <c r="S40" s="24" t="s">
        <v>48</v>
      </c>
      <c r="T40" s="24">
        <v>214</v>
      </c>
      <c r="U40" s="23" t="s">
        <v>271</v>
      </c>
      <c r="V40" s="23">
        <v>1</v>
      </c>
      <c r="W40" s="2"/>
      <c r="X40" s="2">
        <v>2038</v>
      </c>
      <c r="AB40" s="27" t="s">
        <v>605</v>
      </c>
      <c r="AC40" s="29" t="s">
        <v>1359</v>
      </c>
      <c r="AF40" t="s">
        <v>2144</v>
      </c>
      <c r="AG40">
        <v>70</v>
      </c>
    </row>
    <row r="41" spans="3:33" ht="15" x14ac:dyDescent="0.25">
      <c r="C41" s="4"/>
      <c r="D41" s="10"/>
      <c r="E41" s="11"/>
      <c r="F41" s="22"/>
      <c r="G41" s="7" t="s">
        <v>530</v>
      </c>
      <c r="H41" s="5">
        <f t="shared" si="1"/>
        <v>262</v>
      </c>
      <c r="I41" s="5" t="s">
        <v>176</v>
      </c>
      <c r="J41" s="5">
        <v>2</v>
      </c>
      <c r="M41" t="s">
        <v>2144</v>
      </c>
      <c r="N41">
        <v>70</v>
      </c>
      <c r="S41" s="24" t="s">
        <v>191</v>
      </c>
      <c r="T41" s="24">
        <v>222</v>
      </c>
      <c r="U41" s="24" t="s">
        <v>272</v>
      </c>
      <c r="V41" s="24">
        <v>1</v>
      </c>
      <c r="W41" s="2"/>
      <c r="X41" s="2">
        <v>2039</v>
      </c>
      <c r="AB41" s="27" t="s">
        <v>606</v>
      </c>
      <c r="AC41" s="29" t="s">
        <v>1360</v>
      </c>
      <c r="AF41" t="s">
        <v>2145</v>
      </c>
      <c r="AG41">
        <v>72</v>
      </c>
    </row>
    <row r="42" spans="3:33" ht="15" x14ac:dyDescent="0.25">
      <c r="C42" s="4"/>
      <c r="D42" s="10"/>
      <c r="E42" s="11"/>
      <c r="F42" s="22"/>
      <c r="G42" s="7" t="s">
        <v>531</v>
      </c>
      <c r="H42" s="5">
        <f t="shared" si="1"/>
        <v>263</v>
      </c>
      <c r="I42" s="5" t="s">
        <v>176</v>
      </c>
      <c r="J42" s="5">
        <v>2</v>
      </c>
      <c r="M42" t="s">
        <v>2145</v>
      </c>
      <c r="N42">
        <v>72</v>
      </c>
      <c r="S42" s="24" t="s">
        <v>52</v>
      </c>
      <c r="T42" s="24">
        <v>230</v>
      </c>
      <c r="U42" s="23" t="s">
        <v>273</v>
      </c>
      <c r="V42" s="23">
        <v>1</v>
      </c>
      <c r="W42" s="2"/>
      <c r="X42" s="2">
        <v>2040</v>
      </c>
      <c r="AB42" s="27" t="s">
        <v>607</v>
      </c>
      <c r="AC42" s="29" t="s">
        <v>1361</v>
      </c>
      <c r="AF42" t="s">
        <v>2146</v>
      </c>
      <c r="AG42">
        <v>74</v>
      </c>
    </row>
    <row r="43" spans="3:33" ht="15" x14ac:dyDescent="0.25">
      <c r="C43" s="4"/>
      <c r="D43" s="10"/>
      <c r="E43" s="11"/>
      <c r="F43" s="22"/>
      <c r="M43" t="s">
        <v>2146</v>
      </c>
      <c r="N43">
        <v>74</v>
      </c>
      <c r="S43" s="24" t="s">
        <v>51</v>
      </c>
      <c r="T43" s="24">
        <v>232</v>
      </c>
      <c r="U43" s="24" t="s">
        <v>274</v>
      </c>
      <c r="V43" s="24">
        <v>1</v>
      </c>
      <c r="W43" s="2"/>
      <c r="X43" s="2">
        <v>2041</v>
      </c>
      <c r="AB43" s="27" t="s">
        <v>608</v>
      </c>
      <c r="AC43" s="29" t="s">
        <v>1362</v>
      </c>
      <c r="AF43" t="s">
        <v>2147</v>
      </c>
      <c r="AG43">
        <v>76</v>
      </c>
    </row>
    <row r="44" spans="3:33" ht="15" x14ac:dyDescent="0.25">
      <c r="C44" s="4"/>
      <c r="D44" s="10"/>
      <c r="E44" s="11"/>
      <c r="F44" s="22"/>
      <c r="M44" t="s">
        <v>2147</v>
      </c>
      <c r="N44">
        <v>76</v>
      </c>
      <c r="S44" s="24" t="s">
        <v>192</v>
      </c>
      <c r="T44" s="24">
        <v>233</v>
      </c>
      <c r="U44" s="23"/>
      <c r="V44" s="23">
        <v>1</v>
      </c>
      <c r="W44" s="2"/>
      <c r="X44" s="2">
        <v>2042</v>
      </c>
      <c r="AB44" s="27" t="s">
        <v>609</v>
      </c>
      <c r="AC44" s="29" t="s">
        <v>1363</v>
      </c>
      <c r="AF44" t="s">
        <v>2117</v>
      </c>
      <c r="AG44">
        <v>21</v>
      </c>
    </row>
    <row r="45" spans="3:33" ht="15" x14ac:dyDescent="0.25">
      <c r="C45" s="4"/>
      <c r="D45" s="10"/>
      <c r="E45" s="11"/>
      <c r="F45" s="22"/>
      <c r="G45" s="7"/>
      <c r="H45" s="5"/>
      <c r="I45" s="5"/>
      <c r="J45" s="5"/>
      <c r="M45" t="s">
        <v>2117</v>
      </c>
      <c r="N45">
        <v>21</v>
      </c>
      <c r="S45" s="24" t="s">
        <v>54</v>
      </c>
      <c r="T45" s="24">
        <v>238</v>
      </c>
      <c r="U45" s="24" t="s">
        <v>275</v>
      </c>
      <c r="V45" s="24">
        <v>1</v>
      </c>
      <c r="W45" s="2"/>
      <c r="X45" s="2">
        <v>2043</v>
      </c>
      <c r="AB45" s="27" t="s">
        <v>610</v>
      </c>
      <c r="AC45" s="29" t="s">
        <v>1364</v>
      </c>
      <c r="AF45" t="s">
        <v>2152</v>
      </c>
      <c r="AG45">
        <v>96</v>
      </c>
    </row>
    <row r="46" spans="3:33" ht="15" x14ac:dyDescent="0.25">
      <c r="C46" s="4"/>
      <c r="D46" s="10"/>
      <c r="E46" s="11"/>
      <c r="F46" s="22"/>
      <c r="G46" s="7"/>
      <c r="H46" s="5"/>
      <c r="I46" s="5"/>
      <c r="J46" s="5"/>
      <c r="M46" t="s">
        <v>2152</v>
      </c>
      <c r="N46">
        <v>96</v>
      </c>
      <c r="S46" s="24" t="s">
        <v>53</v>
      </c>
      <c r="T46" s="24">
        <v>242</v>
      </c>
      <c r="U46" s="23" t="s">
        <v>276</v>
      </c>
      <c r="V46" s="23">
        <v>1</v>
      </c>
      <c r="W46" s="2"/>
      <c r="X46" s="2">
        <v>2044</v>
      </c>
      <c r="AB46" s="27" t="s">
        <v>611</v>
      </c>
      <c r="AC46" s="29" t="s">
        <v>1365</v>
      </c>
      <c r="AF46" t="s">
        <v>2366</v>
      </c>
      <c r="AG46">
        <v>854</v>
      </c>
    </row>
    <row r="47" spans="3:33" ht="15" x14ac:dyDescent="0.25">
      <c r="C47" s="4"/>
      <c r="D47" s="10"/>
      <c r="E47" s="11"/>
      <c r="F47" s="22"/>
      <c r="G47" s="6" t="s">
        <v>421</v>
      </c>
      <c r="H47" s="5">
        <f>300</f>
        <v>300</v>
      </c>
      <c r="M47" t="s">
        <v>2366</v>
      </c>
      <c r="N47">
        <v>854</v>
      </c>
      <c r="S47" s="24" t="s">
        <v>193</v>
      </c>
      <c r="T47" s="24">
        <v>246</v>
      </c>
      <c r="U47" s="24"/>
      <c r="V47" s="24">
        <v>1</v>
      </c>
      <c r="W47" s="2"/>
      <c r="X47" s="2">
        <v>2045</v>
      </c>
      <c r="AB47" s="27" t="s">
        <v>612</v>
      </c>
      <c r="AC47" s="29" t="s">
        <v>1366</v>
      </c>
      <c r="AF47" t="s">
        <v>2155</v>
      </c>
      <c r="AG47">
        <v>108</v>
      </c>
    </row>
    <row r="48" spans="3:33" ht="15" x14ac:dyDescent="0.25">
      <c r="C48" s="4"/>
      <c r="D48" s="10"/>
      <c r="E48" s="11"/>
      <c r="F48" s="22"/>
      <c r="G48" s="6" t="s">
        <v>2396</v>
      </c>
      <c r="H48" s="5">
        <f t="shared" ref="H48:H51" si="2">H47+10</f>
        <v>310</v>
      </c>
      <c r="M48" t="s">
        <v>2155</v>
      </c>
      <c r="N48">
        <v>108</v>
      </c>
      <c r="S48" s="24" t="s">
        <v>194</v>
      </c>
      <c r="T48" s="24">
        <v>250</v>
      </c>
      <c r="U48" s="23"/>
      <c r="V48" s="23">
        <v>1</v>
      </c>
      <c r="W48" s="2"/>
      <c r="X48" s="2">
        <v>2046</v>
      </c>
      <c r="AB48" s="27" t="s">
        <v>613</v>
      </c>
      <c r="AC48" s="29" t="s">
        <v>1367</v>
      </c>
      <c r="AF48" t="s">
        <v>2142</v>
      </c>
      <c r="AG48">
        <v>64</v>
      </c>
    </row>
    <row r="49" spans="3:33" ht="15" x14ac:dyDescent="0.25">
      <c r="C49" s="4"/>
      <c r="D49" s="10"/>
      <c r="E49" s="11"/>
      <c r="G49" s="6" t="s">
        <v>422</v>
      </c>
      <c r="H49" s="5">
        <f t="shared" si="2"/>
        <v>320</v>
      </c>
      <c r="I49" s="5"/>
      <c r="J49" s="5"/>
      <c r="M49" t="s">
        <v>2142</v>
      </c>
      <c r="N49">
        <v>64</v>
      </c>
      <c r="S49" s="24" t="s">
        <v>46</v>
      </c>
      <c r="T49" s="24">
        <v>262</v>
      </c>
      <c r="U49" s="24" t="s">
        <v>277</v>
      </c>
      <c r="V49" s="24">
        <v>1</v>
      </c>
      <c r="W49" s="2"/>
      <c r="X49" s="2">
        <v>2047</v>
      </c>
      <c r="AB49" s="27" t="s">
        <v>614</v>
      </c>
      <c r="AC49" s="29" t="s">
        <v>1368</v>
      </c>
      <c r="AF49" t="s">
        <v>2164</v>
      </c>
      <c r="AG49">
        <v>148</v>
      </c>
    </row>
    <row r="50" spans="3:33" ht="15" x14ac:dyDescent="0.25">
      <c r="C50" s="4"/>
      <c r="D50" s="10"/>
      <c r="E50" s="11"/>
      <c r="G50" s="6" t="s">
        <v>423</v>
      </c>
      <c r="H50" s="5">
        <f t="shared" si="2"/>
        <v>330</v>
      </c>
      <c r="I50" s="5"/>
      <c r="J50" s="5"/>
      <c r="M50" t="s">
        <v>2164</v>
      </c>
      <c r="N50">
        <v>148</v>
      </c>
      <c r="S50" s="24" t="s">
        <v>57</v>
      </c>
      <c r="T50" s="24">
        <v>270</v>
      </c>
      <c r="U50" s="23" t="s">
        <v>278</v>
      </c>
      <c r="V50" s="23">
        <v>1</v>
      </c>
      <c r="W50" s="2"/>
      <c r="X50" s="2">
        <v>2048</v>
      </c>
      <c r="AB50" s="27" t="s">
        <v>615</v>
      </c>
      <c r="AC50" s="29" t="s">
        <v>1369</v>
      </c>
      <c r="AF50" t="s">
        <v>2208</v>
      </c>
      <c r="AG50">
        <v>292</v>
      </c>
    </row>
    <row r="51" spans="3:33" ht="15" x14ac:dyDescent="0.25">
      <c r="C51" s="4"/>
      <c r="D51" s="10"/>
      <c r="E51" s="11"/>
      <c r="G51" s="6" t="s">
        <v>2397</v>
      </c>
      <c r="H51" s="5">
        <f t="shared" si="2"/>
        <v>340</v>
      </c>
      <c r="I51" s="5"/>
      <c r="J51" s="5"/>
      <c r="M51" t="s">
        <v>2208</v>
      </c>
      <c r="N51">
        <v>292</v>
      </c>
      <c r="S51" s="24" t="s">
        <v>195</v>
      </c>
      <c r="T51" s="24">
        <v>280</v>
      </c>
      <c r="U51" s="24"/>
      <c r="V51" s="24">
        <v>1</v>
      </c>
      <c r="W51" s="2"/>
      <c r="X51" s="2">
        <v>2049</v>
      </c>
      <c r="AB51" s="27" t="s">
        <v>616</v>
      </c>
      <c r="AC51" s="29" t="s">
        <v>1370</v>
      </c>
      <c r="AF51" t="s">
        <v>2330</v>
      </c>
      <c r="AG51">
        <v>710</v>
      </c>
    </row>
    <row r="52" spans="3:33" ht="15" x14ac:dyDescent="0.25">
      <c r="C52" s="4"/>
      <c r="D52" s="10"/>
      <c r="E52" s="11"/>
      <c r="H52" s="5"/>
      <c r="I52" s="5"/>
      <c r="J52" s="5"/>
      <c r="M52" t="s">
        <v>2330</v>
      </c>
      <c r="N52">
        <v>710</v>
      </c>
      <c r="S52" s="24" t="s">
        <v>196</v>
      </c>
      <c r="T52" s="24">
        <v>288</v>
      </c>
      <c r="U52" s="23"/>
      <c r="V52" s="23">
        <v>1</v>
      </c>
      <c r="W52" s="2"/>
      <c r="X52" s="2">
        <v>2050</v>
      </c>
      <c r="AB52" s="27" t="s">
        <v>617</v>
      </c>
      <c r="AC52" s="29" t="s">
        <v>1371</v>
      </c>
      <c r="AF52" t="s">
        <v>2193</v>
      </c>
      <c r="AG52">
        <v>239</v>
      </c>
    </row>
    <row r="53" spans="3:33" ht="15" x14ac:dyDescent="0.25">
      <c r="C53" s="4"/>
      <c r="D53" s="10"/>
      <c r="E53" s="11"/>
      <c r="H53" s="5"/>
      <c r="I53" s="5"/>
      <c r="J53" s="5"/>
      <c r="M53" t="s">
        <v>2193</v>
      </c>
      <c r="N53">
        <v>239</v>
      </c>
      <c r="S53" s="24" t="s">
        <v>56</v>
      </c>
      <c r="T53" s="24">
        <v>292</v>
      </c>
      <c r="U53" s="24" t="s">
        <v>279</v>
      </c>
      <c r="V53" s="24">
        <v>1</v>
      </c>
      <c r="W53" s="2"/>
      <c r="X53" s="2">
        <v>2051</v>
      </c>
      <c r="AB53" s="27" t="s">
        <v>618</v>
      </c>
      <c r="AC53" s="29" t="s">
        <v>1372</v>
      </c>
      <c r="AF53" t="s">
        <v>2333</v>
      </c>
      <c r="AG53">
        <v>728</v>
      </c>
    </row>
    <row r="54" spans="3:33" ht="15" x14ac:dyDescent="0.25">
      <c r="C54" s="4"/>
      <c r="D54" s="10"/>
      <c r="E54" s="11"/>
      <c r="H54" s="5"/>
      <c r="I54" s="5"/>
      <c r="J54" s="5"/>
      <c r="M54" t="s">
        <v>2333</v>
      </c>
      <c r="N54">
        <v>728</v>
      </c>
      <c r="S54" s="24" t="s">
        <v>197</v>
      </c>
      <c r="T54" s="24">
        <v>300</v>
      </c>
      <c r="U54" s="23"/>
      <c r="V54" s="23">
        <v>1</v>
      </c>
      <c r="W54" s="2"/>
      <c r="X54" s="2">
        <v>2052</v>
      </c>
      <c r="AB54" s="27" t="s">
        <v>619</v>
      </c>
      <c r="AC54" s="29" t="s">
        <v>1373</v>
      </c>
      <c r="AF54" t="s">
        <v>2361</v>
      </c>
      <c r="AG54">
        <v>832</v>
      </c>
    </row>
    <row r="55" spans="3:33" ht="15" x14ac:dyDescent="0.25">
      <c r="C55" s="4"/>
      <c r="D55" s="10"/>
      <c r="E55" s="11"/>
      <c r="H55" s="5"/>
      <c r="I55" s="5"/>
      <c r="J55" s="5"/>
      <c r="M55" t="s">
        <v>2361</v>
      </c>
      <c r="N55">
        <v>832</v>
      </c>
      <c r="S55" s="24" t="s">
        <v>59</v>
      </c>
      <c r="T55" s="24">
        <v>320</v>
      </c>
      <c r="U55" s="24" t="s">
        <v>280</v>
      </c>
      <c r="V55" s="24">
        <v>1</v>
      </c>
      <c r="W55" s="2"/>
      <c r="X55" s="2">
        <v>2053</v>
      </c>
      <c r="AB55" s="27" t="s">
        <v>620</v>
      </c>
      <c r="AC55" s="29" t="s">
        <v>1374</v>
      </c>
      <c r="AF55" t="s">
        <v>2180</v>
      </c>
      <c r="AG55">
        <v>203</v>
      </c>
    </row>
    <row r="56" spans="3:33" ht="15" x14ac:dyDescent="0.25">
      <c r="C56" s="4"/>
      <c r="D56" s="10"/>
      <c r="E56" s="11"/>
      <c r="H56" s="5"/>
      <c r="I56" s="5"/>
      <c r="J56" s="5"/>
      <c r="M56" t="s">
        <v>2180</v>
      </c>
      <c r="N56">
        <v>203</v>
      </c>
      <c r="S56" s="24" t="s">
        <v>58</v>
      </c>
      <c r="T56" s="24">
        <v>324</v>
      </c>
      <c r="U56" s="23" t="s">
        <v>281</v>
      </c>
      <c r="V56" s="23">
        <v>1</v>
      </c>
      <c r="W56" s="2"/>
      <c r="X56" s="2">
        <v>2054</v>
      </c>
      <c r="AB56" s="27" t="s">
        <v>621</v>
      </c>
      <c r="AC56" s="29" t="s">
        <v>1375</v>
      </c>
      <c r="AF56" t="s">
        <v>2201</v>
      </c>
      <c r="AG56">
        <v>262</v>
      </c>
    </row>
    <row r="57" spans="3:33" ht="15" x14ac:dyDescent="0.25">
      <c r="C57" s="4"/>
      <c r="D57" s="10"/>
      <c r="E57" s="11"/>
      <c r="I57" s="5"/>
      <c r="J57" s="5">
        <v>3</v>
      </c>
      <c r="M57" t="s">
        <v>2201</v>
      </c>
      <c r="N57">
        <v>262</v>
      </c>
      <c r="S57" s="24" t="s">
        <v>60</v>
      </c>
      <c r="T57" s="24">
        <v>328</v>
      </c>
      <c r="U57" s="24" t="s">
        <v>282</v>
      </c>
      <c r="V57" s="24">
        <v>1</v>
      </c>
      <c r="W57" s="2"/>
      <c r="X57" s="2">
        <v>2055</v>
      </c>
      <c r="AB57" s="27" t="s">
        <v>622</v>
      </c>
      <c r="AC57" s="29" t="s">
        <v>1376</v>
      </c>
      <c r="AF57" t="s">
        <v>2165</v>
      </c>
      <c r="AG57">
        <v>152</v>
      </c>
    </row>
    <row r="58" spans="3:33" ht="15" x14ac:dyDescent="0.25">
      <c r="C58" s="4"/>
      <c r="D58" s="10"/>
      <c r="E58" s="11"/>
      <c r="I58" s="5"/>
      <c r="J58" s="5">
        <v>3</v>
      </c>
      <c r="M58" t="s">
        <v>2165</v>
      </c>
      <c r="N58">
        <v>152</v>
      </c>
      <c r="S58" s="24" t="s">
        <v>64</v>
      </c>
      <c r="T58" s="24">
        <v>332</v>
      </c>
      <c r="U58" s="23" t="s">
        <v>283</v>
      </c>
      <c r="V58" s="23">
        <v>1</v>
      </c>
      <c r="W58" s="2"/>
      <c r="X58" s="2">
        <v>2056</v>
      </c>
      <c r="AB58" s="27" t="s">
        <v>623</v>
      </c>
      <c r="AC58" s="29" t="s">
        <v>1377</v>
      </c>
      <c r="AF58" t="s">
        <v>2166</v>
      </c>
      <c r="AG58">
        <v>156</v>
      </c>
    </row>
    <row r="59" spans="3:33" ht="15" x14ac:dyDescent="0.25">
      <c r="C59" s="4"/>
      <c r="D59" s="10"/>
      <c r="E59" s="11"/>
      <c r="I59" s="5"/>
      <c r="J59" s="5">
        <v>3</v>
      </c>
      <c r="M59" t="s">
        <v>2166</v>
      </c>
      <c r="N59">
        <v>156</v>
      </c>
      <c r="S59" s="24" t="s">
        <v>62</v>
      </c>
      <c r="T59" s="24">
        <v>340</v>
      </c>
      <c r="U59" s="24" t="s">
        <v>284</v>
      </c>
      <c r="V59" s="24">
        <v>1</v>
      </c>
      <c r="W59" s="2"/>
      <c r="X59" s="2">
        <v>2057</v>
      </c>
      <c r="AB59" s="27" t="s">
        <v>624</v>
      </c>
      <c r="AC59" s="29" t="s">
        <v>1378</v>
      </c>
      <c r="AF59" t="s">
        <v>2222</v>
      </c>
      <c r="AG59">
        <v>344</v>
      </c>
    </row>
    <row r="60" spans="3:33" ht="15" x14ac:dyDescent="0.25">
      <c r="C60" s="4"/>
      <c r="D60" s="10"/>
      <c r="E60" s="11"/>
      <c r="I60" s="5"/>
      <c r="J60" s="5">
        <v>3</v>
      </c>
      <c r="M60" t="s">
        <v>2222</v>
      </c>
      <c r="N60">
        <v>344</v>
      </c>
      <c r="S60" s="24" t="s">
        <v>61</v>
      </c>
      <c r="T60" s="24">
        <v>344</v>
      </c>
      <c r="U60" s="23" t="s">
        <v>285</v>
      </c>
      <c r="V60" s="23">
        <v>1</v>
      </c>
      <c r="W60" s="2"/>
      <c r="X60" s="2">
        <v>2058</v>
      </c>
      <c r="AB60" s="27" t="s">
        <v>625</v>
      </c>
      <c r="AC60" s="29" t="s">
        <v>1379</v>
      </c>
      <c r="AF60" t="s">
        <v>2251</v>
      </c>
      <c r="AG60">
        <v>446</v>
      </c>
    </row>
    <row r="61" spans="3:33" ht="15" x14ac:dyDescent="0.25">
      <c r="C61" s="4"/>
      <c r="D61" s="10"/>
      <c r="E61" s="11"/>
      <c r="I61" s="5"/>
      <c r="J61" s="5">
        <v>3</v>
      </c>
      <c r="M61" t="s">
        <v>2251</v>
      </c>
      <c r="N61">
        <v>446</v>
      </c>
      <c r="S61" s="24" t="s">
        <v>65</v>
      </c>
      <c r="T61" s="24">
        <v>348</v>
      </c>
      <c r="U61" s="24" t="s">
        <v>286</v>
      </c>
      <c r="V61" s="24">
        <v>1</v>
      </c>
      <c r="W61" s="2"/>
      <c r="X61" s="2">
        <v>2059</v>
      </c>
      <c r="AB61" s="27" t="s">
        <v>626</v>
      </c>
      <c r="AC61" s="29" t="s">
        <v>1380</v>
      </c>
      <c r="AF61" t="s">
        <v>2182</v>
      </c>
      <c r="AG61">
        <v>208</v>
      </c>
    </row>
    <row r="62" spans="3:33" ht="15" x14ac:dyDescent="0.25">
      <c r="C62" s="4"/>
      <c r="D62" s="10"/>
      <c r="E62" s="11"/>
      <c r="I62" s="5"/>
      <c r="J62" s="5">
        <v>3</v>
      </c>
      <c r="M62" t="s">
        <v>2182</v>
      </c>
      <c r="N62">
        <v>208</v>
      </c>
      <c r="S62" s="24" t="s">
        <v>198</v>
      </c>
      <c r="T62" s="24">
        <v>352</v>
      </c>
      <c r="U62" s="23" t="s">
        <v>287</v>
      </c>
      <c r="V62" s="23">
        <v>1</v>
      </c>
      <c r="W62" s="2"/>
      <c r="X62" s="2">
        <v>2060</v>
      </c>
      <c r="AB62" s="27" t="s">
        <v>627</v>
      </c>
      <c r="AC62" s="29" t="s">
        <v>1381</v>
      </c>
      <c r="AF62" t="s">
        <v>2129</v>
      </c>
      <c r="AG62">
        <v>34</v>
      </c>
    </row>
    <row r="63" spans="3:33" ht="15" x14ac:dyDescent="0.25">
      <c r="C63" s="4"/>
      <c r="D63" s="10"/>
      <c r="E63" s="11"/>
      <c r="I63" s="5"/>
      <c r="J63" s="5">
        <v>3</v>
      </c>
      <c r="M63" t="s">
        <v>2129</v>
      </c>
      <c r="N63">
        <v>34</v>
      </c>
      <c r="S63" s="24" t="s">
        <v>199</v>
      </c>
      <c r="T63" s="24">
        <v>356</v>
      </c>
      <c r="U63" s="24" t="s">
        <v>288</v>
      </c>
      <c r="V63" s="24">
        <v>1</v>
      </c>
      <c r="W63" s="2"/>
      <c r="X63" s="2">
        <v>2061</v>
      </c>
      <c r="AB63" s="27" t="s">
        <v>628</v>
      </c>
      <c r="AC63" s="29" t="s">
        <v>1382</v>
      </c>
      <c r="AF63" t="s">
        <v>2102</v>
      </c>
      <c r="AG63">
        <v>1</v>
      </c>
    </row>
    <row r="64" spans="3:33" ht="15" x14ac:dyDescent="0.25">
      <c r="C64" s="4"/>
      <c r="D64" s="10"/>
      <c r="E64" s="11"/>
      <c r="H64" s="5"/>
      <c r="I64" s="5"/>
      <c r="J64" s="5"/>
      <c r="M64" t="s">
        <v>2102</v>
      </c>
      <c r="N64">
        <v>1</v>
      </c>
      <c r="S64" s="24" t="s">
        <v>200</v>
      </c>
      <c r="T64" s="24">
        <v>360</v>
      </c>
      <c r="U64" s="23" t="s">
        <v>289</v>
      </c>
      <c r="V64" s="23">
        <v>100</v>
      </c>
      <c r="W64" s="2"/>
      <c r="X64" s="2">
        <v>2062</v>
      </c>
      <c r="AB64" s="27" t="s">
        <v>629</v>
      </c>
      <c r="AC64" s="29" t="s">
        <v>1383</v>
      </c>
      <c r="AF64" t="s">
        <v>2183</v>
      </c>
      <c r="AG64">
        <v>212</v>
      </c>
    </row>
    <row r="65" spans="3:33" ht="15" x14ac:dyDescent="0.25">
      <c r="C65" s="4"/>
      <c r="D65" s="10"/>
      <c r="E65" s="11"/>
      <c r="H65" s="5"/>
      <c r="I65" s="5"/>
      <c r="J65" s="5"/>
      <c r="M65" t="s">
        <v>2183</v>
      </c>
      <c r="N65">
        <v>212</v>
      </c>
      <c r="S65" s="24" t="s">
        <v>201</v>
      </c>
      <c r="T65" s="24">
        <v>364</v>
      </c>
      <c r="U65" s="24" t="s">
        <v>290</v>
      </c>
      <c r="V65" s="24">
        <v>100</v>
      </c>
      <c r="W65" s="2"/>
      <c r="X65" s="2">
        <v>2063</v>
      </c>
      <c r="AB65" s="27" t="s">
        <v>630</v>
      </c>
      <c r="AC65" s="29" t="s">
        <v>1384</v>
      </c>
      <c r="AF65" t="s">
        <v>2184</v>
      </c>
      <c r="AG65">
        <v>214</v>
      </c>
    </row>
    <row r="66" spans="3:33" ht="15" x14ac:dyDescent="0.25">
      <c r="C66" s="4"/>
      <c r="D66" s="10"/>
      <c r="E66" s="11"/>
      <c r="H66" s="5"/>
      <c r="I66" s="5"/>
      <c r="J66" s="5"/>
      <c r="M66" t="s">
        <v>2184</v>
      </c>
      <c r="N66">
        <v>214</v>
      </c>
      <c r="S66" s="24" t="s">
        <v>202</v>
      </c>
      <c r="T66" s="24">
        <v>368</v>
      </c>
      <c r="U66" s="23" t="s">
        <v>291</v>
      </c>
      <c r="V66" s="23">
        <v>1</v>
      </c>
      <c r="W66" s="2"/>
      <c r="X66" s="2">
        <v>2064</v>
      </c>
      <c r="AB66" s="27" t="s">
        <v>631</v>
      </c>
      <c r="AC66" s="29" t="s">
        <v>1385</v>
      </c>
      <c r="AF66" t="s">
        <v>2128</v>
      </c>
      <c r="AG66">
        <v>33</v>
      </c>
    </row>
    <row r="67" spans="3:33" ht="15" x14ac:dyDescent="0.25">
      <c r="C67" s="4"/>
      <c r="D67" s="10"/>
      <c r="E67" s="11"/>
      <c r="H67" s="5"/>
      <c r="I67" s="5"/>
      <c r="J67" s="5"/>
      <c r="M67" t="s">
        <v>2128</v>
      </c>
      <c r="N67">
        <v>33</v>
      </c>
      <c r="S67" s="24" t="s">
        <v>203</v>
      </c>
      <c r="T67" s="24">
        <v>372</v>
      </c>
      <c r="U67" s="24"/>
      <c r="V67" s="24">
        <v>1</v>
      </c>
      <c r="W67" s="2"/>
      <c r="X67" s="2">
        <v>2065</v>
      </c>
      <c r="AB67" s="27" t="s">
        <v>631</v>
      </c>
      <c r="AC67" s="29" t="s">
        <v>1386</v>
      </c>
      <c r="AF67" t="s">
        <v>2106</v>
      </c>
      <c r="AG67">
        <v>9</v>
      </c>
    </row>
    <row r="68" spans="3:33" ht="15" x14ac:dyDescent="0.25">
      <c r="C68" s="4"/>
      <c r="D68" s="10"/>
      <c r="E68" s="11"/>
      <c r="H68" s="5"/>
      <c r="I68" s="5"/>
      <c r="J68" s="5"/>
      <c r="M68" t="s">
        <v>2106</v>
      </c>
      <c r="N68">
        <v>9</v>
      </c>
      <c r="S68" s="24" t="s">
        <v>204</v>
      </c>
      <c r="T68" s="24">
        <v>376</v>
      </c>
      <c r="U68" s="23" t="s">
        <v>292</v>
      </c>
      <c r="V68" s="23">
        <v>1</v>
      </c>
      <c r="W68" s="2"/>
      <c r="X68" s="2">
        <v>2066</v>
      </c>
      <c r="AB68" s="27" t="s">
        <v>632</v>
      </c>
      <c r="AC68" s="29" t="s">
        <v>1387</v>
      </c>
      <c r="AF68" t="s">
        <v>2104</v>
      </c>
      <c r="AG68">
        <v>4</v>
      </c>
    </row>
    <row r="69" spans="3:33" ht="15" x14ac:dyDescent="0.25">
      <c r="C69" s="4"/>
      <c r="D69" s="10"/>
      <c r="E69" s="11"/>
      <c r="H69" s="5"/>
      <c r="I69" s="5"/>
      <c r="J69" s="5"/>
      <c r="M69" t="s">
        <v>2104</v>
      </c>
      <c r="N69">
        <v>4</v>
      </c>
      <c r="S69" s="24" t="s">
        <v>205</v>
      </c>
      <c r="T69" s="24">
        <v>380</v>
      </c>
      <c r="U69" s="24"/>
      <c r="V69" s="24">
        <v>1</v>
      </c>
      <c r="W69" s="2"/>
      <c r="X69" s="2">
        <v>2084</v>
      </c>
      <c r="AB69" s="27" t="s">
        <v>633</v>
      </c>
      <c r="AC69" s="29" t="s">
        <v>1388</v>
      </c>
      <c r="AF69" t="s">
        <v>2185</v>
      </c>
      <c r="AG69">
        <v>218</v>
      </c>
    </row>
    <row r="70" spans="3:33" ht="15" x14ac:dyDescent="0.25">
      <c r="C70" s="4"/>
      <c r="D70" s="10"/>
      <c r="E70" s="11"/>
      <c r="H70" s="5"/>
      <c r="I70" s="5"/>
      <c r="J70" s="5"/>
      <c r="M70" t="s">
        <v>2185</v>
      </c>
      <c r="N70">
        <v>218</v>
      </c>
      <c r="S70" s="24" t="s">
        <v>206</v>
      </c>
      <c r="T70" s="24">
        <v>388</v>
      </c>
      <c r="U70" s="23" t="s">
        <v>293</v>
      </c>
      <c r="V70" s="23">
        <v>1</v>
      </c>
      <c r="W70" s="2"/>
      <c r="X70" s="2">
        <v>2085</v>
      </c>
      <c r="AB70" s="27" t="s">
        <v>634</v>
      </c>
      <c r="AC70" s="29" t="s">
        <v>1389</v>
      </c>
      <c r="AF70" t="s">
        <v>2187</v>
      </c>
      <c r="AG70">
        <v>226</v>
      </c>
    </row>
    <row r="71" spans="3:33" ht="15" x14ac:dyDescent="0.25">
      <c r="C71" s="4"/>
      <c r="D71" s="10"/>
      <c r="E71" s="11"/>
      <c r="H71" s="5"/>
      <c r="I71" s="5"/>
      <c r="J71" s="5"/>
      <c r="M71" t="s">
        <v>2187</v>
      </c>
      <c r="N71">
        <v>226</v>
      </c>
      <c r="S71" s="24" t="s">
        <v>13</v>
      </c>
      <c r="T71" s="24">
        <v>392</v>
      </c>
      <c r="U71" s="24" t="s">
        <v>294</v>
      </c>
      <c r="V71" s="24">
        <v>100</v>
      </c>
      <c r="W71" s="2"/>
      <c r="X71" s="2">
        <v>2086</v>
      </c>
      <c r="AB71" s="27" t="s">
        <v>635</v>
      </c>
      <c r="AC71" s="29" t="s">
        <v>1390</v>
      </c>
      <c r="AF71" t="s">
        <v>2109</v>
      </c>
      <c r="AG71">
        <v>12</v>
      </c>
    </row>
    <row r="72" spans="3:33" ht="15" x14ac:dyDescent="0.25">
      <c r="C72" s="4"/>
      <c r="D72" s="10"/>
      <c r="E72" s="11"/>
      <c r="F72" s="22"/>
      <c r="H72" s="5"/>
      <c r="I72" s="5"/>
      <c r="J72" s="5"/>
      <c r="M72" t="s">
        <v>2109</v>
      </c>
      <c r="N72">
        <v>12</v>
      </c>
      <c r="S72" s="24" t="s">
        <v>67</v>
      </c>
      <c r="T72" s="24">
        <v>398</v>
      </c>
      <c r="U72" s="23" t="s">
        <v>295</v>
      </c>
      <c r="V72" s="23">
        <v>1</v>
      </c>
      <c r="W72" s="2"/>
      <c r="X72" s="2">
        <v>2087</v>
      </c>
      <c r="AB72" s="27" t="s">
        <v>636</v>
      </c>
      <c r="AC72" s="29" t="s">
        <v>1391</v>
      </c>
      <c r="AF72" t="s">
        <v>2189</v>
      </c>
      <c r="AG72">
        <v>232</v>
      </c>
    </row>
    <row r="73" spans="3:33" ht="15" x14ac:dyDescent="0.25">
      <c r="C73" s="4"/>
      <c r="D73" s="10"/>
      <c r="E73" s="11"/>
      <c r="F73" s="22"/>
      <c r="H73" s="5"/>
      <c r="I73" s="5"/>
      <c r="J73" s="5"/>
      <c r="M73" t="s">
        <v>2189</v>
      </c>
      <c r="N73">
        <v>232</v>
      </c>
      <c r="S73" s="24" t="s">
        <v>207</v>
      </c>
      <c r="T73" s="24">
        <v>400</v>
      </c>
      <c r="U73" s="24" t="s">
        <v>296</v>
      </c>
      <c r="V73" s="24">
        <v>1</v>
      </c>
      <c r="W73" s="2"/>
      <c r="X73" s="2">
        <v>2088</v>
      </c>
      <c r="AB73" s="27" t="s">
        <v>637</v>
      </c>
      <c r="AC73" s="29" t="s">
        <v>1392</v>
      </c>
      <c r="AF73" t="s">
        <v>2138</v>
      </c>
      <c r="AG73">
        <v>51</v>
      </c>
    </row>
    <row r="74" spans="3:33" ht="15" x14ac:dyDescent="0.25">
      <c r="C74" s="4"/>
      <c r="D74" s="10"/>
      <c r="E74" s="11"/>
      <c r="F74" s="22"/>
      <c r="H74" s="5"/>
      <c r="I74" s="5"/>
      <c r="J74" s="5"/>
      <c r="M74" t="s">
        <v>2138</v>
      </c>
      <c r="N74">
        <v>51</v>
      </c>
      <c r="S74" s="24" t="s">
        <v>208</v>
      </c>
      <c r="T74" s="24">
        <v>404</v>
      </c>
      <c r="U74" s="23" t="s">
        <v>297</v>
      </c>
      <c r="V74" s="23">
        <v>1</v>
      </c>
      <c r="W74" s="2"/>
      <c r="X74" s="2">
        <v>2089</v>
      </c>
      <c r="AB74" s="27" t="s">
        <v>638</v>
      </c>
      <c r="AC74" s="29" t="s">
        <v>1393</v>
      </c>
      <c r="AF74" t="s">
        <v>2190</v>
      </c>
      <c r="AG74">
        <v>233</v>
      </c>
    </row>
    <row r="75" spans="3:33" ht="15" x14ac:dyDescent="0.25">
      <c r="C75" s="4"/>
      <c r="D75" s="10"/>
      <c r="E75" s="11"/>
      <c r="F75" s="22"/>
      <c r="H75" s="5"/>
      <c r="I75" s="5"/>
      <c r="J75" s="5"/>
      <c r="M75" t="s">
        <v>2190</v>
      </c>
      <c r="N75">
        <v>233</v>
      </c>
      <c r="S75" s="24" t="s">
        <v>209</v>
      </c>
      <c r="T75" s="24">
        <v>408</v>
      </c>
      <c r="U75" s="24" t="s">
        <v>298</v>
      </c>
      <c r="V75" s="24">
        <v>1</v>
      </c>
      <c r="W75" s="2"/>
      <c r="X75" s="2">
        <v>2090</v>
      </c>
      <c r="AB75" s="27" t="s">
        <v>639</v>
      </c>
      <c r="AC75" s="29" t="s">
        <v>1394</v>
      </c>
      <c r="AF75" t="s">
        <v>2191</v>
      </c>
      <c r="AG75">
        <v>234</v>
      </c>
    </row>
    <row r="76" spans="3:33" ht="15" x14ac:dyDescent="0.25">
      <c r="C76" s="4"/>
      <c r="D76" s="10"/>
      <c r="E76" s="11"/>
      <c r="F76" s="22"/>
      <c r="H76" s="5"/>
      <c r="I76" s="5"/>
      <c r="J76" s="5"/>
      <c r="M76" t="s">
        <v>2191</v>
      </c>
      <c r="N76">
        <v>234</v>
      </c>
      <c r="S76" s="24" t="s">
        <v>210</v>
      </c>
      <c r="T76" s="24">
        <v>410</v>
      </c>
      <c r="U76" s="23" t="s">
        <v>299</v>
      </c>
      <c r="V76" s="23">
        <v>100</v>
      </c>
      <c r="W76" s="2"/>
      <c r="X76" s="2">
        <v>2091</v>
      </c>
      <c r="AB76" s="27" t="s">
        <v>640</v>
      </c>
      <c r="AC76" s="29" t="s">
        <v>1395</v>
      </c>
      <c r="AF76" t="s">
        <v>2194</v>
      </c>
      <c r="AG76">
        <v>242</v>
      </c>
    </row>
    <row r="77" spans="3:33" ht="15" x14ac:dyDescent="0.25">
      <c r="C77" s="4"/>
      <c r="D77" s="10"/>
      <c r="E77" s="11"/>
      <c r="F77" s="22"/>
      <c r="H77" s="5"/>
      <c r="I77" s="5"/>
      <c r="J77" s="5"/>
      <c r="M77" t="s">
        <v>2194</v>
      </c>
      <c r="N77">
        <v>242</v>
      </c>
      <c r="S77" s="24" t="s">
        <v>211</v>
      </c>
      <c r="T77" s="24">
        <v>414</v>
      </c>
      <c r="U77" s="24" t="s">
        <v>300</v>
      </c>
      <c r="V77" s="24">
        <v>1</v>
      </c>
      <c r="W77" s="2"/>
      <c r="X77" s="2">
        <v>2092</v>
      </c>
      <c r="AB77" s="27" t="s">
        <v>641</v>
      </c>
      <c r="AC77" s="29" t="s">
        <v>1396</v>
      </c>
      <c r="AF77" t="s">
        <v>2298</v>
      </c>
      <c r="AG77">
        <v>608</v>
      </c>
    </row>
    <row r="78" spans="3:33" ht="15" x14ac:dyDescent="0.25">
      <c r="C78" s="4"/>
      <c r="D78" s="10"/>
      <c r="E78" s="11"/>
      <c r="F78" s="22"/>
      <c r="H78" s="5"/>
      <c r="I78" s="5"/>
      <c r="J78" s="5"/>
      <c r="M78" t="s">
        <v>2298</v>
      </c>
      <c r="N78">
        <v>608</v>
      </c>
      <c r="S78" s="24" t="s">
        <v>212</v>
      </c>
      <c r="T78" s="24">
        <v>417</v>
      </c>
      <c r="U78" s="23" t="s">
        <v>301</v>
      </c>
      <c r="V78" s="23">
        <v>1</v>
      </c>
      <c r="W78" s="2"/>
      <c r="X78" s="2">
        <v>2093</v>
      </c>
      <c r="AB78" s="27" t="s">
        <v>642</v>
      </c>
      <c r="AC78" s="29" t="s">
        <v>1397</v>
      </c>
      <c r="AF78" t="s">
        <v>2195</v>
      </c>
      <c r="AG78">
        <v>246</v>
      </c>
    </row>
    <row r="79" spans="3:33" ht="15" x14ac:dyDescent="0.25">
      <c r="C79" s="4"/>
      <c r="D79" s="10"/>
      <c r="E79" s="11"/>
      <c r="F79" s="22"/>
      <c r="H79" s="5"/>
      <c r="I79" s="5"/>
      <c r="J79" s="5"/>
      <c r="M79" t="s">
        <v>2195</v>
      </c>
      <c r="N79">
        <v>246</v>
      </c>
      <c r="S79" s="24" t="s">
        <v>68</v>
      </c>
      <c r="T79" s="24">
        <v>418</v>
      </c>
      <c r="U79" s="24" t="s">
        <v>302</v>
      </c>
      <c r="V79" s="24">
        <v>1</v>
      </c>
      <c r="W79" s="2"/>
      <c r="X79" s="2">
        <v>2094</v>
      </c>
      <c r="AB79" s="27" t="s">
        <v>643</v>
      </c>
      <c r="AC79" s="29" t="s">
        <v>1398</v>
      </c>
      <c r="AF79" t="s">
        <v>2192</v>
      </c>
      <c r="AG79">
        <v>238</v>
      </c>
    </row>
    <row r="80" spans="3:33" ht="15" x14ac:dyDescent="0.25">
      <c r="C80" s="4"/>
      <c r="D80" s="10"/>
      <c r="E80" s="11"/>
      <c r="H80" s="5"/>
      <c r="I80" s="5"/>
      <c r="J80" s="5"/>
      <c r="M80" t="s">
        <v>2192</v>
      </c>
      <c r="N80">
        <v>238</v>
      </c>
      <c r="S80" s="24" t="s">
        <v>69</v>
      </c>
      <c r="T80" s="24">
        <v>422</v>
      </c>
      <c r="U80" s="23" t="s">
        <v>303</v>
      </c>
      <c r="V80" s="23">
        <v>100</v>
      </c>
      <c r="W80" s="2"/>
      <c r="X80" s="2">
        <v>2095</v>
      </c>
      <c r="AB80" s="27" t="s">
        <v>644</v>
      </c>
      <c r="AC80" s="29" t="s">
        <v>1399</v>
      </c>
      <c r="AF80" t="s">
        <v>2197</v>
      </c>
      <c r="AG80">
        <v>250</v>
      </c>
    </row>
    <row r="81" spans="3:33" ht="15" x14ac:dyDescent="0.25">
      <c r="C81" s="4"/>
      <c r="D81" s="10"/>
      <c r="E81" s="11"/>
      <c r="H81" s="5"/>
      <c r="I81" s="5"/>
      <c r="J81" s="5"/>
      <c r="M81" t="s">
        <v>2197</v>
      </c>
      <c r="N81">
        <v>250</v>
      </c>
      <c r="S81" s="24" t="s">
        <v>72</v>
      </c>
      <c r="T81" s="24">
        <v>426</v>
      </c>
      <c r="U81" s="24" t="s">
        <v>304</v>
      </c>
      <c r="V81" s="24">
        <v>1</v>
      </c>
      <c r="W81" s="2"/>
      <c r="X81" s="2">
        <v>2096</v>
      </c>
      <c r="AB81" s="27" t="s">
        <v>645</v>
      </c>
      <c r="AC81" s="29" t="s">
        <v>1400</v>
      </c>
      <c r="AF81" t="s">
        <v>2199</v>
      </c>
      <c r="AG81">
        <v>258</v>
      </c>
    </row>
    <row r="82" spans="3:33" ht="15" x14ac:dyDescent="0.25">
      <c r="C82" s="4"/>
      <c r="D82" s="10"/>
      <c r="E82" s="11"/>
      <c r="H82" s="5"/>
      <c r="I82" s="5"/>
      <c r="J82" s="5"/>
      <c r="M82" t="s">
        <v>2199</v>
      </c>
      <c r="N82">
        <v>258</v>
      </c>
      <c r="S82" s="24" t="s">
        <v>74</v>
      </c>
      <c r="T82" s="24">
        <v>428</v>
      </c>
      <c r="U82" s="23" t="s">
        <v>305</v>
      </c>
      <c r="V82" s="23">
        <v>1</v>
      </c>
      <c r="W82" s="2"/>
      <c r="X82" s="2">
        <v>2097</v>
      </c>
      <c r="AB82" s="27" t="s">
        <v>646</v>
      </c>
      <c r="AC82" s="29" t="s">
        <v>1401</v>
      </c>
      <c r="AF82" t="s">
        <v>2198</v>
      </c>
      <c r="AG82">
        <v>254</v>
      </c>
    </row>
    <row r="83" spans="3:33" ht="15" x14ac:dyDescent="0.25">
      <c r="C83" s="4"/>
      <c r="D83" s="10"/>
      <c r="E83" s="11"/>
      <c r="H83" s="5"/>
      <c r="I83" s="5"/>
      <c r="J83" s="5"/>
      <c r="M83" t="s">
        <v>2198</v>
      </c>
      <c r="N83">
        <v>254</v>
      </c>
      <c r="S83" s="24" t="s">
        <v>71</v>
      </c>
      <c r="T83" s="24">
        <v>430</v>
      </c>
      <c r="U83" s="24" t="s">
        <v>306</v>
      </c>
      <c r="V83" s="24">
        <v>1</v>
      </c>
      <c r="W83" s="2"/>
      <c r="X83" s="2">
        <v>2098</v>
      </c>
      <c r="AB83" s="27" t="s">
        <v>647</v>
      </c>
      <c r="AC83" s="29" t="s">
        <v>1402</v>
      </c>
      <c r="AF83" t="s">
        <v>2200</v>
      </c>
      <c r="AG83">
        <v>260</v>
      </c>
    </row>
    <row r="84" spans="3:33" ht="15" x14ac:dyDescent="0.25">
      <c r="C84" s="4"/>
      <c r="D84" s="10"/>
      <c r="E84" s="11"/>
      <c r="H84" s="5"/>
      <c r="I84" s="5"/>
      <c r="J84" s="5"/>
      <c r="M84" t="s">
        <v>2200</v>
      </c>
      <c r="N84">
        <v>260</v>
      </c>
      <c r="S84" s="24" t="s">
        <v>75</v>
      </c>
      <c r="T84" s="24">
        <v>434</v>
      </c>
      <c r="U84" s="23" t="s">
        <v>307</v>
      </c>
      <c r="V84" s="23">
        <v>1</v>
      </c>
      <c r="W84" s="2"/>
      <c r="X84" s="2">
        <v>2099</v>
      </c>
      <c r="AB84" s="27" t="s">
        <v>648</v>
      </c>
      <c r="AC84" s="29" t="s">
        <v>1403</v>
      </c>
      <c r="AF84" t="s">
        <v>2376</v>
      </c>
      <c r="AG84">
        <v>898</v>
      </c>
    </row>
    <row r="85" spans="3:33" ht="15" x14ac:dyDescent="0.25">
      <c r="C85" s="12"/>
      <c r="D85" s="13"/>
      <c r="E85" s="14"/>
      <c r="H85" s="5"/>
      <c r="I85" s="5"/>
      <c r="J85" s="5"/>
      <c r="M85" t="s">
        <v>2376</v>
      </c>
      <c r="N85">
        <v>898</v>
      </c>
      <c r="S85" s="24" t="s">
        <v>73</v>
      </c>
      <c r="T85" s="24">
        <v>440</v>
      </c>
      <c r="U85" s="24" t="s">
        <v>308</v>
      </c>
      <c r="V85" s="24">
        <v>1</v>
      </c>
      <c r="W85" s="2"/>
      <c r="X85" s="2">
        <v>2100</v>
      </c>
      <c r="AB85" s="27" t="s">
        <v>649</v>
      </c>
      <c r="AC85" s="29" t="s">
        <v>1404</v>
      </c>
      <c r="AF85" t="s">
        <v>2203</v>
      </c>
      <c r="AG85">
        <v>268</v>
      </c>
    </row>
    <row r="86" spans="3:33" ht="15" x14ac:dyDescent="0.25">
      <c r="C86" s="12"/>
      <c r="D86" s="13"/>
      <c r="E86" s="14"/>
      <c r="H86" s="5"/>
      <c r="I86" s="5"/>
      <c r="J86" s="5"/>
      <c r="M86" t="s">
        <v>2203</v>
      </c>
      <c r="N86">
        <v>268</v>
      </c>
      <c r="S86" s="24" t="s">
        <v>213</v>
      </c>
      <c r="T86" s="24">
        <v>442</v>
      </c>
      <c r="U86" s="23"/>
      <c r="V86" s="23">
        <v>1</v>
      </c>
      <c r="W86" s="2"/>
      <c r="AB86" s="27" t="s">
        <v>650</v>
      </c>
      <c r="AC86" s="29" t="s">
        <v>1405</v>
      </c>
      <c r="AF86" t="s">
        <v>2218</v>
      </c>
      <c r="AG86">
        <v>332</v>
      </c>
    </row>
    <row r="87" spans="3:33" ht="15" x14ac:dyDescent="0.25">
      <c r="C87" s="12"/>
      <c r="D87" s="13"/>
      <c r="E87" s="14"/>
      <c r="H87" s="5"/>
      <c r="I87" s="5"/>
      <c r="J87" s="5"/>
      <c r="M87" t="s">
        <v>2218</v>
      </c>
      <c r="N87">
        <v>332</v>
      </c>
      <c r="S87" s="24" t="s">
        <v>81</v>
      </c>
      <c r="T87" s="24">
        <v>446</v>
      </c>
      <c r="U87" s="24" t="s">
        <v>309</v>
      </c>
      <c r="V87" s="24">
        <v>1</v>
      </c>
      <c r="W87" s="2"/>
      <c r="AB87" s="27" t="s">
        <v>651</v>
      </c>
      <c r="AC87" s="29" t="s">
        <v>1406</v>
      </c>
      <c r="AF87" t="s">
        <v>2188</v>
      </c>
      <c r="AG87">
        <v>231</v>
      </c>
    </row>
    <row r="88" spans="3:33" ht="15" x14ac:dyDescent="0.25">
      <c r="C88" s="12"/>
      <c r="D88" s="13"/>
      <c r="E88" s="14"/>
      <c r="G88" s="7"/>
      <c r="H88" s="5"/>
      <c r="I88" s="5"/>
      <c r="J88" s="5"/>
      <c r="M88" t="s">
        <v>2188</v>
      </c>
      <c r="N88">
        <v>231</v>
      </c>
      <c r="S88" s="24" t="s">
        <v>214</v>
      </c>
      <c r="T88" s="24">
        <v>450</v>
      </c>
      <c r="U88" s="23"/>
      <c r="V88" s="23">
        <v>1</v>
      </c>
      <c r="W88" s="2"/>
      <c r="AB88" s="27" t="s">
        <v>652</v>
      </c>
      <c r="AC88" s="29" t="s">
        <v>1407</v>
      </c>
      <c r="AF88" t="s">
        <v>2219</v>
      </c>
      <c r="AG88">
        <v>334</v>
      </c>
    </row>
    <row r="89" spans="3:33" ht="15" x14ac:dyDescent="0.25">
      <c r="C89" s="12"/>
      <c r="D89" s="13"/>
      <c r="E89" s="14"/>
      <c r="G89" s="7"/>
      <c r="H89" s="5"/>
      <c r="I89" s="5"/>
      <c r="J89" s="5"/>
      <c r="M89" t="s">
        <v>2219</v>
      </c>
      <c r="N89">
        <v>334</v>
      </c>
      <c r="S89" s="24" t="s">
        <v>86</v>
      </c>
      <c r="T89" s="24">
        <v>454</v>
      </c>
      <c r="U89" s="24" t="s">
        <v>310</v>
      </c>
      <c r="V89" s="24">
        <v>1</v>
      </c>
      <c r="W89" s="2"/>
      <c r="AB89" s="27" t="s">
        <v>653</v>
      </c>
      <c r="AC89" s="29" t="s">
        <v>1408</v>
      </c>
      <c r="AF89" t="s">
        <v>2360</v>
      </c>
      <c r="AG89">
        <v>831</v>
      </c>
    </row>
    <row r="90" spans="3:33" ht="15" x14ac:dyDescent="0.25">
      <c r="C90" s="12"/>
      <c r="D90" s="13"/>
      <c r="E90" s="14"/>
      <c r="G90" s="7"/>
      <c r="H90" s="5"/>
      <c r="I90" s="5"/>
      <c r="J90" s="5"/>
      <c r="M90" t="s">
        <v>2360</v>
      </c>
      <c r="N90">
        <v>831</v>
      </c>
      <c r="S90" s="24" t="s">
        <v>88</v>
      </c>
      <c r="T90" s="24">
        <v>458</v>
      </c>
      <c r="U90" s="23" t="s">
        <v>311</v>
      </c>
      <c r="V90" s="23">
        <v>1</v>
      </c>
      <c r="W90" s="2"/>
      <c r="AB90" s="27" t="s">
        <v>654</v>
      </c>
      <c r="AC90" s="29" t="s">
        <v>1409</v>
      </c>
      <c r="AF90" t="s">
        <v>2225</v>
      </c>
      <c r="AG90">
        <v>356</v>
      </c>
    </row>
    <row r="91" spans="3:33" ht="15" x14ac:dyDescent="0.25">
      <c r="C91" s="12"/>
      <c r="D91" s="13"/>
      <c r="E91" s="14"/>
      <c r="G91" s="7"/>
      <c r="H91" s="5"/>
      <c r="I91" s="5"/>
      <c r="J91" s="5"/>
      <c r="M91" t="s">
        <v>2225</v>
      </c>
      <c r="N91">
        <v>356</v>
      </c>
      <c r="S91" s="24" t="s">
        <v>85</v>
      </c>
      <c r="T91" s="24">
        <v>462</v>
      </c>
      <c r="U91" s="24" t="s">
        <v>312</v>
      </c>
      <c r="V91" s="24">
        <v>1</v>
      </c>
      <c r="W91" s="2"/>
      <c r="AB91" s="27" t="s">
        <v>655</v>
      </c>
      <c r="AC91" s="29" t="s">
        <v>1410</v>
      </c>
      <c r="AF91" t="s">
        <v>2221</v>
      </c>
      <c r="AG91">
        <v>340</v>
      </c>
    </row>
    <row r="92" spans="3:33" ht="15" x14ac:dyDescent="0.25">
      <c r="C92" s="12"/>
      <c r="D92" s="13"/>
      <c r="E92" s="14"/>
      <c r="G92" s="7"/>
      <c r="H92" s="5"/>
      <c r="I92" s="5"/>
      <c r="J92" s="5"/>
      <c r="M92" t="s">
        <v>2221</v>
      </c>
      <c r="N92">
        <v>340</v>
      </c>
      <c r="S92" s="24" t="s">
        <v>83</v>
      </c>
      <c r="T92" s="24">
        <v>470</v>
      </c>
      <c r="U92" s="23" t="s">
        <v>313</v>
      </c>
      <c r="V92" s="23">
        <v>1</v>
      </c>
      <c r="W92" s="2"/>
      <c r="AB92" s="27" t="s">
        <v>656</v>
      </c>
      <c r="AC92" s="29" t="s">
        <v>1411</v>
      </c>
      <c r="AF92" t="s">
        <v>2226</v>
      </c>
      <c r="AG92">
        <v>360</v>
      </c>
    </row>
    <row r="93" spans="3:33" ht="15" x14ac:dyDescent="0.25">
      <c r="C93" s="12"/>
      <c r="D93" s="13"/>
      <c r="E93" s="14"/>
      <c r="G93" s="7"/>
      <c r="H93" s="5"/>
      <c r="I93" s="5"/>
      <c r="J93" s="5"/>
      <c r="M93" t="s">
        <v>2226</v>
      </c>
      <c r="N93">
        <v>360</v>
      </c>
      <c r="S93" s="24" t="s">
        <v>82</v>
      </c>
      <c r="T93" s="24">
        <v>478</v>
      </c>
      <c r="U93" s="24" t="s">
        <v>314</v>
      </c>
      <c r="V93" s="24">
        <v>1</v>
      </c>
      <c r="W93" s="2"/>
      <c r="AB93" s="27" t="s">
        <v>657</v>
      </c>
      <c r="AC93" s="29" t="s">
        <v>1412</v>
      </c>
      <c r="AF93" t="s">
        <v>2236</v>
      </c>
      <c r="AG93">
        <v>400</v>
      </c>
    </row>
    <row r="94" spans="3:33" ht="15" x14ac:dyDescent="0.25">
      <c r="C94" s="12"/>
      <c r="D94" s="13"/>
      <c r="E94" s="14"/>
      <c r="G94" s="7"/>
      <c r="H94" s="5"/>
      <c r="I94" s="5"/>
      <c r="J94" s="5"/>
      <c r="M94" t="s">
        <v>2236</v>
      </c>
      <c r="N94">
        <v>400</v>
      </c>
      <c r="S94" s="24" t="s">
        <v>84</v>
      </c>
      <c r="T94" s="24">
        <v>480</v>
      </c>
      <c r="U94" s="23" t="s">
        <v>315</v>
      </c>
      <c r="V94" s="23">
        <v>1</v>
      </c>
      <c r="W94" s="2"/>
      <c r="AB94" s="27" t="s">
        <v>658</v>
      </c>
      <c r="AC94" s="29" t="s">
        <v>1413</v>
      </c>
      <c r="AF94" t="s">
        <v>2227</v>
      </c>
      <c r="AG94">
        <v>364</v>
      </c>
    </row>
    <row r="95" spans="3:33" ht="15" x14ac:dyDescent="0.25">
      <c r="C95" s="12"/>
      <c r="D95" s="13"/>
      <c r="E95" s="14"/>
      <c r="G95" s="7"/>
      <c r="H95" s="5"/>
      <c r="I95" s="5"/>
      <c r="J95" s="5"/>
      <c r="M95" t="s">
        <v>2227</v>
      </c>
      <c r="N95">
        <v>364</v>
      </c>
      <c r="S95" s="24" t="s">
        <v>87</v>
      </c>
      <c r="T95" s="24">
        <v>484</v>
      </c>
      <c r="U95" s="24" t="s">
        <v>316</v>
      </c>
      <c r="V95" s="24">
        <v>1</v>
      </c>
      <c r="W95" s="2"/>
      <c r="AB95" s="27" t="s">
        <v>659</v>
      </c>
      <c r="AC95" s="29" t="s">
        <v>1414</v>
      </c>
      <c r="AF95" t="s">
        <v>2228</v>
      </c>
      <c r="AG95">
        <v>368</v>
      </c>
    </row>
    <row r="96" spans="3:33" ht="15" x14ac:dyDescent="0.25">
      <c r="C96" s="12"/>
      <c r="D96" s="13"/>
      <c r="E96" s="14"/>
      <c r="G96" s="7"/>
      <c r="H96" s="5"/>
      <c r="I96" s="5"/>
      <c r="J96" s="5"/>
      <c r="M96" t="s">
        <v>2228</v>
      </c>
      <c r="N96">
        <v>368</v>
      </c>
      <c r="S96" s="24" t="s">
        <v>80</v>
      </c>
      <c r="T96" s="24">
        <v>496</v>
      </c>
      <c r="U96" s="23" t="s">
        <v>317</v>
      </c>
      <c r="V96" s="23">
        <v>1</v>
      </c>
      <c r="W96" s="2"/>
      <c r="AB96" s="27" t="s">
        <v>660</v>
      </c>
      <c r="AC96" s="29" t="s">
        <v>1415</v>
      </c>
      <c r="AF96" t="s">
        <v>2229</v>
      </c>
      <c r="AG96">
        <v>372</v>
      </c>
    </row>
    <row r="97" spans="3:33" ht="15" x14ac:dyDescent="0.25">
      <c r="C97" s="12"/>
      <c r="D97" s="13"/>
      <c r="E97" s="14"/>
      <c r="G97" s="7"/>
      <c r="H97" s="5"/>
      <c r="I97" s="5"/>
      <c r="J97" s="5"/>
      <c r="M97" t="s">
        <v>2229</v>
      </c>
      <c r="N97">
        <v>372</v>
      </c>
      <c r="S97" s="24" t="s">
        <v>77</v>
      </c>
      <c r="T97" s="24">
        <v>498</v>
      </c>
      <c r="U97" s="24" t="s">
        <v>318</v>
      </c>
      <c r="V97" s="24">
        <v>1</v>
      </c>
      <c r="W97" s="2"/>
      <c r="AB97" s="27" t="s">
        <v>661</v>
      </c>
      <c r="AC97" s="29" t="s">
        <v>1416</v>
      </c>
      <c r="AF97" t="s">
        <v>2205</v>
      </c>
      <c r="AG97">
        <v>275</v>
      </c>
    </row>
    <row r="98" spans="3:33" ht="15" x14ac:dyDescent="0.25">
      <c r="C98" s="12"/>
      <c r="D98" s="13"/>
      <c r="E98" s="14"/>
      <c r="G98" s="7"/>
      <c r="H98" s="5"/>
      <c r="I98" s="5"/>
      <c r="J98" s="5"/>
      <c r="M98" t="s">
        <v>2205</v>
      </c>
      <c r="N98">
        <v>275</v>
      </c>
      <c r="S98" s="24" t="s">
        <v>76</v>
      </c>
      <c r="T98" s="24">
        <v>504</v>
      </c>
      <c r="U98" s="23" t="s">
        <v>319</v>
      </c>
      <c r="V98" s="23">
        <v>1</v>
      </c>
      <c r="W98" s="2"/>
      <c r="AB98" s="27" t="s">
        <v>662</v>
      </c>
      <c r="AC98" s="29" t="s">
        <v>1417</v>
      </c>
      <c r="AF98" t="s">
        <v>2125</v>
      </c>
      <c r="AG98">
        <v>30</v>
      </c>
    </row>
    <row r="99" spans="3:33" ht="15" x14ac:dyDescent="0.25">
      <c r="C99" s="12"/>
      <c r="D99" s="13"/>
      <c r="E99" s="14"/>
      <c r="G99" s="7"/>
      <c r="H99" s="5"/>
      <c r="I99" s="5"/>
      <c r="J99" s="5"/>
      <c r="M99" t="s">
        <v>2125</v>
      </c>
      <c r="N99">
        <v>30</v>
      </c>
      <c r="S99" s="24" t="s">
        <v>89</v>
      </c>
      <c r="T99" s="24">
        <v>508</v>
      </c>
      <c r="U99" s="24" t="s">
        <v>320</v>
      </c>
      <c r="V99" s="24">
        <v>1</v>
      </c>
      <c r="W99" s="2"/>
      <c r="AB99" s="27" t="s">
        <v>663</v>
      </c>
      <c r="AC99" s="29" t="s">
        <v>1418</v>
      </c>
      <c r="AF99" t="s">
        <v>2108</v>
      </c>
      <c r="AG99">
        <v>11</v>
      </c>
    </row>
    <row r="100" spans="3:33" ht="15" x14ac:dyDescent="0.25">
      <c r="C100" s="12"/>
      <c r="D100" s="13"/>
      <c r="E100" s="14"/>
      <c r="G100" s="7"/>
      <c r="H100" s="5"/>
      <c r="I100" s="5"/>
      <c r="J100" s="5"/>
      <c r="M100" t="s">
        <v>2108</v>
      </c>
      <c r="N100">
        <v>11</v>
      </c>
      <c r="S100" s="24" t="s">
        <v>96</v>
      </c>
      <c r="T100" s="24">
        <v>512</v>
      </c>
      <c r="U100" s="23" t="s">
        <v>321</v>
      </c>
      <c r="V100" s="23">
        <v>1</v>
      </c>
      <c r="W100" s="2"/>
      <c r="AB100" s="27" t="s">
        <v>664</v>
      </c>
      <c r="AC100" s="29" t="s">
        <v>1419</v>
      </c>
      <c r="AF100" t="s">
        <v>2224</v>
      </c>
      <c r="AG100">
        <v>352</v>
      </c>
    </row>
    <row r="101" spans="3:33" ht="15" x14ac:dyDescent="0.25">
      <c r="C101" s="12"/>
      <c r="D101" s="13"/>
      <c r="E101" s="14"/>
      <c r="G101" s="7"/>
      <c r="H101" s="5"/>
      <c r="I101" s="5"/>
      <c r="J101" s="5"/>
      <c r="M101" t="s">
        <v>2224</v>
      </c>
      <c r="N101">
        <v>352</v>
      </c>
      <c r="S101" s="24" t="s">
        <v>90</v>
      </c>
      <c r="T101" s="24">
        <v>516</v>
      </c>
      <c r="U101" s="24" t="s">
        <v>322</v>
      </c>
      <c r="V101" s="24">
        <v>1</v>
      </c>
      <c r="W101" s="2"/>
      <c r="AB101" s="27" t="s">
        <v>665</v>
      </c>
      <c r="AC101" s="29" t="s">
        <v>1420</v>
      </c>
      <c r="AF101" t="s">
        <v>2332</v>
      </c>
      <c r="AG101">
        <v>724</v>
      </c>
    </row>
    <row r="102" spans="3:33" ht="15" x14ac:dyDescent="0.25">
      <c r="C102" s="12"/>
      <c r="D102" s="13"/>
      <c r="E102" s="14"/>
      <c r="G102" s="7"/>
      <c r="H102" s="5"/>
      <c r="I102" s="5"/>
      <c r="J102" s="5"/>
      <c r="M102" t="s">
        <v>2332</v>
      </c>
      <c r="N102">
        <v>724</v>
      </c>
      <c r="S102" s="24" t="s">
        <v>94</v>
      </c>
      <c r="T102" s="24">
        <v>524</v>
      </c>
      <c r="U102" s="23" t="s">
        <v>323</v>
      </c>
      <c r="V102" s="23">
        <v>1</v>
      </c>
      <c r="W102" s="2"/>
      <c r="AB102" s="27" t="s">
        <v>666</v>
      </c>
      <c r="AC102" s="29" t="s">
        <v>1421</v>
      </c>
      <c r="AF102" t="s">
        <v>2230</v>
      </c>
      <c r="AG102">
        <v>376</v>
      </c>
    </row>
    <row r="103" spans="3:33" ht="15" x14ac:dyDescent="0.25">
      <c r="C103" s="12"/>
      <c r="D103" s="13"/>
      <c r="E103" s="14"/>
      <c r="G103" s="7"/>
      <c r="H103" s="5"/>
      <c r="I103" s="5"/>
      <c r="J103" s="5"/>
      <c r="M103" t="s">
        <v>2230</v>
      </c>
      <c r="N103">
        <v>376</v>
      </c>
      <c r="S103" s="24" t="s">
        <v>215</v>
      </c>
      <c r="T103" s="24">
        <v>528</v>
      </c>
      <c r="U103" s="24"/>
      <c r="V103" s="24">
        <v>1</v>
      </c>
      <c r="W103" s="2"/>
      <c r="AB103" s="27" t="s">
        <v>667</v>
      </c>
      <c r="AC103" s="29" t="s">
        <v>1422</v>
      </c>
      <c r="AF103" t="s">
        <v>2339</v>
      </c>
      <c r="AG103">
        <v>752</v>
      </c>
    </row>
    <row r="104" spans="3:33" ht="15" x14ac:dyDescent="0.25">
      <c r="C104" s="12"/>
      <c r="D104" s="13"/>
      <c r="E104" s="14"/>
      <c r="G104" s="7"/>
      <c r="H104" s="5"/>
      <c r="I104" s="5"/>
      <c r="J104" s="5"/>
      <c r="M104" t="s">
        <v>2339</v>
      </c>
      <c r="N104">
        <v>752</v>
      </c>
      <c r="S104" s="24" t="s">
        <v>18</v>
      </c>
      <c r="T104" s="24">
        <v>532</v>
      </c>
      <c r="U104" s="23" t="s">
        <v>324</v>
      </c>
      <c r="V104" s="23">
        <v>1</v>
      </c>
      <c r="W104" s="2"/>
      <c r="AB104" s="27" t="s">
        <v>668</v>
      </c>
      <c r="AC104" s="29" t="s">
        <v>1423</v>
      </c>
      <c r="AF104" t="s">
        <v>2340</v>
      </c>
      <c r="AG104">
        <v>756</v>
      </c>
    </row>
    <row r="105" spans="3:33" ht="15" x14ac:dyDescent="0.25">
      <c r="C105" s="12"/>
      <c r="D105" s="13"/>
      <c r="E105" s="14"/>
      <c r="G105" s="7"/>
      <c r="H105" s="5"/>
      <c r="I105" s="5"/>
      <c r="J105" s="5"/>
      <c r="M105" t="s">
        <v>2340</v>
      </c>
      <c r="N105">
        <v>756</v>
      </c>
      <c r="S105" s="24" t="s">
        <v>21</v>
      </c>
      <c r="T105" s="24">
        <v>533</v>
      </c>
      <c r="U105" s="24" t="s">
        <v>325</v>
      </c>
      <c r="V105" s="24">
        <v>1</v>
      </c>
      <c r="W105" s="2"/>
      <c r="AB105" s="27" t="s">
        <v>669</v>
      </c>
      <c r="AC105" s="29" t="s">
        <v>1424</v>
      </c>
      <c r="AF105" t="s">
        <v>2231</v>
      </c>
      <c r="AG105">
        <v>380</v>
      </c>
    </row>
    <row r="106" spans="3:33" ht="15" x14ac:dyDescent="0.25">
      <c r="C106" s="12"/>
      <c r="D106" s="13"/>
      <c r="E106" s="14"/>
      <c r="G106" s="7"/>
      <c r="H106" s="5"/>
      <c r="I106" s="5"/>
      <c r="J106" s="5"/>
      <c r="M106" t="s">
        <v>2231</v>
      </c>
      <c r="N106">
        <v>380</v>
      </c>
      <c r="S106" s="24" t="s">
        <v>133</v>
      </c>
      <c r="T106" s="24">
        <v>548</v>
      </c>
      <c r="U106" s="23" t="s">
        <v>326</v>
      </c>
      <c r="V106" s="23">
        <v>1</v>
      </c>
      <c r="W106" s="2"/>
      <c r="AB106" s="27" t="s">
        <v>670</v>
      </c>
      <c r="AC106" s="29" t="s">
        <v>1425</v>
      </c>
      <c r="AF106" t="s">
        <v>2160</v>
      </c>
      <c r="AG106">
        <v>132</v>
      </c>
    </row>
    <row r="107" spans="3:33" ht="15" x14ac:dyDescent="0.25">
      <c r="C107" s="12"/>
      <c r="D107" s="13"/>
      <c r="E107" s="14"/>
      <c r="G107" s="7"/>
      <c r="H107" s="5"/>
      <c r="I107" s="5"/>
      <c r="J107" s="5"/>
      <c r="M107" t="s">
        <v>2160</v>
      </c>
      <c r="N107">
        <v>132</v>
      </c>
      <c r="S107" s="24" t="s">
        <v>95</v>
      </c>
      <c r="T107" s="24">
        <v>554</v>
      </c>
      <c r="U107" s="24" t="s">
        <v>327</v>
      </c>
      <c r="V107" s="24">
        <v>1</v>
      </c>
      <c r="W107" s="2"/>
      <c r="AB107" s="27" t="s">
        <v>671</v>
      </c>
      <c r="AC107" s="29" t="s">
        <v>1426</v>
      </c>
      <c r="AF107" t="s">
        <v>2157</v>
      </c>
      <c r="AG107">
        <v>116</v>
      </c>
    </row>
    <row r="108" spans="3:33" ht="15" x14ac:dyDescent="0.25">
      <c r="C108" s="12"/>
      <c r="D108" s="13"/>
      <c r="E108" s="14"/>
      <c r="G108" s="7"/>
      <c r="H108" s="5"/>
      <c r="I108" s="5"/>
      <c r="J108" s="5"/>
      <c r="M108" t="s">
        <v>2157</v>
      </c>
      <c r="N108">
        <v>116</v>
      </c>
      <c r="S108" s="24" t="s">
        <v>92</v>
      </c>
      <c r="T108" s="24">
        <v>558</v>
      </c>
      <c r="U108" s="23" t="s">
        <v>328</v>
      </c>
      <c r="V108" s="23">
        <v>1</v>
      </c>
      <c r="W108" s="2"/>
      <c r="AB108" s="27" t="s">
        <v>672</v>
      </c>
      <c r="AC108" s="29" t="s">
        <v>1427</v>
      </c>
      <c r="AF108" t="s">
        <v>2158</v>
      </c>
      <c r="AG108">
        <v>120</v>
      </c>
    </row>
    <row r="109" spans="3:33" ht="15" x14ac:dyDescent="0.25">
      <c r="C109" s="12"/>
      <c r="D109" s="13"/>
      <c r="E109" s="14"/>
      <c r="G109" s="7"/>
      <c r="H109" s="5"/>
      <c r="I109" s="5"/>
      <c r="J109" s="5"/>
      <c r="M109" t="s">
        <v>2158</v>
      </c>
      <c r="N109">
        <v>120</v>
      </c>
      <c r="S109" s="24" t="s">
        <v>91</v>
      </c>
      <c r="T109" s="24">
        <v>566</v>
      </c>
      <c r="U109" s="24" t="s">
        <v>329</v>
      </c>
      <c r="V109" s="24">
        <v>1</v>
      </c>
      <c r="W109" s="2"/>
      <c r="AB109" s="27" t="s">
        <v>673</v>
      </c>
      <c r="AC109" s="29" t="s">
        <v>1428</v>
      </c>
      <c r="AF109" t="s">
        <v>2159</v>
      </c>
      <c r="AG109">
        <v>124</v>
      </c>
    </row>
    <row r="110" spans="3:33" ht="15" x14ac:dyDescent="0.25">
      <c r="C110" s="12"/>
      <c r="D110" s="13"/>
      <c r="E110" s="14"/>
      <c r="G110" s="7"/>
      <c r="H110" s="5"/>
      <c r="I110" s="5"/>
      <c r="J110" s="5"/>
      <c r="M110" t="s">
        <v>2159</v>
      </c>
      <c r="N110">
        <v>124</v>
      </c>
      <c r="S110" s="24" t="s">
        <v>93</v>
      </c>
      <c r="T110" s="24">
        <v>578</v>
      </c>
      <c r="U110" s="23" t="s">
        <v>330</v>
      </c>
      <c r="V110" s="23">
        <v>1</v>
      </c>
      <c r="W110" s="2"/>
      <c r="AB110" s="27" t="s">
        <v>674</v>
      </c>
      <c r="AC110" s="29" t="s">
        <v>1429</v>
      </c>
      <c r="AF110" t="s">
        <v>2161</v>
      </c>
      <c r="AG110">
        <v>136</v>
      </c>
    </row>
    <row r="111" spans="3:33" ht="15" x14ac:dyDescent="0.25">
      <c r="C111" s="12"/>
      <c r="D111" s="13"/>
      <c r="E111" s="14"/>
      <c r="G111" s="7"/>
      <c r="H111" s="5"/>
      <c r="I111" s="5"/>
      <c r="J111" s="5"/>
      <c r="M111" t="s">
        <v>2161</v>
      </c>
      <c r="N111">
        <v>136</v>
      </c>
      <c r="S111" s="24" t="s">
        <v>100</v>
      </c>
      <c r="T111" s="24">
        <v>586</v>
      </c>
      <c r="U111" s="24" t="s">
        <v>331</v>
      </c>
      <c r="V111" s="24">
        <v>1</v>
      </c>
      <c r="W111" s="2"/>
      <c r="AB111" s="27" t="s">
        <v>675</v>
      </c>
      <c r="AC111" s="29" t="s">
        <v>1430</v>
      </c>
      <c r="AF111" t="s">
        <v>2356</v>
      </c>
      <c r="AG111">
        <v>807</v>
      </c>
    </row>
    <row r="112" spans="3:33" ht="15" x14ac:dyDescent="0.25">
      <c r="C112" s="12"/>
      <c r="D112" s="13"/>
      <c r="E112" s="14"/>
      <c r="G112" s="7"/>
      <c r="H112" s="5"/>
      <c r="I112" s="5"/>
      <c r="J112" s="5"/>
      <c r="M112" t="s">
        <v>2356</v>
      </c>
      <c r="N112">
        <v>807</v>
      </c>
      <c r="S112" s="24" t="s">
        <v>216</v>
      </c>
      <c r="T112" s="24">
        <v>590</v>
      </c>
      <c r="U112" s="23" t="s">
        <v>332</v>
      </c>
      <c r="V112" s="23">
        <v>1</v>
      </c>
      <c r="W112" s="2"/>
      <c r="AB112" s="27" t="s">
        <v>676</v>
      </c>
      <c r="AC112" s="29" t="s">
        <v>1431</v>
      </c>
      <c r="AF112" t="s">
        <v>2111</v>
      </c>
      <c r="AG112">
        <v>14</v>
      </c>
    </row>
    <row r="113" spans="3:33" ht="15" x14ac:dyDescent="0.25">
      <c r="C113" s="12"/>
      <c r="D113" s="13"/>
      <c r="E113" s="14"/>
      <c r="G113" s="7"/>
      <c r="H113" s="5"/>
      <c r="I113" s="5"/>
      <c r="J113" s="5"/>
      <c r="M113" t="s">
        <v>2111</v>
      </c>
      <c r="N113">
        <v>14</v>
      </c>
      <c r="S113" s="24" t="s">
        <v>98</v>
      </c>
      <c r="T113" s="24">
        <v>598</v>
      </c>
      <c r="U113" s="24" t="s">
        <v>333</v>
      </c>
      <c r="V113" s="24">
        <v>1</v>
      </c>
      <c r="W113" s="2"/>
      <c r="AB113" s="27" t="s">
        <v>677</v>
      </c>
      <c r="AC113" s="29" t="s">
        <v>1432</v>
      </c>
      <c r="AF113" t="s">
        <v>2237</v>
      </c>
      <c r="AG113">
        <v>404</v>
      </c>
    </row>
    <row r="114" spans="3:33" ht="15" x14ac:dyDescent="0.25">
      <c r="C114" s="12"/>
      <c r="D114" s="13"/>
      <c r="E114" s="14"/>
      <c r="G114" s="7"/>
      <c r="H114" s="5"/>
      <c r="I114" s="5"/>
      <c r="J114" s="5"/>
      <c r="M114" t="s">
        <v>2237</v>
      </c>
      <c r="N114">
        <v>404</v>
      </c>
      <c r="S114" s="24" t="s">
        <v>102</v>
      </c>
      <c r="T114" s="24">
        <v>600</v>
      </c>
      <c r="U114" s="23" t="s">
        <v>334</v>
      </c>
      <c r="V114" s="23">
        <v>1</v>
      </c>
      <c r="W114" s="2"/>
      <c r="AB114" s="27" t="s">
        <v>678</v>
      </c>
      <c r="AC114" s="29" t="s">
        <v>1433</v>
      </c>
      <c r="AF114" t="s">
        <v>2179</v>
      </c>
      <c r="AG114">
        <v>196</v>
      </c>
    </row>
    <row r="115" spans="3:33" ht="15" x14ac:dyDescent="0.25">
      <c r="C115" s="12"/>
      <c r="D115" s="13"/>
      <c r="E115" s="14"/>
      <c r="G115" s="7"/>
      <c r="H115" s="5"/>
      <c r="I115" s="5"/>
      <c r="J115" s="5"/>
      <c r="M115" t="s">
        <v>2179</v>
      </c>
      <c r="N115">
        <v>196</v>
      </c>
      <c r="S115" s="24" t="s">
        <v>97</v>
      </c>
      <c r="T115" s="24">
        <v>604</v>
      </c>
      <c r="U115" s="24" t="s">
        <v>335</v>
      </c>
      <c r="V115" s="24">
        <v>1</v>
      </c>
      <c r="W115" s="2"/>
      <c r="AB115" s="27" t="s">
        <v>679</v>
      </c>
      <c r="AC115" s="29" t="s">
        <v>1434</v>
      </c>
      <c r="AF115" t="s">
        <v>2209</v>
      </c>
      <c r="AG115">
        <v>296</v>
      </c>
    </row>
    <row r="116" spans="3:33" ht="15" x14ac:dyDescent="0.25">
      <c r="C116" s="12"/>
      <c r="D116" s="13"/>
      <c r="E116" s="14"/>
      <c r="G116" s="7"/>
      <c r="H116" s="5"/>
      <c r="I116" s="5"/>
      <c r="J116" s="5"/>
      <c r="M116" t="s">
        <v>2209</v>
      </c>
      <c r="N116">
        <v>296</v>
      </c>
      <c r="S116" s="24" t="s">
        <v>99</v>
      </c>
      <c r="T116" s="24">
        <v>608</v>
      </c>
      <c r="U116" s="23" t="s">
        <v>336</v>
      </c>
      <c r="V116" s="23">
        <v>1</v>
      </c>
      <c r="W116" s="2"/>
      <c r="AB116" s="27" t="s">
        <v>680</v>
      </c>
      <c r="AC116" s="29" t="s">
        <v>1435</v>
      </c>
      <c r="AF116" t="s">
        <v>2169</v>
      </c>
      <c r="AG116">
        <v>166</v>
      </c>
    </row>
    <row r="117" spans="3:33" ht="15" x14ac:dyDescent="0.25">
      <c r="C117" s="12"/>
      <c r="D117" s="13"/>
      <c r="E117" s="14"/>
      <c r="G117" s="7"/>
      <c r="H117" s="5"/>
      <c r="I117" s="5"/>
      <c r="J117" s="5"/>
      <c r="M117" t="s">
        <v>2169</v>
      </c>
      <c r="N117">
        <v>166</v>
      </c>
      <c r="S117" s="24" t="s">
        <v>217</v>
      </c>
      <c r="T117" s="24">
        <v>620</v>
      </c>
      <c r="U117" s="24"/>
      <c r="V117" s="24">
        <v>1</v>
      </c>
      <c r="W117" s="2"/>
      <c r="AB117" s="27" t="s">
        <v>681</v>
      </c>
      <c r="AC117" s="29" t="s">
        <v>1436</v>
      </c>
      <c r="AF117" t="s">
        <v>2170</v>
      </c>
      <c r="AG117">
        <v>170</v>
      </c>
    </row>
    <row r="118" spans="3:33" ht="15" x14ac:dyDescent="0.25">
      <c r="C118" s="12"/>
      <c r="D118" s="13"/>
      <c r="E118" s="14"/>
      <c r="G118" s="7"/>
      <c r="H118" s="5"/>
      <c r="I118" s="5"/>
      <c r="J118" s="5"/>
      <c r="M118" t="s">
        <v>2170</v>
      </c>
      <c r="N118">
        <v>170</v>
      </c>
      <c r="S118" s="24" t="s">
        <v>218</v>
      </c>
      <c r="T118" s="24">
        <v>624</v>
      </c>
      <c r="U118" s="23"/>
      <c r="V118" s="23">
        <v>1</v>
      </c>
      <c r="W118" s="2"/>
      <c r="AB118" s="27" t="s">
        <v>682</v>
      </c>
      <c r="AC118" s="29" t="s">
        <v>1437</v>
      </c>
      <c r="AF118" t="s">
        <v>2173</v>
      </c>
      <c r="AG118">
        <v>178</v>
      </c>
    </row>
    <row r="119" spans="3:33" ht="15" x14ac:dyDescent="0.25">
      <c r="C119" s="12"/>
      <c r="D119" s="13"/>
      <c r="E119" s="14"/>
      <c r="G119" s="7"/>
      <c r="H119" s="5"/>
      <c r="I119" s="5"/>
      <c r="J119" s="5"/>
      <c r="M119" t="s">
        <v>2173</v>
      </c>
      <c r="N119">
        <v>178</v>
      </c>
      <c r="S119" s="24" t="s">
        <v>103</v>
      </c>
      <c r="T119" s="24">
        <v>634</v>
      </c>
      <c r="U119" s="24" t="s">
        <v>337</v>
      </c>
      <c r="V119" s="24">
        <v>1</v>
      </c>
      <c r="W119" s="2"/>
      <c r="AB119" s="27" t="s">
        <v>683</v>
      </c>
      <c r="AC119" s="29" t="s">
        <v>1438</v>
      </c>
      <c r="AF119" t="s">
        <v>2174</v>
      </c>
      <c r="AG119">
        <v>180</v>
      </c>
    </row>
    <row r="120" spans="3:33" ht="15" x14ac:dyDescent="0.25">
      <c r="C120" s="12"/>
      <c r="D120" s="13"/>
      <c r="E120" s="14"/>
      <c r="G120" s="7"/>
      <c r="H120" s="5"/>
      <c r="I120" s="5"/>
      <c r="J120" s="5"/>
      <c r="M120" t="s">
        <v>2174</v>
      </c>
      <c r="N120">
        <v>180</v>
      </c>
      <c r="S120" s="24" t="s">
        <v>219</v>
      </c>
      <c r="T120" s="24">
        <v>642</v>
      </c>
      <c r="U120" s="23"/>
      <c r="V120" s="23">
        <v>1</v>
      </c>
      <c r="W120" s="2"/>
      <c r="AB120" s="27" t="s">
        <v>684</v>
      </c>
      <c r="AC120" s="29" t="s">
        <v>1439</v>
      </c>
      <c r="AF120" t="s">
        <v>2239</v>
      </c>
      <c r="AG120">
        <v>410</v>
      </c>
    </row>
    <row r="121" spans="3:33" ht="15" x14ac:dyDescent="0.25">
      <c r="C121" s="12"/>
      <c r="D121" s="13"/>
      <c r="E121" s="14"/>
      <c r="G121" s="7"/>
      <c r="H121" s="5"/>
      <c r="I121" s="5"/>
      <c r="J121" s="5"/>
      <c r="M121" t="s">
        <v>2239</v>
      </c>
      <c r="N121">
        <v>410</v>
      </c>
      <c r="S121" s="24" t="s">
        <v>14</v>
      </c>
      <c r="T121" s="24">
        <v>643</v>
      </c>
      <c r="U121" s="24" t="s">
        <v>338</v>
      </c>
      <c r="V121" s="24">
        <v>1</v>
      </c>
      <c r="W121" s="2"/>
      <c r="AB121" s="27" t="s">
        <v>685</v>
      </c>
      <c r="AC121" s="29" t="s">
        <v>1440</v>
      </c>
      <c r="AF121" t="s">
        <v>2238</v>
      </c>
      <c r="AG121">
        <v>408</v>
      </c>
    </row>
    <row r="122" spans="3:33" ht="15" x14ac:dyDescent="0.25">
      <c r="C122" s="12"/>
      <c r="D122" s="13"/>
      <c r="E122" s="14"/>
      <c r="G122" s="7"/>
      <c r="H122" s="5"/>
      <c r="I122" s="5"/>
      <c r="J122" s="5"/>
      <c r="M122" t="s">
        <v>2238</v>
      </c>
      <c r="N122">
        <v>408</v>
      </c>
      <c r="S122" s="24" t="s">
        <v>105</v>
      </c>
      <c r="T122" s="24">
        <v>646</v>
      </c>
      <c r="U122" s="23" t="s">
        <v>339</v>
      </c>
      <c r="V122" s="23">
        <v>1</v>
      </c>
      <c r="W122" s="2"/>
      <c r="AB122" s="27" t="s">
        <v>686</v>
      </c>
      <c r="AC122" s="29" t="s">
        <v>1441</v>
      </c>
      <c r="AF122" t="s">
        <v>2176</v>
      </c>
      <c r="AG122">
        <v>188</v>
      </c>
    </row>
    <row r="123" spans="3:33" ht="15" x14ac:dyDescent="0.25">
      <c r="C123" s="12"/>
      <c r="D123" s="13"/>
      <c r="E123" s="14"/>
      <c r="G123" s="7"/>
      <c r="H123" s="5"/>
      <c r="I123" s="5"/>
      <c r="J123" s="5"/>
      <c r="M123" t="s">
        <v>2176</v>
      </c>
      <c r="N123">
        <v>188</v>
      </c>
      <c r="S123" s="24" t="s">
        <v>111</v>
      </c>
      <c r="T123" s="24">
        <v>654</v>
      </c>
      <c r="U123" s="24" t="s">
        <v>340</v>
      </c>
      <c r="V123" s="24">
        <v>1</v>
      </c>
      <c r="W123" s="2"/>
      <c r="AB123" s="27" t="s">
        <v>687</v>
      </c>
      <c r="AC123" s="29" t="s">
        <v>1442</v>
      </c>
      <c r="AF123" t="s">
        <v>2232</v>
      </c>
      <c r="AG123">
        <v>384</v>
      </c>
    </row>
    <row r="124" spans="3:33" ht="15" x14ac:dyDescent="0.25">
      <c r="C124" s="12"/>
      <c r="D124" s="13"/>
      <c r="E124" s="14"/>
      <c r="G124" s="7"/>
      <c r="H124" s="5"/>
      <c r="I124" s="5"/>
      <c r="J124" s="5"/>
      <c r="M124" t="s">
        <v>2232</v>
      </c>
      <c r="N124">
        <v>384</v>
      </c>
      <c r="S124" s="24" t="s">
        <v>116</v>
      </c>
      <c r="T124" s="24">
        <v>678</v>
      </c>
      <c r="U124" s="23" t="s">
        <v>341</v>
      </c>
      <c r="V124" s="23">
        <v>1</v>
      </c>
      <c r="W124" s="2"/>
      <c r="AB124" s="27" t="s">
        <v>688</v>
      </c>
      <c r="AC124" s="29" t="s">
        <v>1443</v>
      </c>
      <c r="AF124" t="s">
        <v>2168</v>
      </c>
      <c r="AG124">
        <v>162</v>
      </c>
    </row>
    <row r="125" spans="3:33" ht="15" x14ac:dyDescent="0.25">
      <c r="C125" s="12"/>
      <c r="D125" s="13"/>
      <c r="E125" s="14"/>
      <c r="G125" s="7"/>
      <c r="H125" s="5"/>
      <c r="I125" s="5"/>
      <c r="J125" s="5"/>
      <c r="M125" t="s">
        <v>2168</v>
      </c>
      <c r="N125">
        <v>162</v>
      </c>
      <c r="S125" s="24" t="s">
        <v>106</v>
      </c>
      <c r="T125" s="24">
        <v>682</v>
      </c>
      <c r="U125" s="24" t="s">
        <v>342</v>
      </c>
      <c r="V125" s="24">
        <v>1</v>
      </c>
      <c r="W125" s="2"/>
      <c r="AB125" s="27" t="s">
        <v>689</v>
      </c>
      <c r="AC125" s="29" t="s">
        <v>1444</v>
      </c>
      <c r="AF125" t="s">
        <v>2178</v>
      </c>
      <c r="AG125">
        <v>192</v>
      </c>
    </row>
    <row r="126" spans="3:33" ht="15" x14ac:dyDescent="0.25">
      <c r="C126" s="12"/>
      <c r="D126" s="13"/>
      <c r="E126" s="14"/>
      <c r="G126" s="7"/>
      <c r="H126" s="5"/>
      <c r="I126" s="5"/>
      <c r="J126" s="5"/>
      <c r="M126" t="s">
        <v>2178</v>
      </c>
      <c r="N126">
        <v>192</v>
      </c>
      <c r="S126" s="24" t="s">
        <v>108</v>
      </c>
      <c r="T126" s="24">
        <v>690</v>
      </c>
      <c r="U126" s="23" t="s">
        <v>343</v>
      </c>
      <c r="V126" s="23">
        <v>1</v>
      </c>
      <c r="W126" s="2"/>
      <c r="AB126" s="27" t="s">
        <v>690</v>
      </c>
      <c r="AC126" s="29" t="s">
        <v>1445</v>
      </c>
      <c r="AF126" t="s">
        <v>2175</v>
      </c>
      <c r="AG126">
        <v>184</v>
      </c>
    </row>
    <row r="127" spans="3:33" ht="15" x14ac:dyDescent="0.25">
      <c r="C127" s="12"/>
      <c r="D127" s="13"/>
      <c r="E127" s="14"/>
      <c r="G127" s="7"/>
      <c r="H127" s="5"/>
      <c r="I127" s="5"/>
      <c r="J127" s="5"/>
      <c r="M127" t="s">
        <v>2175</v>
      </c>
      <c r="N127">
        <v>184</v>
      </c>
      <c r="S127" s="24" t="s">
        <v>113</v>
      </c>
      <c r="T127" s="24">
        <v>694</v>
      </c>
      <c r="U127" s="24" t="s">
        <v>344</v>
      </c>
      <c r="V127" s="24">
        <v>1</v>
      </c>
      <c r="W127" s="2"/>
      <c r="AB127" s="27" t="s">
        <v>691</v>
      </c>
      <c r="AC127" s="29" t="s">
        <v>1446</v>
      </c>
      <c r="AF127" t="s">
        <v>2275</v>
      </c>
      <c r="AG127">
        <v>531</v>
      </c>
    </row>
    <row r="128" spans="3:33" ht="15" x14ac:dyDescent="0.25">
      <c r="C128" s="12"/>
      <c r="D128" s="13"/>
      <c r="E128" s="14"/>
      <c r="G128" s="7"/>
      <c r="H128" s="5"/>
      <c r="I128" s="5"/>
      <c r="J128" s="5"/>
      <c r="M128" t="s">
        <v>2275</v>
      </c>
      <c r="N128">
        <v>531</v>
      </c>
      <c r="S128" s="24" t="s">
        <v>110</v>
      </c>
      <c r="T128" s="24">
        <v>702</v>
      </c>
      <c r="U128" s="23" t="s">
        <v>345</v>
      </c>
      <c r="V128" s="23">
        <v>1</v>
      </c>
      <c r="W128" s="2"/>
      <c r="AB128" s="27" t="s">
        <v>692</v>
      </c>
      <c r="AC128" s="29" t="s">
        <v>1447</v>
      </c>
      <c r="AF128" t="s">
        <v>2240</v>
      </c>
      <c r="AG128">
        <v>414</v>
      </c>
    </row>
    <row r="129" spans="3:33" ht="15" x14ac:dyDescent="0.25">
      <c r="C129" s="12"/>
      <c r="D129" s="13"/>
      <c r="E129" s="14"/>
      <c r="G129" s="7"/>
      <c r="H129" s="5"/>
      <c r="I129" s="5"/>
      <c r="J129" s="5"/>
      <c r="M129" t="s">
        <v>2240</v>
      </c>
      <c r="N129">
        <v>414</v>
      </c>
      <c r="S129" s="24" t="s">
        <v>112</v>
      </c>
      <c r="T129" s="24">
        <v>703</v>
      </c>
      <c r="U129" s="24"/>
      <c r="V129" s="24">
        <v>1</v>
      </c>
      <c r="W129" s="2"/>
      <c r="AB129" s="27" t="s">
        <v>693</v>
      </c>
      <c r="AC129" s="29" t="s">
        <v>1448</v>
      </c>
      <c r="AF129" t="s">
        <v>2242</v>
      </c>
      <c r="AG129">
        <v>418</v>
      </c>
    </row>
    <row r="130" spans="3:33" ht="15" x14ac:dyDescent="0.25">
      <c r="C130" s="12"/>
      <c r="D130" s="13"/>
      <c r="E130" s="14"/>
      <c r="G130" s="7"/>
      <c r="H130" s="5"/>
      <c r="I130" s="5"/>
      <c r="J130" s="5"/>
      <c r="M130" t="s">
        <v>2242</v>
      </c>
      <c r="N130">
        <v>418</v>
      </c>
      <c r="S130" s="24" t="s">
        <v>132</v>
      </c>
      <c r="T130" s="24">
        <v>704</v>
      </c>
      <c r="U130" s="23" t="s">
        <v>346</v>
      </c>
      <c r="V130" s="23">
        <v>1</v>
      </c>
      <c r="W130" s="2"/>
      <c r="AB130" s="27" t="s">
        <v>694</v>
      </c>
      <c r="AC130" s="29" t="s">
        <v>1449</v>
      </c>
      <c r="AF130" t="s">
        <v>2245</v>
      </c>
      <c r="AG130">
        <v>428</v>
      </c>
    </row>
    <row r="131" spans="3:33" ht="15" x14ac:dyDescent="0.25">
      <c r="C131" s="12"/>
      <c r="D131" s="13"/>
      <c r="E131" s="14"/>
      <c r="G131" s="7"/>
      <c r="H131" s="5"/>
      <c r="I131" s="5"/>
      <c r="J131" s="5"/>
      <c r="M131" t="s">
        <v>2245</v>
      </c>
      <c r="N131">
        <v>428</v>
      </c>
      <c r="S131" s="24" t="s">
        <v>220</v>
      </c>
      <c r="T131" s="24">
        <v>705</v>
      </c>
      <c r="U131" s="24"/>
      <c r="V131" s="24">
        <v>1</v>
      </c>
      <c r="W131" s="2"/>
      <c r="AB131" s="27" t="s">
        <v>695</v>
      </c>
      <c r="AC131" s="29" t="s">
        <v>1450</v>
      </c>
      <c r="AF131" t="s">
        <v>2244</v>
      </c>
      <c r="AG131">
        <v>426</v>
      </c>
    </row>
    <row r="132" spans="3:33" ht="15" x14ac:dyDescent="0.25">
      <c r="C132" s="12"/>
      <c r="D132" s="13"/>
      <c r="E132" s="14"/>
      <c r="G132" s="7"/>
      <c r="H132" s="5"/>
      <c r="I132" s="5"/>
      <c r="J132" s="5"/>
      <c r="M132" t="s">
        <v>2244</v>
      </c>
      <c r="N132">
        <v>426</v>
      </c>
      <c r="S132" s="24" t="s">
        <v>114</v>
      </c>
      <c r="T132" s="24">
        <v>706</v>
      </c>
      <c r="U132" s="23" t="s">
        <v>347</v>
      </c>
      <c r="V132" s="23">
        <v>1</v>
      </c>
      <c r="W132" s="2"/>
      <c r="AB132" s="27" t="s">
        <v>696</v>
      </c>
      <c r="AC132" s="29" t="s">
        <v>1451</v>
      </c>
      <c r="AF132" t="s">
        <v>2246</v>
      </c>
      <c r="AG132">
        <v>430</v>
      </c>
    </row>
    <row r="133" spans="3:33" ht="15" x14ac:dyDescent="0.25">
      <c r="C133" s="12"/>
      <c r="D133" s="13"/>
      <c r="E133" s="14"/>
      <c r="G133" s="7"/>
      <c r="H133" s="5"/>
      <c r="I133" s="5"/>
      <c r="J133" s="5"/>
      <c r="M133" t="s">
        <v>2246</v>
      </c>
      <c r="N133">
        <v>430</v>
      </c>
      <c r="S133" s="24" t="s">
        <v>140</v>
      </c>
      <c r="T133" s="24">
        <v>710</v>
      </c>
      <c r="U133" s="24" t="s">
        <v>348</v>
      </c>
      <c r="V133" s="24">
        <v>1</v>
      </c>
      <c r="W133" s="2"/>
      <c r="AB133" s="27" t="s">
        <v>697</v>
      </c>
      <c r="AC133" s="29" t="s">
        <v>1452</v>
      </c>
      <c r="AF133" t="s">
        <v>2249</v>
      </c>
      <c r="AG133">
        <v>440</v>
      </c>
    </row>
    <row r="134" spans="3:33" ht="15" x14ac:dyDescent="0.25">
      <c r="C134" s="12"/>
      <c r="D134" s="13"/>
      <c r="E134" s="14"/>
      <c r="G134" s="7"/>
      <c r="H134" s="5"/>
      <c r="I134" s="5"/>
      <c r="J134" s="5"/>
      <c r="M134" t="s">
        <v>2249</v>
      </c>
      <c r="N134">
        <v>440</v>
      </c>
      <c r="S134" s="24" t="s">
        <v>221</v>
      </c>
      <c r="T134" s="24">
        <v>716</v>
      </c>
      <c r="U134" s="23"/>
      <c r="V134" s="23">
        <v>1</v>
      </c>
      <c r="W134" s="2"/>
      <c r="AB134" s="27" t="s">
        <v>698</v>
      </c>
      <c r="AC134" s="29" t="s">
        <v>1453</v>
      </c>
      <c r="AF134" t="s">
        <v>2243</v>
      </c>
      <c r="AG134">
        <v>422</v>
      </c>
    </row>
    <row r="135" spans="3:33" ht="15" x14ac:dyDescent="0.25">
      <c r="C135" s="12"/>
      <c r="D135" s="13"/>
      <c r="E135" s="14"/>
      <c r="G135" s="7"/>
      <c r="H135" s="5"/>
      <c r="I135" s="5"/>
      <c r="J135" s="5"/>
      <c r="M135" t="s">
        <v>2243</v>
      </c>
      <c r="N135">
        <v>422</v>
      </c>
      <c r="S135" s="24" t="s">
        <v>222</v>
      </c>
      <c r="T135" s="24">
        <v>724</v>
      </c>
      <c r="U135" s="24"/>
      <c r="V135" s="24">
        <v>1</v>
      </c>
      <c r="W135" s="2"/>
      <c r="AB135" s="27" t="s">
        <v>699</v>
      </c>
      <c r="AC135" s="29" t="s">
        <v>1454</v>
      </c>
      <c r="AF135" t="s">
        <v>2247</v>
      </c>
      <c r="AG135">
        <v>434</v>
      </c>
    </row>
    <row r="136" spans="3:33" ht="15" x14ac:dyDescent="0.25">
      <c r="C136" s="12"/>
      <c r="D136" s="13"/>
      <c r="E136" s="14"/>
      <c r="G136" s="7"/>
      <c r="H136" s="5"/>
      <c r="I136" s="5"/>
      <c r="J136" s="5"/>
      <c r="M136" t="s">
        <v>2247</v>
      </c>
      <c r="N136">
        <v>434</v>
      </c>
      <c r="S136" s="24" t="s">
        <v>115</v>
      </c>
      <c r="T136" s="24">
        <v>728</v>
      </c>
      <c r="U136" s="23" t="s">
        <v>349</v>
      </c>
      <c r="V136" s="23">
        <v>1</v>
      </c>
      <c r="W136" s="2"/>
      <c r="AB136" s="27" t="s">
        <v>700</v>
      </c>
      <c r="AC136" s="29" t="s">
        <v>1455</v>
      </c>
      <c r="AF136" t="s">
        <v>2248</v>
      </c>
      <c r="AG136">
        <v>438</v>
      </c>
    </row>
    <row r="137" spans="3:33" ht="15" x14ac:dyDescent="0.25">
      <c r="C137" s="12"/>
      <c r="D137" s="13"/>
      <c r="E137" s="14"/>
      <c r="G137" s="7"/>
      <c r="H137" s="5"/>
      <c r="I137" s="5"/>
      <c r="J137" s="5"/>
      <c r="M137" t="s">
        <v>2248</v>
      </c>
      <c r="N137">
        <v>438</v>
      </c>
      <c r="S137" s="24" t="s">
        <v>223</v>
      </c>
      <c r="T137" s="24">
        <v>736</v>
      </c>
      <c r="U137" s="24"/>
      <c r="V137" s="24">
        <v>1</v>
      </c>
      <c r="W137" s="2"/>
      <c r="AB137" s="27" t="s">
        <v>701</v>
      </c>
      <c r="AC137" s="29" t="s">
        <v>1456</v>
      </c>
      <c r="AF137" t="s">
        <v>2250</v>
      </c>
      <c r="AG137">
        <v>442</v>
      </c>
    </row>
    <row r="138" spans="3:33" ht="15" x14ac:dyDescent="0.25">
      <c r="C138" s="12"/>
      <c r="D138" s="13"/>
      <c r="E138" s="14"/>
      <c r="G138" s="7"/>
      <c r="H138" s="5"/>
      <c r="I138" s="5"/>
      <c r="J138" s="5"/>
      <c r="M138" t="s">
        <v>2250</v>
      </c>
      <c r="N138">
        <v>442</v>
      </c>
      <c r="S138" s="24" t="s">
        <v>224</v>
      </c>
      <c r="T138" s="24">
        <v>740</v>
      </c>
      <c r="U138" s="23"/>
      <c r="V138" s="23">
        <v>1</v>
      </c>
      <c r="W138" s="2"/>
      <c r="AB138" s="27" t="s">
        <v>702</v>
      </c>
      <c r="AC138" s="29" t="s">
        <v>1457</v>
      </c>
      <c r="AF138" t="s">
        <v>2223</v>
      </c>
      <c r="AG138">
        <v>348</v>
      </c>
    </row>
    <row r="139" spans="3:33" ht="15" x14ac:dyDescent="0.25">
      <c r="C139" s="12"/>
      <c r="D139" s="13"/>
      <c r="E139" s="14"/>
      <c r="G139" s="7"/>
      <c r="H139" s="5"/>
      <c r="I139" s="5"/>
      <c r="J139" s="5"/>
      <c r="M139" t="s">
        <v>2223</v>
      </c>
      <c r="N139">
        <v>348</v>
      </c>
      <c r="S139" s="24" t="s">
        <v>118</v>
      </c>
      <c r="T139" s="24">
        <v>748</v>
      </c>
      <c r="U139" s="24" t="s">
        <v>350</v>
      </c>
      <c r="V139" s="24">
        <v>1</v>
      </c>
      <c r="W139" s="2"/>
      <c r="AB139" s="27" t="s">
        <v>703</v>
      </c>
      <c r="AC139" s="29" t="s">
        <v>1458</v>
      </c>
      <c r="AF139" t="s">
        <v>2252</v>
      </c>
      <c r="AG139">
        <v>450</v>
      </c>
    </row>
    <row r="140" spans="3:33" ht="15" x14ac:dyDescent="0.25">
      <c r="C140" s="12"/>
      <c r="D140" s="13"/>
      <c r="E140" s="14"/>
      <c r="G140" s="7"/>
      <c r="H140" s="5"/>
      <c r="I140" s="5"/>
      <c r="J140" s="5"/>
      <c r="M140" t="s">
        <v>2252</v>
      </c>
      <c r="N140">
        <v>450</v>
      </c>
      <c r="S140" s="24" t="s">
        <v>7</v>
      </c>
      <c r="T140" s="24">
        <v>752</v>
      </c>
      <c r="U140" s="23" t="s">
        <v>351</v>
      </c>
      <c r="V140" s="23">
        <v>1</v>
      </c>
      <c r="W140" s="2"/>
      <c r="AB140" s="27" t="s">
        <v>704</v>
      </c>
      <c r="AC140" s="29" t="s">
        <v>1459</v>
      </c>
      <c r="AF140" t="s">
        <v>2253</v>
      </c>
      <c r="AG140">
        <v>454</v>
      </c>
    </row>
    <row r="141" spans="3:33" ht="15" x14ac:dyDescent="0.25">
      <c r="C141" s="12"/>
      <c r="D141" s="13"/>
      <c r="E141" s="14"/>
      <c r="G141" s="7"/>
      <c r="H141" s="5"/>
      <c r="I141" s="5"/>
      <c r="J141" s="5"/>
      <c r="M141" t="s">
        <v>2253</v>
      </c>
      <c r="N141">
        <v>454</v>
      </c>
      <c r="S141" s="24" t="s">
        <v>5</v>
      </c>
      <c r="T141" s="24">
        <v>756</v>
      </c>
      <c r="U141" s="24" t="s">
        <v>352</v>
      </c>
      <c r="V141" s="24">
        <v>1</v>
      </c>
      <c r="W141" s="2"/>
      <c r="AB141" s="27" t="s">
        <v>705</v>
      </c>
      <c r="AC141" s="29" t="s">
        <v>1460</v>
      </c>
      <c r="AF141" t="s">
        <v>2254</v>
      </c>
      <c r="AG141">
        <v>458</v>
      </c>
    </row>
    <row r="142" spans="3:33" ht="15" x14ac:dyDescent="0.25">
      <c r="C142" s="12"/>
      <c r="D142" s="13"/>
      <c r="E142" s="14"/>
      <c r="G142" s="7"/>
      <c r="H142" s="5"/>
      <c r="I142" s="5"/>
      <c r="J142" s="5"/>
      <c r="M142" t="s">
        <v>2254</v>
      </c>
      <c r="N142">
        <v>458</v>
      </c>
      <c r="S142" s="24" t="s">
        <v>117</v>
      </c>
      <c r="T142" s="24">
        <v>760</v>
      </c>
      <c r="U142" s="23" t="s">
        <v>353</v>
      </c>
      <c r="V142" s="23">
        <v>1</v>
      </c>
      <c r="W142" s="2"/>
      <c r="AB142" s="27" t="s">
        <v>706</v>
      </c>
      <c r="AC142" s="29" t="s">
        <v>1461</v>
      </c>
      <c r="AF142" t="s">
        <v>2255</v>
      </c>
      <c r="AG142">
        <v>462</v>
      </c>
    </row>
    <row r="143" spans="3:33" ht="15" x14ac:dyDescent="0.25">
      <c r="C143" s="12"/>
      <c r="D143" s="13"/>
      <c r="E143" s="14"/>
      <c r="G143" s="7"/>
      <c r="H143" s="5"/>
      <c r="I143" s="5"/>
      <c r="J143" s="5"/>
      <c r="M143" t="s">
        <v>2255</v>
      </c>
      <c r="N143">
        <v>462</v>
      </c>
      <c r="S143" s="24" t="s">
        <v>119</v>
      </c>
      <c r="T143" s="24">
        <v>764</v>
      </c>
      <c r="U143" s="24" t="s">
        <v>354</v>
      </c>
      <c r="V143" s="24">
        <v>1</v>
      </c>
      <c r="W143" s="2"/>
      <c r="AB143" s="27" t="s">
        <v>707</v>
      </c>
      <c r="AC143" s="29" t="s">
        <v>1462</v>
      </c>
      <c r="AF143" t="s">
        <v>2256</v>
      </c>
      <c r="AG143">
        <v>466</v>
      </c>
    </row>
    <row r="144" spans="3:33" ht="15" x14ac:dyDescent="0.25">
      <c r="C144" s="12"/>
      <c r="D144" s="13"/>
      <c r="E144" s="14"/>
      <c r="G144" s="7"/>
      <c r="H144" s="5"/>
      <c r="I144" s="5"/>
      <c r="J144" s="5"/>
      <c r="M144" t="s">
        <v>2256</v>
      </c>
      <c r="N144">
        <v>466</v>
      </c>
      <c r="S144" s="24" t="s">
        <v>123</v>
      </c>
      <c r="T144" s="24">
        <v>776</v>
      </c>
      <c r="U144" s="23" t="s">
        <v>355</v>
      </c>
      <c r="V144" s="23">
        <v>1</v>
      </c>
      <c r="W144" s="2"/>
      <c r="AB144" s="27" t="s">
        <v>708</v>
      </c>
      <c r="AC144" s="29" t="s">
        <v>1463</v>
      </c>
      <c r="AF144" t="s">
        <v>2257</v>
      </c>
      <c r="AG144">
        <v>470</v>
      </c>
    </row>
    <row r="145" spans="3:33" ht="15" x14ac:dyDescent="0.25">
      <c r="C145" s="12"/>
      <c r="D145" s="13"/>
      <c r="E145" s="14"/>
      <c r="G145" s="7"/>
      <c r="H145" s="5"/>
      <c r="I145" s="5"/>
      <c r="J145" s="5"/>
      <c r="M145" t="s">
        <v>2257</v>
      </c>
      <c r="N145">
        <v>470</v>
      </c>
      <c r="S145" s="24" t="s">
        <v>124</v>
      </c>
      <c r="T145" s="24">
        <v>780</v>
      </c>
      <c r="U145" s="24" t="s">
        <v>356</v>
      </c>
      <c r="V145" s="24">
        <v>1</v>
      </c>
      <c r="W145" s="2"/>
      <c r="AB145" s="27" t="s">
        <v>709</v>
      </c>
      <c r="AC145" s="29" t="s">
        <v>1464</v>
      </c>
      <c r="AF145" t="s">
        <v>2291</v>
      </c>
      <c r="AG145">
        <v>584</v>
      </c>
    </row>
    <row r="146" spans="3:33" ht="15" x14ac:dyDescent="0.25">
      <c r="C146" s="12"/>
      <c r="D146" s="13"/>
      <c r="E146" s="14"/>
      <c r="G146" s="7"/>
      <c r="H146" s="5"/>
      <c r="I146" s="5"/>
      <c r="J146" s="5"/>
      <c r="M146" t="s">
        <v>2291</v>
      </c>
      <c r="N146">
        <v>584</v>
      </c>
      <c r="S146" s="24" t="s">
        <v>11</v>
      </c>
      <c r="T146" s="24">
        <v>784</v>
      </c>
      <c r="U146" s="23" t="s">
        <v>357</v>
      </c>
      <c r="V146" s="23">
        <v>1</v>
      </c>
      <c r="W146" s="2"/>
      <c r="AB146" s="27" t="s">
        <v>710</v>
      </c>
      <c r="AC146" s="29" t="s">
        <v>1465</v>
      </c>
      <c r="AF146" t="s">
        <v>2258</v>
      </c>
      <c r="AG146">
        <v>474</v>
      </c>
    </row>
    <row r="147" spans="3:33" ht="15" x14ac:dyDescent="0.25">
      <c r="C147" s="12"/>
      <c r="D147" s="13"/>
      <c r="E147" s="14"/>
      <c r="G147" s="7"/>
      <c r="H147" s="5"/>
      <c r="I147" s="5"/>
      <c r="J147" s="5"/>
      <c r="M147" t="s">
        <v>2258</v>
      </c>
      <c r="N147">
        <v>474</v>
      </c>
      <c r="S147" s="24" t="s">
        <v>122</v>
      </c>
      <c r="T147" s="24">
        <v>788</v>
      </c>
      <c r="U147" s="24" t="s">
        <v>358</v>
      </c>
      <c r="V147" s="24">
        <v>1</v>
      </c>
      <c r="W147" s="2"/>
      <c r="AB147" s="27" t="s">
        <v>711</v>
      </c>
      <c r="AC147" s="29" t="s">
        <v>1466</v>
      </c>
      <c r="AF147" t="s">
        <v>2260</v>
      </c>
      <c r="AG147">
        <v>480</v>
      </c>
    </row>
    <row r="148" spans="3:33" ht="15" x14ac:dyDescent="0.25">
      <c r="C148" s="12"/>
      <c r="D148" s="13"/>
      <c r="E148" s="14"/>
      <c r="G148" s="7"/>
      <c r="H148" s="5"/>
      <c r="I148" s="5"/>
      <c r="J148" s="5"/>
      <c r="M148" t="s">
        <v>2260</v>
      </c>
      <c r="N148">
        <v>480</v>
      </c>
      <c r="S148" s="24" t="s">
        <v>225</v>
      </c>
      <c r="T148" s="24">
        <v>795</v>
      </c>
      <c r="U148" s="23"/>
      <c r="V148" s="23">
        <v>1</v>
      </c>
      <c r="W148" s="2"/>
      <c r="AB148" s="27" t="s">
        <v>712</v>
      </c>
      <c r="AC148" s="29" t="s">
        <v>1467</v>
      </c>
      <c r="AF148" t="s">
        <v>2259</v>
      </c>
      <c r="AG148">
        <v>478</v>
      </c>
    </row>
    <row r="149" spans="3:33" ht="15" x14ac:dyDescent="0.25">
      <c r="C149" s="12"/>
      <c r="D149" s="13"/>
      <c r="E149" s="14"/>
      <c r="G149" s="7"/>
      <c r="H149" s="5"/>
      <c r="I149" s="5"/>
      <c r="J149" s="5"/>
      <c r="M149" t="s">
        <v>2259</v>
      </c>
      <c r="N149">
        <v>478</v>
      </c>
      <c r="S149" s="24" t="s">
        <v>128</v>
      </c>
      <c r="T149" s="24">
        <v>800</v>
      </c>
      <c r="U149" s="24" t="s">
        <v>359</v>
      </c>
      <c r="V149" s="24">
        <v>1</v>
      </c>
      <c r="W149" s="2"/>
      <c r="AB149" s="27" t="s">
        <v>713</v>
      </c>
      <c r="AC149" s="29" t="s">
        <v>1468</v>
      </c>
      <c r="AF149" t="s">
        <v>2261</v>
      </c>
      <c r="AG149">
        <v>484</v>
      </c>
    </row>
    <row r="150" spans="3:33" ht="15" x14ac:dyDescent="0.25">
      <c r="C150" s="12"/>
      <c r="D150" s="13"/>
      <c r="E150" s="14"/>
      <c r="G150" s="7"/>
      <c r="H150" s="5"/>
      <c r="I150" s="5"/>
      <c r="J150" s="5"/>
      <c r="M150" t="s">
        <v>2261</v>
      </c>
      <c r="N150">
        <v>484</v>
      </c>
      <c r="S150" s="24" t="s">
        <v>78</v>
      </c>
      <c r="T150" s="24">
        <v>807</v>
      </c>
      <c r="U150" s="23" t="s">
        <v>360</v>
      </c>
      <c r="V150" s="23">
        <v>1</v>
      </c>
      <c r="W150" s="2"/>
      <c r="AB150" s="27" t="s">
        <v>714</v>
      </c>
      <c r="AC150" s="29" t="s">
        <v>1469</v>
      </c>
      <c r="AF150" t="s">
        <v>2362</v>
      </c>
      <c r="AG150">
        <v>833</v>
      </c>
    </row>
    <row r="151" spans="3:33" ht="15" x14ac:dyDescent="0.25">
      <c r="C151" s="12"/>
      <c r="D151" s="13"/>
      <c r="E151" s="14"/>
      <c r="G151" s="7"/>
      <c r="H151" s="5"/>
      <c r="I151" s="5"/>
      <c r="J151" s="5"/>
      <c r="M151" t="s">
        <v>2362</v>
      </c>
      <c r="N151">
        <v>833</v>
      </c>
      <c r="S151" s="24" t="s">
        <v>226</v>
      </c>
      <c r="T151" s="24">
        <v>810</v>
      </c>
      <c r="U151" s="24" t="s">
        <v>361</v>
      </c>
      <c r="V151" s="24">
        <v>1</v>
      </c>
      <c r="W151" s="2"/>
      <c r="AB151" s="27" t="s">
        <v>715</v>
      </c>
      <c r="AC151" s="29" t="s">
        <v>1470</v>
      </c>
      <c r="AF151" t="s">
        <v>2267</v>
      </c>
      <c r="AG151">
        <v>504</v>
      </c>
    </row>
    <row r="152" spans="3:33" ht="15" x14ac:dyDescent="0.25">
      <c r="C152" s="12"/>
      <c r="D152" s="13"/>
      <c r="E152" s="14"/>
      <c r="G152" s="7"/>
      <c r="H152" s="5"/>
      <c r="I152" s="5"/>
      <c r="J152" s="5"/>
      <c r="M152" t="s">
        <v>2267</v>
      </c>
      <c r="N152">
        <v>504</v>
      </c>
      <c r="S152" s="24" t="s">
        <v>50</v>
      </c>
      <c r="T152" s="24">
        <v>818</v>
      </c>
      <c r="U152" s="23" t="s">
        <v>362</v>
      </c>
      <c r="V152" s="23">
        <v>1</v>
      </c>
      <c r="W152" s="2"/>
      <c r="AB152" s="27" t="s">
        <v>716</v>
      </c>
      <c r="AC152" s="29" t="s">
        <v>1471</v>
      </c>
      <c r="AF152" t="s">
        <v>2162</v>
      </c>
      <c r="AG152">
        <v>140</v>
      </c>
    </row>
    <row r="153" spans="3:33" ht="15" x14ac:dyDescent="0.25">
      <c r="C153" s="12"/>
      <c r="D153" s="13"/>
      <c r="E153" s="14"/>
      <c r="G153" s="7"/>
      <c r="H153" s="5"/>
      <c r="I153" s="5"/>
      <c r="J153" s="5"/>
      <c r="M153" t="s">
        <v>2162</v>
      </c>
      <c r="N153">
        <v>140</v>
      </c>
      <c r="S153" s="24" t="s">
        <v>6</v>
      </c>
      <c r="T153" s="24">
        <v>826</v>
      </c>
      <c r="U153" s="24" t="s">
        <v>363</v>
      </c>
      <c r="V153" s="24">
        <v>1</v>
      </c>
      <c r="W153" s="2"/>
      <c r="AB153" s="27" t="s">
        <v>717</v>
      </c>
      <c r="AC153" s="29" t="s">
        <v>1472</v>
      </c>
      <c r="AF153" t="s">
        <v>2172</v>
      </c>
      <c r="AG153">
        <v>175</v>
      </c>
    </row>
    <row r="154" spans="3:33" ht="15" x14ac:dyDescent="0.25">
      <c r="C154" s="12"/>
      <c r="D154" s="13"/>
      <c r="E154" s="14"/>
      <c r="G154" s="7"/>
      <c r="H154" s="5"/>
      <c r="I154" s="5"/>
      <c r="J154" s="5"/>
      <c r="M154" t="s">
        <v>2172</v>
      </c>
      <c r="N154">
        <v>175</v>
      </c>
      <c r="S154" s="24" t="s">
        <v>126</v>
      </c>
      <c r="T154" s="24">
        <v>834</v>
      </c>
      <c r="U154" s="23" t="s">
        <v>364</v>
      </c>
      <c r="V154" s="23">
        <v>1</v>
      </c>
      <c r="W154" s="2"/>
      <c r="AB154" s="27" t="s">
        <v>718</v>
      </c>
      <c r="AC154" s="29" t="s">
        <v>1473</v>
      </c>
      <c r="AF154" t="s">
        <v>2290</v>
      </c>
      <c r="AG154">
        <v>583</v>
      </c>
    </row>
    <row r="155" spans="3:33" ht="15" x14ac:dyDescent="0.25">
      <c r="C155" s="12"/>
      <c r="D155" s="13"/>
      <c r="E155" s="14"/>
      <c r="G155" s="7"/>
      <c r="H155" s="5"/>
      <c r="I155" s="5"/>
      <c r="J155" s="5"/>
      <c r="M155" t="s">
        <v>2290</v>
      </c>
      <c r="N155">
        <v>583</v>
      </c>
      <c r="S155" s="24" t="s">
        <v>10</v>
      </c>
      <c r="T155" s="24">
        <v>840</v>
      </c>
      <c r="U155" s="24" t="s">
        <v>365</v>
      </c>
      <c r="V155" s="24">
        <v>1</v>
      </c>
      <c r="W155" s="2"/>
      <c r="AB155" s="27" t="s">
        <v>719</v>
      </c>
      <c r="AC155" s="29" t="s">
        <v>1474</v>
      </c>
      <c r="AF155" t="s">
        <v>2357</v>
      </c>
      <c r="AG155">
        <v>818</v>
      </c>
    </row>
    <row r="156" spans="3:33" ht="15" x14ac:dyDescent="0.25">
      <c r="C156" s="12"/>
      <c r="D156" s="13"/>
      <c r="E156" s="14"/>
      <c r="G156" s="7"/>
      <c r="H156" s="5"/>
      <c r="I156" s="5"/>
      <c r="J156" s="5"/>
      <c r="M156" t="s">
        <v>2357</v>
      </c>
      <c r="N156">
        <v>818</v>
      </c>
      <c r="S156" s="24" t="s">
        <v>129</v>
      </c>
      <c r="T156" s="24">
        <v>858</v>
      </c>
      <c r="U156" s="23" t="s">
        <v>366</v>
      </c>
      <c r="V156" s="23">
        <v>1</v>
      </c>
      <c r="W156" s="2"/>
      <c r="AB156" s="27" t="s">
        <v>720</v>
      </c>
      <c r="AC156" s="29" t="s">
        <v>1475</v>
      </c>
      <c r="AF156" t="s">
        <v>2264</v>
      </c>
      <c r="AG156">
        <v>498</v>
      </c>
    </row>
    <row r="157" spans="3:33" ht="15" x14ac:dyDescent="0.25">
      <c r="C157" s="12"/>
      <c r="D157" s="13"/>
      <c r="E157" s="14"/>
      <c r="G157" s="7"/>
      <c r="H157" s="5"/>
      <c r="I157" s="5"/>
      <c r="J157" s="5"/>
      <c r="M157" t="s">
        <v>2264</v>
      </c>
      <c r="N157">
        <v>498</v>
      </c>
      <c r="S157" s="24" t="s">
        <v>130</v>
      </c>
      <c r="T157" s="24">
        <v>860</v>
      </c>
      <c r="U157" s="24" t="s">
        <v>367</v>
      </c>
      <c r="V157" s="24">
        <v>100</v>
      </c>
      <c r="W157" s="2"/>
      <c r="AB157" s="27" t="s">
        <v>721</v>
      </c>
      <c r="AC157" s="29" t="s">
        <v>1476</v>
      </c>
      <c r="AF157" t="s">
        <v>2262</v>
      </c>
      <c r="AG157">
        <v>492</v>
      </c>
    </row>
    <row r="158" spans="3:33" ht="15" x14ac:dyDescent="0.25">
      <c r="C158" s="12"/>
      <c r="D158" s="13"/>
      <c r="E158" s="14"/>
      <c r="G158" s="7"/>
      <c r="H158" s="5"/>
      <c r="I158" s="5"/>
      <c r="J158" s="5"/>
      <c r="M158" t="s">
        <v>2262</v>
      </c>
      <c r="N158">
        <v>492</v>
      </c>
      <c r="S158" s="24" t="s">
        <v>227</v>
      </c>
      <c r="T158" s="24">
        <v>862</v>
      </c>
      <c r="U158" s="23"/>
      <c r="V158" s="23">
        <v>1</v>
      </c>
      <c r="W158" s="2"/>
      <c r="AB158" s="27" t="s">
        <v>722</v>
      </c>
      <c r="AC158" s="29" t="s">
        <v>1477</v>
      </c>
      <c r="AF158" t="s">
        <v>2263</v>
      </c>
      <c r="AG158">
        <v>496</v>
      </c>
    </row>
    <row r="159" spans="3:33" ht="15" x14ac:dyDescent="0.25">
      <c r="C159" s="12"/>
      <c r="D159" s="13"/>
      <c r="E159" s="14"/>
      <c r="G159" s="7"/>
      <c r="H159" s="5"/>
      <c r="I159" s="5"/>
      <c r="J159" s="5"/>
      <c r="M159" t="s">
        <v>2263</v>
      </c>
      <c r="N159">
        <v>496</v>
      </c>
      <c r="S159" s="24" t="s">
        <v>134</v>
      </c>
      <c r="T159" s="24">
        <v>882</v>
      </c>
      <c r="U159" s="24" t="s">
        <v>368</v>
      </c>
      <c r="V159" s="24">
        <v>1</v>
      </c>
      <c r="W159" s="2"/>
      <c r="AB159" s="27" t="s">
        <v>723</v>
      </c>
      <c r="AC159" s="29" t="s">
        <v>1478</v>
      </c>
      <c r="AF159" t="s">
        <v>2266</v>
      </c>
      <c r="AG159">
        <v>500</v>
      </c>
    </row>
    <row r="160" spans="3:33" ht="15" x14ac:dyDescent="0.25">
      <c r="C160" s="12"/>
      <c r="D160" s="13"/>
      <c r="E160" s="14"/>
      <c r="G160" s="7"/>
      <c r="H160" s="5"/>
      <c r="I160" s="5"/>
      <c r="J160" s="5"/>
      <c r="M160" t="s">
        <v>2266</v>
      </c>
      <c r="N160">
        <v>500</v>
      </c>
      <c r="S160" s="24" t="s">
        <v>139</v>
      </c>
      <c r="T160" s="24">
        <v>886</v>
      </c>
      <c r="U160" s="23" t="s">
        <v>369</v>
      </c>
      <c r="V160" s="23">
        <v>1</v>
      </c>
      <c r="W160" s="2"/>
      <c r="AB160" s="27" t="s">
        <v>724</v>
      </c>
      <c r="AC160" s="29" t="s">
        <v>1479</v>
      </c>
      <c r="AF160" t="s">
        <v>2265</v>
      </c>
      <c r="AG160">
        <v>499</v>
      </c>
    </row>
    <row r="161" spans="3:33" ht="15" x14ac:dyDescent="0.25">
      <c r="C161" s="12"/>
      <c r="D161" s="13"/>
      <c r="E161" s="14"/>
      <c r="G161" s="7"/>
      <c r="H161" s="5"/>
      <c r="I161" s="5"/>
      <c r="J161" s="5"/>
      <c r="M161" t="s">
        <v>2265</v>
      </c>
      <c r="N161">
        <v>499</v>
      </c>
      <c r="S161" s="24" t="s">
        <v>42</v>
      </c>
      <c r="T161" s="24">
        <v>891</v>
      </c>
      <c r="U161" s="24"/>
      <c r="V161" s="24">
        <v>1</v>
      </c>
      <c r="W161" s="2"/>
      <c r="AB161" s="27" t="s">
        <v>725</v>
      </c>
      <c r="AC161" s="29" t="s">
        <v>1480</v>
      </c>
      <c r="AF161" t="s">
        <v>2268</v>
      </c>
      <c r="AG161">
        <v>508</v>
      </c>
    </row>
    <row r="162" spans="3:33" ht="15" x14ac:dyDescent="0.25">
      <c r="C162" s="12"/>
      <c r="D162" s="13"/>
      <c r="E162" s="14"/>
      <c r="G162" s="7"/>
      <c r="H162" s="5"/>
      <c r="I162" s="5"/>
      <c r="J162" s="5"/>
      <c r="M162" t="s">
        <v>2268</v>
      </c>
      <c r="N162">
        <v>508</v>
      </c>
      <c r="S162" s="24" t="s">
        <v>141</v>
      </c>
      <c r="T162" s="24">
        <v>894</v>
      </c>
      <c r="U162" s="23" t="s">
        <v>370</v>
      </c>
      <c r="V162" s="23">
        <v>1</v>
      </c>
      <c r="W162" s="2"/>
      <c r="AB162" s="27" t="s">
        <v>726</v>
      </c>
      <c r="AC162" s="29" t="s">
        <v>1481</v>
      </c>
      <c r="AF162" t="s">
        <v>2220</v>
      </c>
      <c r="AG162">
        <v>336</v>
      </c>
    </row>
    <row r="163" spans="3:33" ht="15" x14ac:dyDescent="0.25">
      <c r="C163" s="12"/>
      <c r="D163" s="13"/>
      <c r="E163" s="14"/>
      <c r="G163" s="7"/>
      <c r="H163" s="5"/>
      <c r="I163" s="5"/>
      <c r="J163" s="5"/>
      <c r="M163" t="s">
        <v>2220</v>
      </c>
      <c r="N163">
        <v>336</v>
      </c>
      <c r="S163" s="24" t="s">
        <v>125</v>
      </c>
      <c r="T163" s="24">
        <v>901</v>
      </c>
      <c r="U163" s="24" t="s">
        <v>371</v>
      </c>
      <c r="V163" s="24">
        <v>1</v>
      </c>
      <c r="W163" s="2"/>
      <c r="AB163" s="27" t="s">
        <v>727</v>
      </c>
      <c r="AC163" s="29" t="s">
        <v>1482</v>
      </c>
      <c r="AF163" t="s">
        <v>2311</v>
      </c>
      <c r="AG163">
        <v>654</v>
      </c>
    </row>
    <row r="164" spans="3:33" ht="15" x14ac:dyDescent="0.25">
      <c r="C164" s="12"/>
      <c r="D164" s="13"/>
      <c r="E164" s="14"/>
      <c r="G164" s="7"/>
      <c r="H164" s="5"/>
      <c r="I164" s="5"/>
      <c r="J164" s="5"/>
      <c r="M164" t="s">
        <v>2311</v>
      </c>
      <c r="N164">
        <v>654</v>
      </c>
      <c r="S164" s="24" t="s">
        <v>228</v>
      </c>
      <c r="T164" s="24">
        <v>933</v>
      </c>
      <c r="U164" s="23" t="s">
        <v>372</v>
      </c>
      <c r="V164" s="23">
        <v>1</v>
      </c>
      <c r="W164" s="2"/>
      <c r="AB164" s="27" t="s">
        <v>728</v>
      </c>
      <c r="AC164" s="29" t="s">
        <v>1483</v>
      </c>
      <c r="AF164" t="s">
        <v>2154</v>
      </c>
      <c r="AG164">
        <v>104</v>
      </c>
    </row>
    <row r="165" spans="3:33" ht="15" x14ac:dyDescent="0.25">
      <c r="C165" s="12"/>
      <c r="D165" s="13"/>
      <c r="E165" s="14"/>
      <c r="G165" s="7"/>
      <c r="H165" s="5"/>
      <c r="I165" s="5"/>
      <c r="J165" s="5"/>
      <c r="M165" t="s">
        <v>2154</v>
      </c>
      <c r="N165">
        <v>104</v>
      </c>
      <c r="S165" s="24" t="s">
        <v>121</v>
      </c>
      <c r="T165" s="24">
        <v>934</v>
      </c>
      <c r="U165" s="24" t="s">
        <v>373</v>
      </c>
      <c r="V165" s="24">
        <v>100</v>
      </c>
      <c r="W165" s="2"/>
      <c r="AB165" s="27" t="s">
        <v>729</v>
      </c>
      <c r="AC165" s="29" t="s">
        <v>1484</v>
      </c>
      <c r="AF165" t="s">
        <v>2270</v>
      </c>
      <c r="AG165">
        <v>516</v>
      </c>
    </row>
    <row r="166" spans="3:33" ht="15" x14ac:dyDescent="0.25">
      <c r="C166" s="12"/>
      <c r="D166" s="13"/>
      <c r="E166" s="14"/>
      <c r="G166" s="7"/>
      <c r="H166" s="5"/>
      <c r="I166" s="5"/>
      <c r="J166" s="5"/>
      <c r="M166" t="s">
        <v>2270</v>
      </c>
      <c r="N166">
        <v>516</v>
      </c>
      <c r="S166" s="24" t="s">
        <v>131</v>
      </c>
      <c r="T166" s="24">
        <v>937</v>
      </c>
      <c r="U166" s="23" t="s">
        <v>374</v>
      </c>
      <c r="V166" s="23">
        <v>1</v>
      </c>
      <c r="W166" s="2"/>
      <c r="AB166" s="27" t="s">
        <v>730</v>
      </c>
      <c r="AC166" s="29" t="s">
        <v>1485</v>
      </c>
      <c r="AF166" t="s">
        <v>2271</v>
      </c>
      <c r="AG166">
        <v>520</v>
      </c>
    </row>
    <row r="167" spans="3:33" ht="15" x14ac:dyDescent="0.25">
      <c r="C167" s="12"/>
      <c r="D167" s="13"/>
      <c r="E167" s="14"/>
      <c r="G167" s="7"/>
      <c r="H167" s="5"/>
      <c r="I167" s="5"/>
      <c r="J167" s="5"/>
      <c r="M167" t="s">
        <v>2271</v>
      </c>
      <c r="N167">
        <v>520</v>
      </c>
      <c r="S167" s="24" t="s">
        <v>109</v>
      </c>
      <c r="T167" s="24">
        <v>938</v>
      </c>
      <c r="U167" s="24" t="s">
        <v>375</v>
      </c>
      <c r="V167" s="24">
        <v>1</v>
      </c>
      <c r="W167" s="2"/>
      <c r="AB167" s="27" t="s">
        <v>731</v>
      </c>
      <c r="AC167" s="29" t="s">
        <v>1486</v>
      </c>
      <c r="AF167" t="s">
        <v>2272</v>
      </c>
      <c r="AG167">
        <v>524</v>
      </c>
    </row>
    <row r="168" spans="3:33" ht="15" x14ac:dyDescent="0.25">
      <c r="C168" s="12"/>
      <c r="D168" s="13"/>
      <c r="E168" s="14"/>
      <c r="G168" s="7"/>
      <c r="H168" s="5"/>
      <c r="I168" s="5"/>
      <c r="J168" s="5"/>
      <c r="M168" t="s">
        <v>2272</v>
      </c>
      <c r="N168">
        <v>524</v>
      </c>
      <c r="S168" s="24" t="s">
        <v>229</v>
      </c>
      <c r="T168" s="24">
        <v>941</v>
      </c>
      <c r="U168" s="23" t="s">
        <v>376</v>
      </c>
      <c r="V168" s="23">
        <v>1</v>
      </c>
      <c r="W168" s="2"/>
      <c r="AB168" s="27" t="s">
        <v>732</v>
      </c>
      <c r="AC168" s="29" t="s">
        <v>1487</v>
      </c>
      <c r="AF168" t="s">
        <v>2273</v>
      </c>
      <c r="AG168">
        <v>528</v>
      </c>
    </row>
    <row r="169" spans="3:33" ht="15" x14ac:dyDescent="0.25">
      <c r="C169" s="12"/>
      <c r="D169" s="13"/>
      <c r="E169" s="14"/>
      <c r="G169" s="7"/>
      <c r="H169" s="5"/>
      <c r="I169" s="5"/>
      <c r="J169" s="5"/>
      <c r="M169" t="s">
        <v>2273</v>
      </c>
      <c r="N169">
        <v>528</v>
      </c>
      <c r="S169" s="24" t="s">
        <v>2</v>
      </c>
      <c r="T169" s="24">
        <v>944</v>
      </c>
      <c r="U169" s="24" t="s">
        <v>377</v>
      </c>
      <c r="V169" s="24">
        <v>1</v>
      </c>
      <c r="W169" s="2"/>
      <c r="AB169" s="27" t="s">
        <v>733</v>
      </c>
      <c r="AC169" s="29" t="s">
        <v>1488</v>
      </c>
      <c r="AF169" t="s">
        <v>2274</v>
      </c>
      <c r="AG169">
        <v>530</v>
      </c>
    </row>
    <row r="170" spans="3:33" ht="15" x14ac:dyDescent="0.25">
      <c r="C170" s="12"/>
      <c r="D170" s="13"/>
      <c r="E170" s="14"/>
      <c r="G170" s="7"/>
      <c r="H170" s="5"/>
      <c r="I170" s="5"/>
      <c r="J170" s="5"/>
      <c r="M170" t="s">
        <v>2274</v>
      </c>
      <c r="N170">
        <v>530</v>
      </c>
      <c r="S170" s="24" t="s">
        <v>104</v>
      </c>
      <c r="T170" s="24">
        <v>946</v>
      </c>
      <c r="U170" s="23" t="s">
        <v>378</v>
      </c>
      <c r="V170" s="23">
        <v>1</v>
      </c>
      <c r="W170" s="2"/>
      <c r="AB170" s="27" t="s">
        <v>734</v>
      </c>
      <c r="AC170" s="29" t="s">
        <v>1489</v>
      </c>
      <c r="AF170" t="s">
        <v>2283</v>
      </c>
      <c r="AG170">
        <v>562</v>
      </c>
    </row>
    <row r="171" spans="3:33" ht="15" x14ac:dyDescent="0.25">
      <c r="C171" s="12"/>
      <c r="D171" s="13"/>
      <c r="E171" s="14"/>
      <c r="G171" s="7"/>
      <c r="H171" s="5"/>
      <c r="I171" s="5"/>
      <c r="J171" s="5"/>
      <c r="M171" t="s">
        <v>2283</v>
      </c>
      <c r="N171">
        <v>562</v>
      </c>
      <c r="S171" s="24" t="s">
        <v>9</v>
      </c>
      <c r="T171" s="24">
        <v>949</v>
      </c>
      <c r="U171" s="24" t="s">
        <v>379</v>
      </c>
      <c r="V171" s="24">
        <v>1</v>
      </c>
      <c r="W171" s="2"/>
      <c r="AB171" s="27" t="s">
        <v>735</v>
      </c>
      <c r="AC171" s="29" t="s">
        <v>1490</v>
      </c>
      <c r="AF171" t="s">
        <v>2284</v>
      </c>
      <c r="AG171">
        <v>566</v>
      </c>
    </row>
    <row r="172" spans="3:33" ht="15" x14ac:dyDescent="0.25">
      <c r="C172" s="12"/>
      <c r="D172" s="13"/>
      <c r="E172" s="14"/>
      <c r="G172" s="7"/>
      <c r="H172" s="5"/>
      <c r="I172" s="5"/>
      <c r="J172" s="5"/>
      <c r="M172" t="s">
        <v>2284</v>
      </c>
      <c r="N172">
        <v>566</v>
      </c>
      <c r="S172" s="24" t="s">
        <v>135</v>
      </c>
      <c r="T172" s="24">
        <v>950</v>
      </c>
      <c r="U172" s="23" t="s">
        <v>380</v>
      </c>
      <c r="V172" s="23">
        <v>1</v>
      </c>
      <c r="W172" s="2"/>
      <c r="AB172" s="27" t="s">
        <v>736</v>
      </c>
      <c r="AC172" s="29" t="s">
        <v>1491</v>
      </c>
      <c r="AF172" t="s">
        <v>2282</v>
      </c>
      <c r="AG172">
        <v>558</v>
      </c>
    </row>
    <row r="173" spans="3:33" ht="15" x14ac:dyDescent="0.25">
      <c r="C173" s="12"/>
      <c r="D173" s="13"/>
      <c r="E173" s="14"/>
      <c r="G173" s="7"/>
      <c r="H173" s="5"/>
      <c r="I173" s="5"/>
      <c r="J173" s="5"/>
      <c r="M173" t="s">
        <v>2282</v>
      </c>
      <c r="N173">
        <v>558</v>
      </c>
      <c r="S173" s="24" t="s">
        <v>136</v>
      </c>
      <c r="T173" s="24">
        <v>951</v>
      </c>
      <c r="U173" s="24" t="s">
        <v>381</v>
      </c>
      <c r="V173" s="24">
        <v>1</v>
      </c>
      <c r="W173" s="2"/>
      <c r="AB173" s="27" t="s">
        <v>737</v>
      </c>
      <c r="AC173" s="29" t="s">
        <v>1492</v>
      </c>
      <c r="AF173" t="s">
        <v>2285</v>
      </c>
      <c r="AG173">
        <v>570</v>
      </c>
    </row>
    <row r="174" spans="3:33" ht="15" x14ac:dyDescent="0.25">
      <c r="C174" s="12"/>
      <c r="D174" s="13"/>
      <c r="E174" s="14"/>
      <c r="G174" s="7"/>
      <c r="H174" s="5"/>
      <c r="I174" s="5"/>
      <c r="J174" s="5"/>
      <c r="M174" t="s">
        <v>2285</v>
      </c>
      <c r="N174">
        <v>570</v>
      </c>
      <c r="S174" s="24" t="s">
        <v>137</v>
      </c>
      <c r="T174" s="24">
        <v>952</v>
      </c>
      <c r="U174" s="23" t="s">
        <v>382</v>
      </c>
      <c r="V174" s="23">
        <v>1</v>
      </c>
      <c r="W174" s="2"/>
      <c r="AB174" s="27" t="s">
        <v>738</v>
      </c>
      <c r="AC174" s="29" t="s">
        <v>1493</v>
      </c>
      <c r="AF174" t="s">
        <v>2286</v>
      </c>
      <c r="AG174">
        <v>574</v>
      </c>
    </row>
    <row r="175" spans="3:33" ht="15" x14ac:dyDescent="0.25">
      <c r="C175" s="12"/>
      <c r="D175" s="13"/>
      <c r="E175" s="14"/>
      <c r="G175" s="7"/>
      <c r="H175" s="5"/>
      <c r="I175" s="5"/>
      <c r="J175" s="5"/>
      <c r="M175" t="s">
        <v>2286</v>
      </c>
      <c r="N175">
        <v>574</v>
      </c>
      <c r="S175" s="24" t="s">
        <v>138</v>
      </c>
      <c r="T175" s="24">
        <v>953</v>
      </c>
      <c r="U175" s="24" t="s">
        <v>383</v>
      </c>
      <c r="V175" s="24">
        <v>1</v>
      </c>
      <c r="W175" s="2"/>
      <c r="AB175" s="27" t="s">
        <v>739</v>
      </c>
      <c r="AC175" s="29" t="s">
        <v>1494</v>
      </c>
      <c r="AF175" t="s">
        <v>2359</v>
      </c>
      <c r="AG175">
        <v>830</v>
      </c>
    </row>
    <row r="176" spans="3:33" ht="15" x14ac:dyDescent="0.25">
      <c r="C176" s="12"/>
      <c r="D176" s="13"/>
      <c r="E176" s="14"/>
      <c r="G176" s="7"/>
      <c r="H176" s="5"/>
      <c r="I176" s="5"/>
      <c r="J176" s="5"/>
      <c r="M176" t="s">
        <v>2359</v>
      </c>
      <c r="N176">
        <v>830</v>
      </c>
      <c r="S176" s="24" t="s">
        <v>230</v>
      </c>
      <c r="T176" s="24">
        <v>959</v>
      </c>
      <c r="U176" s="23" t="s">
        <v>384</v>
      </c>
      <c r="V176" s="23">
        <v>1</v>
      </c>
      <c r="W176" s="2"/>
      <c r="AB176" s="27" t="s">
        <v>740</v>
      </c>
      <c r="AC176" s="29" t="s">
        <v>1495</v>
      </c>
      <c r="AF176" t="s">
        <v>2287</v>
      </c>
      <c r="AG176">
        <v>578</v>
      </c>
    </row>
    <row r="177" spans="3:33" ht="15" x14ac:dyDescent="0.25">
      <c r="C177" s="12"/>
      <c r="D177" s="13"/>
      <c r="E177" s="14"/>
      <c r="G177" s="7"/>
      <c r="H177" s="5"/>
      <c r="I177" s="5"/>
      <c r="J177" s="5"/>
      <c r="M177" t="s">
        <v>2287</v>
      </c>
      <c r="N177">
        <v>578</v>
      </c>
      <c r="S177" s="24" t="s">
        <v>231</v>
      </c>
      <c r="T177" s="24">
        <v>961</v>
      </c>
      <c r="U177" s="24" t="s">
        <v>385</v>
      </c>
      <c r="V177" s="24">
        <v>1</v>
      </c>
      <c r="W177" s="2"/>
      <c r="AB177" s="27" t="s">
        <v>741</v>
      </c>
      <c r="AC177" s="29" t="s">
        <v>1496</v>
      </c>
      <c r="AF177" t="s">
        <v>2375</v>
      </c>
      <c r="AG177">
        <v>896</v>
      </c>
    </row>
    <row r="178" spans="3:33" ht="15" x14ac:dyDescent="0.25">
      <c r="C178" s="12"/>
      <c r="D178" s="13"/>
      <c r="E178" s="14"/>
      <c r="G178" s="7"/>
      <c r="H178" s="5"/>
      <c r="I178" s="5"/>
      <c r="J178" s="5"/>
      <c r="M178" t="s">
        <v>2375</v>
      </c>
      <c r="N178">
        <v>896</v>
      </c>
      <c r="S178" s="24" t="s">
        <v>232</v>
      </c>
      <c r="T178" s="24">
        <v>964</v>
      </c>
      <c r="U178" s="23" t="s">
        <v>386</v>
      </c>
      <c r="V178" s="23">
        <v>1</v>
      </c>
      <c r="W178" s="2"/>
      <c r="AB178" s="27" t="s">
        <v>742</v>
      </c>
      <c r="AC178" s="29" t="s">
        <v>1497</v>
      </c>
      <c r="AF178" t="s">
        <v>2269</v>
      </c>
      <c r="AG178">
        <v>512</v>
      </c>
    </row>
    <row r="179" spans="3:33" ht="15" x14ac:dyDescent="0.25">
      <c r="C179" s="12"/>
      <c r="D179" s="13"/>
      <c r="E179" s="14"/>
      <c r="G179" s="7"/>
      <c r="H179" s="5"/>
      <c r="I179" s="5"/>
      <c r="J179" s="5"/>
      <c r="M179" t="s">
        <v>2269</v>
      </c>
      <c r="N179">
        <v>512</v>
      </c>
      <c r="S179" s="24" t="s">
        <v>15</v>
      </c>
      <c r="T179" s="24">
        <v>971</v>
      </c>
      <c r="U179" s="24" t="s">
        <v>387</v>
      </c>
      <c r="V179" s="24">
        <v>1</v>
      </c>
      <c r="W179" s="2"/>
      <c r="AB179" s="27" t="s">
        <v>743</v>
      </c>
      <c r="AC179" s="29" t="s">
        <v>1498</v>
      </c>
      <c r="AF179" t="s">
        <v>2135</v>
      </c>
      <c r="AG179">
        <v>46</v>
      </c>
    </row>
    <row r="180" spans="3:33" ht="15" x14ac:dyDescent="0.25">
      <c r="C180" s="12"/>
      <c r="D180" s="13"/>
      <c r="E180" s="14"/>
      <c r="G180" s="7"/>
      <c r="H180" s="5"/>
      <c r="I180" s="5"/>
      <c r="J180" s="5"/>
      <c r="M180" t="s">
        <v>2135</v>
      </c>
      <c r="N180">
        <v>46</v>
      </c>
      <c r="S180" s="24" t="s">
        <v>120</v>
      </c>
      <c r="T180" s="24">
        <v>972</v>
      </c>
      <c r="U180" s="23" t="s">
        <v>388</v>
      </c>
      <c r="V180" s="23">
        <v>1</v>
      </c>
      <c r="W180" s="2"/>
      <c r="AB180" s="27" t="s">
        <v>744</v>
      </c>
      <c r="AC180" s="29" t="s">
        <v>1499</v>
      </c>
      <c r="AF180" t="s">
        <v>2368</v>
      </c>
      <c r="AG180">
        <v>860</v>
      </c>
    </row>
    <row r="181" spans="3:33" ht="15" x14ac:dyDescent="0.25">
      <c r="C181" s="12"/>
      <c r="D181" s="13"/>
      <c r="E181" s="14"/>
      <c r="G181" s="7"/>
      <c r="H181" s="5"/>
      <c r="I181" s="5"/>
      <c r="J181" s="5"/>
      <c r="M181" t="s">
        <v>2368</v>
      </c>
      <c r="N181">
        <v>860</v>
      </c>
      <c r="S181" s="24" t="s">
        <v>19</v>
      </c>
      <c r="T181" s="24">
        <v>973</v>
      </c>
      <c r="U181" s="24" t="s">
        <v>389</v>
      </c>
      <c r="V181" s="24">
        <v>1</v>
      </c>
      <c r="W181" s="2"/>
      <c r="AB181" s="27" t="s">
        <v>745</v>
      </c>
      <c r="AC181" s="29" t="s">
        <v>1500</v>
      </c>
      <c r="AF181" t="s">
        <v>2293</v>
      </c>
      <c r="AG181">
        <v>586</v>
      </c>
    </row>
    <row r="182" spans="3:33" ht="15" x14ac:dyDescent="0.25">
      <c r="C182" s="12"/>
      <c r="D182" s="13"/>
      <c r="E182" s="14"/>
      <c r="G182" s="7"/>
      <c r="H182" s="5"/>
      <c r="I182" s="5"/>
      <c r="J182" s="5"/>
      <c r="M182" t="s">
        <v>2293</v>
      </c>
      <c r="N182">
        <v>586</v>
      </c>
      <c r="S182" s="24" t="s">
        <v>35</v>
      </c>
      <c r="T182" s="24">
        <v>974</v>
      </c>
      <c r="U182" s="23" t="s">
        <v>372</v>
      </c>
      <c r="V182" s="23">
        <v>1</v>
      </c>
      <c r="W182" s="2"/>
      <c r="AB182" s="27" t="s">
        <v>746</v>
      </c>
      <c r="AC182" s="29" t="s">
        <v>1501</v>
      </c>
      <c r="AF182" t="s">
        <v>2292</v>
      </c>
      <c r="AG182">
        <v>585</v>
      </c>
    </row>
    <row r="183" spans="3:33" ht="15" x14ac:dyDescent="0.25">
      <c r="C183" s="12"/>
      <c r="D183" s="13"/>
      <c r="E183" s="14"/>
      <c r="G183" s="7"/>
      <c r="H183" s="5"/>
      <c r="I183" s="5"/>
      <c r="J183" s="5"/>
      <c r="M183" t="s">
        <v>2292</v>
      </c>
      <c r="N183">
        <v>585</v>
      </c>
      <c r="S183" s="24" t="s">
        <v>25</v>
      </c>
      <c r="T183" s="24">
        <v>975</v>
      </c>
      <c r="U183" s="24" t="s">
        <v>390</v>
      </c>
      <c r="V183" s="24">
        <v>1</v>
      </c>
      <c r="W183" s="2"/>
      <c r="AB183" s="27" t="s">
        <v>747</v>
      </c>
      <c r="AC183" s="29" t="s">
        <v>1502</v>
      </c>
      <c r="AF183" t="s">
        <v>2294</v>
      </c>
      <c r="AG183">
        <v>591</v>
      </c>
    </row>
    <row r="184" spans="3:33" ht="15" x14ac:dyDescent="0.25">
      <c r="C184" s="12"/>
      <c r="D184" s="13"/>
      <c r="E184" s="14"/>
      <c r="G184" s="7"/>
      <c r="H184" s="5"/>
      <c r="I184" s="5"/>
      <c r="J184" s="5"/>
      <c r="M184" t="s">
        <v>2294</v>
      </c>
      <c r="N184">
        <v>591</v>
      </c>
      <c r="S184" s="24" t="s">
        <v>37</v>
      </c>
      <c r="T184" s="24">
        <v>976</v>
      </c>
      <c r="U184" s="23" t="s">
        <v>391</v>
      </c>
      <c r="V184" s="23">
        <v>1</v>
      </c>
      <c r="W184" s="2"/>
      <c r="AB184" s="27" t="s">
        <v>748</v>
      </c>
      <c r="AC184" s="29" t="s">
        <v>1503</v>
      </c>
      <c r="AF184" t="s">
        <v>2295</v>
      </c>
      <c r="AG184">
        <v>598</v>
      </c>
    </row>
    <row r="185" spans="3:33" ht="15" x14ac:dyDescent="0.25">
      <c r="C185" s="12"/>
      <c r="D185" s="13"/>
      <c r="E185" s="14"/>
      <c r="G185" s="7"/>
      <c r="H185" s="5"/>
      <c r="I185" s="5"/>
      <c r="J185" s="5"/>
      <c r="M185" t="s">
        <v>2295</v>
      </c>
      <c r="N185">
        <v>598</v>
      </c>
      <c r="S185" s="24" t="s">
        <v>22</v>
      </c>
      <c r="T185" s="24">
        <v>977</v>
      </c>
      <c r="U185" s="24" t="s">
        <v>392</v>
      </c>
      <c r="V185" s="24">
        <v>1</v>
      </c>
      <c r="W185" s="2"/>
      <c r="AB185" s="27" t="s">
        <v>749</v>
      </c>
      <c r="AC185" s="29" t="s">
        <v>1504</v>
      </c>
      <c r="AF185" t="s">
        <v>2296</v>
      </c>
      <c r="AG185">
        <v>600</v>
      </c>
    </row>
    <row r="186" spans="3:33" ht="15" x14ac:dyDescent="0.25">
      <c r="C186" s="12"/>
      <c r="D186" s="13"/>
      <c r="E186" s="14"/>
      <c r="G186" s="7"/>
      <c r="H186" s="5"/>
      <c r="I186" s="5"/>
      <c r="J186" s="5"/>
      <c r="M186" t="s">
        <v>2296</v>
      </c>
      <c r="N186">
        <v>600</v>
      </c>
      <c r="S186" s="24" t="s">
        <v>3</v>
      </c>
      <c r="T186" s="24">
        <v>978</v>
      </c>
      <c r="U186" s="23" t="s">
        <v>393</v>
      </c>
      <c r="V186" s="23">
        <v>1</v>
      </c>
      <c r="W186" s="2"/>
      <c r="AB186" s="27" t="s">
        <v>750</v>
      </c>
      <c r="AC186" s="29" t="s">
        <v>1505</v>
      </c>
      <c r="AF186" t="s">
        <v>2122</v>
      </c>
      <c r="AG186">
        <v>26</v>
      </c>
    </row>
    <row r="187" spans="3:33" ht="15" x14ac:dyDescent="0.25">
      <c r="C187" s="12"/>
      <c r="D187" s="13"/>
      <c r="E187" s="14"/>
      <c r="G187" s="7"/>
      <c r="H187" s="5"/>
      <c r="I187" s="5"/>
      <c r="J187" s="5"/>
      <c r="M187" t="s">
        <v>2122</v>
      </c>
      <c r="N187">
        <v>26</v>
      </c>
      <c r="S187" s="24" t="s">
        <v>233</v>
      </c>
      <c r="T187" s="24">
        <v>979</v>
      </c>
      <c r="U187" s="24" t="s">
        <v>394</v>
      </c>
      <c r="V187" s="24">
        <v>1</v>
      </c>
      <c r="W187" s="2"/>
      <c r="AB187" s="27" t="s">
        <v>751</v>
      </c>
      <c r="AC187" s="29" t="s">
        <v>1506</v>
      </c>
      <c r="AF187" t="s">
        <v>2297</v>
      </c>
      <c r="AG187">
        <v>604</v>
      </c>
    </row>
    <row r="188" spans="3:33" ht="15" x14ac:dyDescent="0.25">
      <c r="C188" s="12"/>
      <c r="D188" s="13"/>
      <c r="E188" s="14"/>
      <c r="G188" s="7"/>
      <c r="H188" s="5"/>
      <c r="I188" s="5"/>
      <c r="J188" s="5"/>
      <c r="M188" t="s">
        <v>2297</v>
      </c>
      <c r="N188">
        <v>604</v>
      </c>
      <c r="S188" s="24" t="s">
        <v>127</v>
      </c>
      <c r="T188" s="24">
        <v>980</v>
      </c>
      <c r="U188" s="23" t="s">
        <v>395</v>
      </c>
      <c r="V188" s="23">
        <v>1</v>
      </c>
      <c r="W188" s="2"/>
      <c r="AB188" s="27" t="s">
        <v>752</v>
      </c>
      <c r="AC188" s="29" t="s">
        <v>1507</v>
      </c>
      <c r="AF188" t="s">
        <v>2299</v>
      </c>
      <c r="AG188">
        <v>612</v>
      </c>
    </row>
    <row r="189" spans="3:33" ht="15" x14ac:dyDescent="0.25">
      <c r="C189" s="12"/>
      <c r="D189" s="13"/>
      <c r="E189" s="14"/>
      <c r="G189" s="7"/>
      <c r="H189" s="5"/>
      <c r="I189" s="5"/>
      <c r="J189" s="5"/>
      <c r="M189" t="s">
        <v>2299</v>
      </c>
      <c r="N189">
        <v>612</v>
      </c>
      <c r="S189" s="24" t="s">
        <v>55</v>
      </c>
      <c r="T189" s="24">
        <v>981</v>
      </c>
      <c r="U189" s="24" t="s">
        <v>396</v>
      </c>
      <c r="V189" s="24">
        <v>1</v>
      </c>
      <c r="W189" s="2"/>
      <c r="AB189" s="27" t="s">
        <v>753</v>
      </c>
      <c r="AC189" s="29" t="s">
        <v>1508</v>
      </c>
      <c r="AF189" t="s">
        <v>2300</v>
      </c>
      <c r="AG189">
        <v>616</v>
      </c>
    </row>
    <row r="190" spans="3:33" ht="15" x14ac:dyDescent="0.25">
      <c r="C190" s="12"/>
      <c r="D190" s="13"/>
      <c r="E190" s="14"/>
      <c r="G190" s="7"/>
      <c r="H190" s="5"/>
      <c r="I190" s="5"/>
      <c r="J190" s="5"/>
      <c r="M190" t="s">
        <v>2300</v>
      </c>
      <c r="N190">
        <v>616</v>
      </c>
      <c r="S190" s="24" t="s">
        <v>101</v>
      </c>
      <c r="T190" s="24">
        <v>985</v>
      </c>
      <c r="U190" s="23" t="s">
        <v>397</v>
      </c>
      <c r="V190" s="23">
        <v>1</v>
      </c>
      <c r="W190" s="2"/>
      <c r="AB190" s="27" t="s">
        <v>754</v>
      </c>
      <c r="AC190" s="29" t="s">
        <v>1509</v>
      </c>
      <c r="AF190" t="s">
        <v>2301</v>
      </c>
      <c r="AG190">
        <v>620</v>
      </c>
    </row>
    <row r="191" spans="3:33" ht="15" x14ac:dyDescent="0.25">
      <c r="C191" s="12"/>
      <c r="D191" s="13"/>
      <c r="E191" s="14"/>
      <c r="G191" s="7"/>
      <c r="H191" s="5"/>
      <c r="I191" s="5"/>
      <c r="J191" s="5"/>
      <c r="M191" t="s">
        <v>2301</v>
      </c>
      <c r="N191">
        <v>620</v>
      </c>
      <c r="S191" s="24" t="s">
        <v>31</v>
      </c>
      <c r="T191" s="24">
        <v>986</v>
      </c>
      <c r="U191" s="24" t="s">
        <v>398</v>
      </c>
      <c r="V191" s="24">
        <v>1</v>
      </c>
      <c r="W191" s="2"/>
      <c r="AB191" s="27" t="s">
        <v>755</v>
      </c>
      <c r="AC191" s="29" t="s">
        <v>1510</v>
      </c>
      <c r="AF191" t="s">
        <v>2304</v>
      </c>
      <c r="AG191">
        <v>630</v>
      </c>
    </row>
    <row r="192" spans="3:33" ht="15" x14ac:dyDescent="0.25">
      <c r="C192" s="12"/>
      <c r="D192" s="13"/>
      <c r="E192" s="14"/>
      <c r="G192" s="7"/>
      <c r="H192" s="5"/>
      <c r="I192" s="5"/>
      <c r="J192" s="5"/>
      <c r="M192" t="s">
        <v>2304</v>
      </c>
      <c r="N192">
        <v>630</v>
      </c>
      <c r="S192" s="24" t="s">
        <v>234</v>
      </c>
      <c r="T192" s="24">
        <v>997</v>
      </c>
      <c r="U192" s="23" t="s">
        <v>399</v>
      </c>
      <c r="V192" s="23">
        <v>1</v>
      </c>
      <c r="W192" s="2"/>
      <c r="AB192" s="27" t="s">
        <v>756</v>
      </c>
      <c r="AC192" s="29" t="s">
        <v>1511</v>
      </c>
      <c r="AF192" t="s">
        <v>2202</v>
      </c>
      <c r="AG192">
        <v>266</v>
      </c>
    </row>
    <row r="193" spans="3:33" ht="15" x14ac:dyDescent="0.25">
      <c r="C193" s="12"/>
      <c r="D193" s="13"/>
      <c r="E193" s="14"/>
      <c r="G193" s="7"/>
      <c r="H193" s="5"/>
      <c r="I193" s="5"/>
      <c r="J193" s="5"/>
      <c r="M193" t="s">
        <v>2202</v>
      </c>
      <c r="N193">
        <v>266</v>
      </c>
      <c r="S193" s="25" t="s">
        <v>235</v>
      </c>
      <c r="T193" s="25">
        <v>998</v>
      </c>
      <c r="U193" s="24" t="s">
        <v>400</v>
      </c>
      <c r="V193" s="24">
        <v>1</v>
      </c>
      <c r="W193" s="2"/>
      <c r="AB193" s="27" t="s">
        <v>757</v>
      </c>
      <c r="AC193" s="29" t="s">
        <v>1512</v>
      </c>
      <c r="AF193" t="s">
        <v>2204</v>
      </c>
      <c r="AG193">
        <v>270</v>
      </c>
    </row>
    <row r="194" spans="3:33" ht="15" x14ac:dyDescent="0.25">
      <c r="C194" s="12"/>
      <c r="D194" s="13"/>
      <c r="E194" s="14"/>
      <c r="G194" s="7"/>
      <c r="H194" s="5"/>
      <c r="I194" s="5"/>
      <c r="J194" s="5"/>
      <c r="M194" t="s">
        <v>2204</v>
      </c>
      <c r="N194">
        <v>270</v>
      </c>
      <c r="S194" s="23"/>
      <c r="T194" s="23"/>
      <c r="AB194" s="27" t="s">
        <v>758</v>
      </c>
      <c r="AC194" s="29" t="s">
        <v>1513</v>
      </c>
      <c r="AF194" t="s">
        <v>2207</v>
      </c>
      <c r="AG194">
        <v>288</v>
      </c>
    </row>
    <row r="195" spans="3:33" ht="15" x14ac:dyDescent="0.25">
      <c r="C195" s="12"/>
      <c r="D195" s="13"/>
      <c r="E195" s="14"/>
      <c r="G195" s="7"/>
      <c r="H195" s="5"/>
      <c r="I195" s="5"/>
      <c r="J195" s="5"/>
      <c r="M195" t="s">
        <v>2207</v>
      </c>
      <c r="N195">
        <v>288</v>
      </c>
      <c r="S195" s="23"/>
      <c r="T195" s="23"/>
      <c r="AB195" s="27" t="s">
        <v>759</v>
      </c>
      <c r="AC195" s="29" t="s">
        <v>1514</v>
      </c>
      <c r="AF195" t="s">
        <v>2121</v>
      </c>
      <c r="AG195">
        <v>25</v>
      </c>
    </row>
    <row r="196" spans="3:33" ht="15" x14ac:dyDescent="0.25">
      <c r="C196" s="12"/>
      <c r="D196" s="13"/>
      <c r="E196" s="14"/>
      <c r="G196" s="7"/>
      <c r="H196" s="5"/>
      <c r="I196" s="5"/>
      <c r="J196" s="5"/>
      <c r="M196" t="s">
        <v>2121</v>
      </c>
      <c r="N196">
        <v>25</v>
      </c>
      <c r="S196" s="23"/>
      <c r="T196" s="23"/>
      <c r="AB196" s="27" t="s">
        <v>760</v>
      </c>
      <c r="AC196" s="29" t="s">
        <v>1515</v>
      </c>
      <c r="AF196" t="s">
        <v>2217</v>
      </c>
      <c r="AG196">
        <v>328</v>
      </c>
    </row>
    <row r="197" spans="3:33" ht="15" x14ac:dyDescent="0.25">
      <c r="C197" s="12"/>
      <c r="D197" s="13"/>
      <c r="E197" s="14"/>
      <c r="G197" s="7"/>
      <c r="H197" s="5"/>
      <c r="I197" s="5"/>
      <c r="J197" s="5"/>
      <c r="M197" t="s">
        <v>2217</v>
      </c>
      <c r="N197">
        <v>328</v>
      </c>
      <c r="S197" s="23"/>
      <c r="T197" s="23"/>
      <c r="AB197" s="27" t="s">
        <v>761</v>
      </c>
      <c r="AC197" s="29" t="s">
        <v>1516</v>
      </c>
      <c r="AF197" t="s">
        <v>2235</v>
      </c>
      <c r="AG197">
        <v>398</v>
      </c>
    </row>
    <row r="198" spans="3:33" ht="15" x14ac:dyDescent="0.25">
      <c r="C198" s="12"/>
      <c r="D198" s="13"/>
      <c r="E198" s="14"/>
      <c r="G198" s="7"/>
      <c r="H198" s="5"/>
      <c r="I198" s="5"/>
      <c r="J198" s="5"/>
      <c r="M198" t="s">
        <v>2235</v>
      </c>
      <c r="N198">
        <v>398</v>
      </c>
      <c r="S198" s="23"/>
      <c r="T198" s="23"/>
      <c r="AB198" s="27" t="s">
        <v>762</v>
      </c>
      <c r="AC198" s="29" t="s">
        <v>1517</v>
      </c>
      <c r="AF198" t="s">
        <v>2171</v>
      </c>
      <c r="AG198">
        <v>174</v>
      </c>
    </row>
    <row r="199" spans="3:33" ht="15" x14ac:dyDescent="0.25">
      <c r="C199" s="12"/>
      <c r="D199" s="13"/>
      <c r="E199" s="14"/>
      <c r="G199" s="7"/>
      <c r="H199" s="5"/>
      <c r="I199" s="5"/>
      <c r="J199" s="5"/>
      <c r="M199" t="s">
        <v>2171</v>
      </c>
      <c r="N199">
        <v>174</v>
      </c>
      <c r="S199" s="23"/>
      <c r="T199" s="23"/>
      <c r="AB199" s="27" t="s">
        <v>763</v>
      </c>
      <c r="AC199" s="29" t="s">
        <v>1518</v>
      </c>
      <c r="AF199" t="s">
        <v>2373</v>
      </c>
      <c r="AG199">
        <v>893</v>
      </c>
    </row>
    <row r="200" spans="3:33" ht="15" x14ac:dyDescent="0.25">
      <c r="C200" s="12"/>
      <c r="D200" s="13"/>
      <c r="E200" s="14"/>
      <c r="G200" s="7"/>
      <c r="H200" s="5"/>
      <c r="I200" s="5"/>
      <c r="J200" s="5"/>
      <c r="M200" t="s">
        <v>2373</v>
      </c>
      <c r="N200">
        <v>893</v>
      </c>
      <c r="S200" s="23"/>
      <c r="T200" s="23"/>
      <c r="AB200" s="27" t="s">
        <v>764</v>
      </c>
      <c r="AC200" s="29" t="s">
        <v>1519</v>
      </c>
      <c r="AF200" t="s">
        <v>2334</v>
      </c>
      <c r="AG200">
        <v>732</v>
      </c>
    </row>
    <row r="201" spans="3:33" ht="15" x14ac:dyDescent="0.25">
      <c r="C201" s="12"/>
      <c r="D201" s="13"/>
      <c r="E201" s="14"/>
      <c r="G201" s="7"/>
      <c r="H201" s="5"/>
      <c r="I201" s="5"/>
      <c r="J201" s="5"/>
      <c r="M201" t="s">
        <v>2334</v>
      </c>
      <c r="N201">
        <v>732</v>
      </c>
      <c r="S201" s="23"/>
      <c r="T201" s="23"/>
      <c r="AB201" s="27" t="s">
        <v>765</v>
      </c>
      <c r="AC201" s="29" t="s">
        <v>1520</v>
      </c>
      <c r="AF201" t="s">
        <v>2305</v>
      </c>
      <c r="AG201">
        <v>634</v>
      </c>
    </row>
    <row r="202" spans="3:33" ht="15" x14ac:dyDescent="0.25">
      <c r="C202" s="12"/>
      <c r="D202" s="13"/>
      <c r="E202" s="14"/>
      <c r="G202" s="7"/>
      <c r="H202" s="5"/>
      <c r="I202" s="5"/>
      <c r="J202" s="5"/>
      <c r="M202" t="s">
        <v>2305</v>
      </c>
      <c r="N202">
        <v>634</v>
      </c>
      <c r="S202" s="23"/>
      <c r="T202" s="23"/>
      <c r="AB202" s="27" t="s">
        <v>766</v>
      </c>
      <c r="AC202" s="29" t="s">
        <v>1521</v>
      </c>
      <c r="AF202" t="s">
        <v>2241</v>
      </c>
      <c r="AG202">
        <v>417</v>
      </c>
    </row>
    <row r="203" spans="3:33" ht="15" x14ac:dyDescent="0.25">
      <c r="C203" s="12"/>
      <c r="D203" s="13"/>
      <c r="E203" s="14"/>
      <c r="G203" s="7"/>
      <c r="H203" s="5"/>
      <c r="I203" s="5"/>
      <c r="J203" s="5"/>
      <c r="M203" t="s">
        <v>2241</v>
      </c>
      <c r="N203">
        <v>417</v>
      </c>
      <c r="S203" s="23"/>
      <c r="T203" s="23"/>
      <c r="AB203" s="27" t="s">
        <v>767</v>
      </c>
      <c r="AC203" s="29" t="s">
        <v>1522</v>
      </c>
      <c r="AF203" t="s">
        <v>2212</v>
      </c>
      <c r="AG203">
        <v>308</v>
      </c>
    </row>
    <row r="204" spans="3:33" ht="15" x14ac:dyDescent="0.25">
      <c r="C204" s="12"/>
      <c r="D204" s="13"/>
      <c r="E204" s="14"/>
      <c r="G204" s="7"/>
      <c r="H204" s="5"/>
      <c r="I204" s="5"/>
      <c r="J204" s="5"/>
      <c r="M204" t="s">
        <v>2212</v>
      </c>
      <c r="N204">
        <v>308</v>
      </c>
      <c r="S204" s="23"/>
      <c r="T204" s="23"/>
      <c r="AB204" s="27" t="s">
        <v>768</v>
      </c>
      <c r="AC204" s="29" t="s">
        <v>1523</v>
      </c>
      <c r="AF204" t="s">
        <v>2211</v>
      </c>
      <c r="AG204">
        <v>304</v>
      </c>
    </row>
    <row r="205" spans="3:33" ht="15" x14ac:dyDescent="0.25">
      <c r="C205" s="12"/>
      <c r="D205" s="13"/>
      <c r="E205" s="14"/>
      <c r="G205" s="7"/>
      <c r="H205" s="5"/>
      <c r="I205" s="5"/>
      <c r="J205" s="5"/>
      <c r="M205" t="s">
        <v>2211</v>
      </c>
      <c r="N205">
        <v>304</v>
      </c>
      <c r="S205" s="23"/>
      <c r="T205" s="23"/>
      <c r="AB205" s="27" t="s">
        <v>769</v>
      </c>
      <c r="AC205" s="29" t="s">
        <v>1524</v>
      </c>
      <c r="AF205" t="s">
        <v>2214</v>
      </c>
      <c r="AG205">
        <v>316</v>
      </c>
    </row>
    <row r="206" spans="3:33" ht="15" x14ac:dyDescent="0.25">
      <c r="C206" s="12"/>
      <c r="D206" s="13"/>
      <c r="E206" s="14"/>
      <c r="G206" s="7"/>
      <c r="H206" s="5"/>
      <c r="I206" s="5"/>
      <c r="J206" s="5"/>
      <c r="M206" t="s">
        <v>2214</v>
      </c>
      <c r="N206">
        <v>316</v>
      </c>
      <c r="S206" s="23"/>
      <c r="T206" s="23"/>
      <c r="AB206" s="27" t="s">
        <v>770</v>
      </c>
      <c r="AC206" s="29" t="s">
        <v>1525</v>
      </c>
      <c r="AF206" t="s">
        <v>2213</v>
      </c>
      <c r="AG206">
        <v>312</v>
      </c>
    </row>
    <row r="207" spans="3:33" ht="15" x14ac:dyDescent="0.25">
      <c r="C207" s="12"/>
      <c r="D207" s="13"/>
      <c r="E207" s="14"/>
      <c r="G207" s="7"/>
      <c r="H207" s="5"/>
      <c r="I207" s="5"/>
      <c r="J207" s="5"/>
      <c r="M207" t="s">
        <v>2213</v>
      </c>
      <c r="N207">
        <v>312</v>
      </c>
      <c r="S207" s="23"/>
      <c r="T207" s="23"/>
      <c r="AB207" s="27" t="s">
        <v>771</v>
      </c>
      <c r="AC207" s="29" t="s">
        <v>1526</v>
      </c>
      <c r="AF207" t="s">
        <v>2215</v>
      </c>
      <c r="AG207">
        <v>320</v>
      </c>
    </row>
    <row r="208" spans="3:33" ht="15" x14ac:dyDescent="0.25">
      <c r="C208" s="12"/>
      <c r="D208" s="13"/>
      <c r="E208" s="14"/>
      <c r="G208" s="7"/>
      <c r="H208" s="5"/>
      <c r="I208" s="5"/>
      <c r="J208" s="5"/>
      <c r="M208" t="s">
        <v>2215</v>
      </c>
      <c r="N208">
        <v>320</v>
      </c>
      <c r="S208" s="23"/>
      <c r="T208" s="23"/>
      <c r="AB208" s="27" t="s">
        <v>772</v>
      </c>
      <c r="AC208" s="29" t="s">
        <v>1527</v>
      </c>
      <c r="AF208" t="s">
        <v>2216</v>
      </c>
      <c r="AG208">
        <v>324</v>
      </c>
    </row>
    <row r="209" spans="3:33" ht="15" x14ac:dyDescent="0.25">
      <c r="C209" s="12"/>
      <c r="D209" s="13"/>
      <c r="E209" s="14"/>
      <c r="G209" s="7"/>
      <c r="H209" s="5"/>
      <c r="I209" s="5"/>
      <c r="J209" s="5"/>
      <c r="M209" t="s">
        <v>2216</v>
      </c>
      <c r="N209">
        <v>324</v>
      </c>
      <c r="S209" s="23"/>
      <c r="T209" s="23"/>
      <c r="AB209" s="27" t="s">
        <v>773</v>
      </c>
      <c r="AC209" s="29" t="s">
        <v>1528</v>
      </c>
      <c r="AF209" t="s">
        <v>2302</v>
      </c>
      <c r="AG209">
        <v>624</v>
      </c>
    </row>
    <row r="210" spans="3:33" ht="15" x14ac:dyDescent="0.25">
      <c r="C210" s="12"/>
      <c r="D210" s="13"/>
      <c r="E210" s="14"/>
      <c r="G210" s="7"/>
      <c r="H210" s="5"/>
      <c r="I210" s="5"/>
      <c r="J210" s="5"/>
      <c r="M210" t="s">
        <v>2302</v>
      </c>
      <c r="N210">
        <v>624</v>
      </c>
      <c r="S210" s="23"/>
      <c r="T210" s="23"/>
      <c r="AB210" s="27" t="s">
        <v>774</v>
      </c>
      <c r="AC210" s="29" t="s">
        <v>1529</v>
      </c>
      <c r="AF210" t="s">
        <v>2306</v>
      </c>
      <c r="AG210">
        <v>638</v>
      </c>
    </row>
    <row r="211" spans="3:33" ht="15" x14ac:dyDescent="0.25">
      <c r="C211" s="12"/>
      <c r="D211" s="13"/>
      <c r="E211" s="14"/>
      <c r="G211" s="7"/>
      <c r="H211" s="5"/>
      <c r="I211" s="5"/>
      <c r="J211" s="5"/>
      <c r="M211" t="s">
        <v>2306</v>
      </c>
      <c r="N211">
        <v>638</v>
      </c>
      <c r="S211" s="23"/>
      <c r="T211" s="23"/>
      <c r="AB211" s="27" t="s">
        <v>775</v>
      </c>
      <c r="AC211" s="29" t="s">
        <v>1530</v>
      </c>
      <c r="AF211" t="s">
        <v>2309</v>
      </c>
      <c r="AG211">
        <v>646</v>
      </c>
    </row>
    <row r="212" spans="3:33" ht="15" x14ac:dyDescent="0.25">
      <c r="C212" s="12"/>
      <c r="D212" s="13"/>
      <c r="E212" s="14"/>
      <c r="G212" s="7"/>
      <c r="H212" s="5"/>
      <c r="I212" s="5"/>
      <c r="J212" s="5"/>
      <c r="M212" t="s">
        <v>2309</v>
      </c>
      <c r="N212">
        <v>646</v>
      </c>
      <c r="S212" s="23"/>
      <c r="T212" s="23"/>
      <c r="AB212" s="27" t="s">
        <v>776</v>
      </c>
      <c r="AC212" s="29" t="s">
        <v>1531</v>
      </c>
      <c r="AF212" t="s">
        <v>2307</v>
      </c>
      <c r="AG212">
        <v>642</v>
      </c>
    </row>
    <row r="213" spans="3:33" ht="15" x14ac:dyDescent="0.25">
      <c r="C213" s="12"/>
      <c r="D213" s="13"/>
      <c r="E213" s="14"/>
      <c r="G213" s="7"/>
      <c r="H213" s="5"/>
      <c r="I213" s="5"/>
      <c r="J213" s="5"/>
      <c r="M213" t="s">
        <v>2307</v>
      </c>
      <c r="N213">
        <v>642</v>
      </c>
      <c r="S213" s="23"/>
      <c r="T213" s="23"/>
      <c r="AB213" s="27" t="s">
        <v>777</v>
      </c>
      <c r="AC213" s="29" t="s">
        <v>1532</v>
      </c>
      <c r="AF213" t="s">
        <v>2308</v>
      </c>
      <c r="AG213">
        <v>643</v>
      </c>
    </row>
    <row r="214" spans="3:33" ht="15" x14ac:dyDescent="0.25">
      <c r="G214" s="7"/>
      <c r="H214" s="5"/>
      <c r="I214" s="5"/>
      <c r="J214" s="5"/>
      <c r="M214" t="s">
        <v>2308</v>
      </c>
      <c r="N214">
        <v>643</v>
      </c>
      <c r="S214" s="23"/>
      <c r="T214" s="23"/>
      <c r="AB214" s="27" t="s">
        <v>778</v>
      </c>
      <c r="AC214" s="29" t="s">
        <v>1533</v>
      </c>
      <c r="AF214" t="s">
        <v>2186</v>
      </c>
      <c r="AG214">
        <v>222</v>
      </c>
    </row>
    <row r="215" spans="3:33" ht="15" x14ac:dyDescent="0.25">
      <c r="M215" t="s">
        <v>2186</v>
      </c>
      <c r="N215">
        <v>222</v>
      </c>
      <c r="S215" s="23"/>
      <c r="T215" s="23"/>
      <c r="AB215" s="27" t="s">
        <v>779</v>
      </c>
      <c r="AC215" s="29" t="s">
        <v>1534</v>
      </c>
      <c r="AF215" t="s">
        <v>2371</v>
      </c>
      <c r="AG215">
        <v>882</v>
      </c>
    </row>
    <row r="216" spans="3:33" ht="15" x14ac:dyDescent="0.25">
      <c r="M216" t="s">
        <v>2371</v>
      </c>
      <c r="N216">
        <v>882</v>
      </c>
      <c r="S216" s="23"/>
      <c r="T216" s="23"/>
      <c r="AB216" s="27" t="s">
        <v>780</v>
      </c>
      <c r="AC216" s="29" t="s">
        <v>1535</v>
      </c>
      <c r="AF216" t="s">
        <v>2318</v>
      </c>
      <c r="AG216">
        <v>674</v>
      </c>
    </row>
    <row r="217" spans="3:33" ht="15" x14ac:dyDescent="0.25">
      <c r="M217" t="s">
        <v>2318</v>
      </c>
      <c r="N217">
        <v>674</v>
      </c>
      <c r="S217" s="23"/>
      <c r="T217" s="23"/>
      <c r="AB217" s="27" t="s">
        <v>781</v>
      </c>
      <c r="AC217" s="29" t="s">
        <v>1536</v>
      </c>
      <c r="AF217" t="s">
        <v>2319</v>
      </c>
      <c r="AG217">
        <v>678</v>
      </c>
    </row>
    <row r="218" spans="3:33" ht="15" x14ac:dyDescent="0.25">
      <c r="M218" t="s">
        <v>2319</v>
      </c>
      <c r="N218">
        <v>678</v>
      </c>
      <c r="S218" s="23"/>
      <c r="T218" s="23"/>
      <c r="AB218" s="27" t="s">
        <v>782</v>
      </c>
      <c r="AC218" s="29" t="s">
        <v>1537</v>
      </c>
      <c r="AF218" t="s">
        <v>2321</v>
      </c>
      <c r="AG218">
        <v>686</v>
      </c>
    </row>
    <row r="219" spans="3:33" ht="15" x14ac:dyDescent="0.25">
      <c r="M219" t="s">
        <v>2321</v>
      </c>
      <c r="N219">
        <v>686</v>
      </c>
      <c r="S219" s="23"/>
      <c r="T219" s="23"/>
      <c r="AB219" s="27" t="s">
        <v>783</v>
      </c>
      <c r="AC219" s="29" t="s">
        <v>1538</v>
      </c>
      <c r="AF219" t="s">
        <v>2316</v>
      </c>
      <c r="AG219">
        <v>666</v>
      </c>
    </row>
    <row r="220" spans="3:33" ht="15" x14ac:dyDescent="0.25">
      <c r="M220" t="s">
        <v>2316</v>
      </c>
      <c r="N220">
        <v>666</v>
      </c>
      <c r="S220" s="23"/>
      <c r="T220" s="23"/>
      <c r="AB220" s="27" t="s">
        <v>784</v>
      </c>
      <c r="AC220" s="29" t="s">
        <v>1539</v>
      </c>
      <c r="AF220" t="s">
        <v>2310</v>
      </c>
      <c r="AG220">
        <v>652</v>
      </c>
    </row>
    <row r="221" spans="3:33" ht="15" x14ac:dyDescent="0.25">
      <c r="M221" t="s">
        <v>2310</v>
      </c>
      <c r="N221">
        <v>652</v>
      </c>
      <c r="S221" s="23"/>
      <c r="T221" s="23"/>
      <c r="AB221" s="27" t="s">
        <v>785</v>
      </c>
      <c r="AC221" s="29" t="s">
        <v>1540</v>
      </c>
      <c r="AF221" t="s">
        <v>2312</v>
      </c>
      <c r="AG221">
        <v>659</v>
      </c>
    </row>
    <row r="222" spans="3:33" ht="15" x14ac:dyDescent="0.25">
      <c r="M222" t="s">
        <v>2312</v>
      </c>
      <c r="N222">
        <v>659</v>
      </c>
      <c r="S222" s="23"/>
      <c r="T222" s="23"/>
      <c r="AB222" s="27" t="s">
        <v>786</v>
      </c>
      <c r="AC222" s="29" t="s">
        <v>1541</v>
      </c>
      <c r="AF222" t="s">
        <v>2314</v>
      </c>
      <c r="AG222">
        <v>662</v>
      </c>
    </row>
    <row r="223" spans="3:33" ht="15" x14ac:dyDescent="0.25">
      <c r="M223" t="s">
        <v>2314</v>
      </c>
      <c r="N223">
        <v>662</v>
      </c>
      <c r="S223" s="23"/>
      <c r="T223" s="23"/>
      <c r="AB223" s="27" t="s">
        <v>787</v>
      </c>
      <c r="AC223" s="29" t="s">
        <v>1542</v>
      </c>
      <c r="AF223" t="s">
        <v>2317</v>
      </c>
      <c r="AG223">
        <v>670</v>
      </c>
    </row>
    <row r="224" spans="3:33" ht="15" x14ac:dyDescent="0.25">
      <c r="M224" t="s">
        <v>2317</v>
      </c>
      <c r="N224">
        <v>670</v>
      </c>
      <c r="S224" s="23"/>
      <c r="T224" s="23"/>
      <c r="AB224" s="27" t="s">
        <v>788</v>
      </c>
      <c r="AC224" s="29" t="s">
        <v>1543</v>
      </c>
      <c r="AF224" t="s">
        <v>2322</v>
      </c>
      <c r="AG224">
        <v>688</v>
      </c>
    </row>
    <row r="225" spans="13:33" ht="15" x14ac:dyDescent="0.25">
      <c r="M225" t="s">
        <v>2322</v>
      </c>
      <c r="N225">
        <v>688</v>
      </c>
      <c r="S225" s="23"/>
      <c r="T225" s="23"/>
      <c r="AB225" s="27" t="s">
        <v>789</v>
      </c>
      <c r="AC225" s="29" t="s">
        <v>1544</v>
      </c>
      <c r="AF225" t="s">
        <v>2303</v>
      </c>
      <c r="AG225">
        <v>626</v>
      </c>
    </row>
    <row r="226" spans="13:33" ht="15" x14ac:dyDescent="0.25">
      <c r="M226" t="s">
        <v>2303</v>
      </c>
      <c r="N226">
        <v>626</v>
      </c>
      <c r="S226" s="23"/>
      <c r="T226" s="23"/>
      <c r="AB226" s="27" t="s">
        <v>790</v>
      </c>
      <c r="AC226" s="29" t="s">
        <v>1545</v>
      </c>
      <c r="AF226" t="s">
        <v>2320</v>
      </c>
      <c r="AG226">
        <v>682</v>
      </c>
    </row>
    <row r="227" spans="13:33" ht="15" x14ac:dyDescent="0.25">
      <c r="M227" t="s">
        <v>2320</v>
      </c>
      <c r="N227">
        <v>682</v>
      </c>
      <c r="S227" s="23"/>
      <c r="T227" s="23"/>
      <c r="AB227" s="27" t="s">
        <v>791</v>
      </c>
      <c r="AC227" s="29" t="s">
        <v>1546</v>
      </c>
      <c r="AF227" t="s">
        <v>2323</v>
      </c>
      <c r="AG227">
        <v>690</v>
      </c>
    </row>
    <row r="228" spans="13:33" ht="15" x14ac:dyDescent="0.25">
      <c r="M228" t="s">
        <v>2323</v>
      </c>
      <c r="N228">
        <v>690</v>
      </c>
      <c r="S228" s="23"/>
      <c r="T228" s="23"/>
      <c r="AB228" s="27" t="s">
        <v>792</v>
      </c>
      <c r="AC228" s="29" t="s">
        <v>1547</v>
      </c>
      <c r="AF228" t="s">
        <v>2288</v>
      </c>
      <c r="AG228">
        <v>580</v>
      </c>
    </row>
    <row r="229" spans="13:33" ht="15" x14ac:dyDescent="0.25">
      <c r="M229" t="s">
        <v>2288</v>
      </c>
      <c r="N229">
        <v>580</v>
      </c>
      <c r="S229" s="23"/>
      <c r="T229" s="23"/>
      <c r="AB229" s="27" t="s">
        <v>793</v>
      </c>
      <c r="AC229" s="29" t="s">
        <v>1548</v>
      </c>
      <c r="AF229" t="s">
        <v>2325</v>
      </c>
      <c r="AG229">
        <v>702</v>
      </c>
    </row>
    <row r="230" spans="13:33" ht="15" x14ac:dyDescent="0.25">
      <c r="M230" t="s">
        <v>2325</v>
      </c>
      <c r="N230">
        <v>702</v>
      </c>
      <c r="S230" s="23"/>
      <c r="T230" s="23"/>
      <c r="AB230" s="27" t="s">
        <v>794</v>
      </c>
      <c r="AC230" s="29" t="s">
        <v>1549</v>
      </c>
      <c r="AF230" t="s">
        <v>2315</v>
      </c>
      <c r="AG230">
        <v>663</v>
      </c>
    </row>
    <row r="231" spans="13:33" ht="15" x14ac:dyDescent="0.25">
      <c r="M231" t="s">
        <v>2315</v>
      </c>
      <c r="N231">
        <v>663</v>
      </c>
      <c r="S231" s="23"/>
      <c r="T231" s="23"/>
      <c r="AB231" s="27" t="s">
        <v>795</v>
      </c>
      <c r="AC231" s="29" t="s">
        <v>1550</v>
      </c>
      <c r="AF231" t="s">
        <v>2277</v>
      </c>
      <c r="AG231">
        <v>534</v>
      </c>
    </row>
    <row r="232" spans="13:33" ht="15" x14ac:dyDescent="0.25">
      <c r="M232" t="s">
        <v>2277</v>
      </c>
      <c r="N232">
        <v>534</v>
      </c>
      <c r="S232" s="23"/>
      <c r="T232" s="23"/>
      <c r="AB232" s="27" t="s">
        <v>796</v>
      </c>
      <c r="AC232" s="29" t="s">
        <v>1551</v>
      </c>
      <c r="AF232" t="s">
        <v>2326</v>
      </c>
      <c r="AG232">
        <v>703</v>
      </c>
    </row>
    <row r="233" spans="13:33" ht="15" x14ac:dyDescent="0.25">
      <c r="M233" t="s">
        <v>2326</v>
      </c>
      <c r="N233">
        <v>703</v>
      </c>
      <c r="S233" s="23"/>
      <c r="T233" s="23"/>
      <c r="AB233" s="27" t="s">
        <v>797</v>
      </c>
      <c r="AC233" s="29" t="s">
        <v>1552</v>
      </c>
      <c r="AF233" t="s">
        <v>2328</v>
      </c>
      <c r="AG233">
        <v>705</v>
      </c>
    </row>
    <row r="234" spans="13:33" ht="15" x14ac:dyDescent="0.25">
      <c r="M234" t="s">
        <v>2328</v>
      </c>
      <c r="N234">
        <v>705</v>
      </c>
      <c r="AB234" s="27" t="s">
        <v>798</v>
      </c>
      <c r="AC234" s="29" t="s">
        <v>1553</v>
      </c>
      <c r="AF234" t="s">
        <v>2150</v>
      </c>
      <c r="AG234">
        <v>90</v>
      </c>
    </row>
    <row r="235" spans="13:33" ht="15" x14ac:dyDescent="0.25">
      <c r="M235" t="s">
        <v>2150</v>
      </c>
      <c r="N235">
        <v>90</v>
      </c>
      <c r="AB235" s="27" t="s">
        <v>799</v>
      </c>
      <c r="AC235" s="29" t="s">
        <v>1554</v>
      </c>
      <c r="AF235" t="s">
        <v>2329</v>
      </c>
      <c r="AG235">
        <v>706</v>
      </c>
    </row>
    <row r="236" spans="13:33" ht="15" x14ac:dyDescent="0.25">
      <c r="M236" t="s">
        <v>2329</v>
      </c>
      <c r="N236">
        <v>706</v>
      </c>
      <c r="AB236" s="27" t="s">
        <v>800</v>
      </c>
      <c r="AC236" s="29" t="s">
        <v>1555</v>
      </c>
      <c r="AF236" t="s">
        <v>2337</v>
      </c>
      <c r="AG236">
        <v>744</v>
      </c>
    </row>
    <row r="237" spans="13:33" ht="15" x14ac:dyDescent="0.25">
      <c r="M237" t="s">
        <v>2337</v>
      </c>
      <c r="N237">
        <v>744</v>
      </c>
      <c r="AB237" s="27" t="s">
        <v>801</v>
      </c>
      <c r="AC237" s="29" t="s">
        <v>1556</v>
      </c>
      <c r="AF237" t="s">
        <v>2163</v>
      </c>
      <c r="AG237">
        <v>144</v>
      </c>
    </row>
    <row r="238" spans="13:33" ht="15" x14ac:dyDescent="0.25">
      <c r="M238" t="s">
        <v>2163</v>
      </c>
      <c r="N238">
        <v>144</v>
      </c>
      <c r="AB238" s="27" t="s">
        <v>802</v>
      </c>
      <c r="AC238" s="29" t="s">
        <v>1557</v>
      </c>
      <c r="AF238" t="s">
        <v>2335</v>
      </c>
      <c r="AG238">
        <v>736</v>
      </c>
    </row>
    <row r="239" spans="13:33" ht="15" x14ac:dyDescent="0.25">
      <c r="M239" t="s">
        <v>2335</v>
      </c>
      <c r="N239">
        <v>736</v>
      </c>
      <c r="AB239" s="27" t="s">
        <v>803</v>
      </c>
      <c r="AC239" s="29" t="s">
        <v>1558</v>
      </c>
      <c r="AF239" t="s">
        <v>2336</v>
      </c>
      <c r="AG239">
        <v>740</v>
      </c>
    </row>
    <row r="240" spans="13:33" ht="15" x14ac:dyDescent="0.25">
      <c r="M240" t="s">
        <v>2336</v>
      </c>
      <c r="N240">
        <v>740</v>
      </c>
      <c r="AB240" s="27" t="s">
        <v>804</v>
      </c>
      <c r="AC240" s="29" t="s">
        <v>1559</v>
      </c>
      <c r="AF240" t="s">
        <v>2341</v>
      </c>
      <c r="AG240">
        <v>760</v>
      </c>
    </row>
    <row r="241" spans="13:33" ht="15" x14ac:dyDescent="0.25">
      <c r="M241" t="s">
        <v>2341</v>
      </c>
      <c r="N241">
        <v>760</v>
      </c>
      <c r="AB241" s="27" t="s">
        <v>805</v>
      </c>
      <c r="AC241" s="29" t="s">
        <v>1560</v>
      </c>
      <c r="AF241" t="s">
        <v>2338</v>
      </c>
      <c r="AG241">
        <v>748</v>
      </c>
    </row>
    <row r="242" spans="13:33" ht="15" x14ac:dyDescent="0.25">
      <c r="M242" t="s">
        <v>2338</v>
      </c>
      <c r="N242">
        <v>748</v>
      </c>
      <c r="AB242" s="27" t="s">
        <v>806</v>
      </c>
      <c r="AC242" s="29" t="s">
        <v>1561</v>
      </c>
      <c r="AF242" t="s">
        <v>2324</v>
      </c>
      <c r="AG242">
        <v>694</v>
      </c>
    </row>
    <row r="243" spans="13:33" ht="15" x14ac:dyDescent="0.25">
      <c r="M243" t="s">
        <v>2324</v>
      </c>
      <c r="N243">
        <v>694</v>
      </c>
      <c r="AB243" s="27" t="s">
        <v>807</v>
      </c>
      <c r="AC243" s="29" t="s">
        <v>1562</v>
      </c>
      <c r="AF243" t="s">
        <v>2342</v>
      </c>
      <c r="AG243">
        <v>762</v>
      </c>
    </row>
    <row r="244" spans="13:33" ht="15" x14ac:dyDescent="0.25">
      <c r="M244" t="s">
        <v>2342</v>
      </c>
      <c r="N244">
        <v>762</v>
      </c>
      <c r="AB244" s="27" t="s">
        <v>808</v>
      </c>
      <c r="AC244" s="29" t="s">
        <v>1563</v>
      </c>
      <c r="AF244" t="s">
        <v>2343</v>
      </c>
      <c r="AG244">
        <v>764</v>
      </c>
    </row>
    <row r="245" spans="13:33" ht="15" x14ac:dyDescent="0.25">
      <c r="M245" t="s">
        <v>2343</v>
      </c>
      <c r="N245">
        <v>764</v>
      </c>
      <c r="AB245" s="27" t="s">
        <v>809</v>
      </c>
      <c r="AC245" s="29" t="s">
        <v>1564</v>
      </c>
      <c r="AF245" t="s">
        <v>2167</v>
      </c>
      <c r="AG245">
        <v>158</v>
      </c>
    </row>
    <row r="246" spans="13:33" ht="15" x14ac:dyDescent="0.25">
      <c r="M246" t="s">
        <v>2167</v>
      </c>
      <c r="N246">
        <v>158</v>
      </c>
      <c r="AB246" s="27" t="s">
        <v>810</v>
      </c>
      <c r="AC246" s="29" t="s">
        <v>1565</v>
      </c>
      <c r="AF246" t="s">
        <v>2345</v>
      </c>
      <c r="AG246">
        <v>772</v>
      </c>
    </row>
    <row r="247" spans="13:33" ht="15" x14ac:dyDescent="0.25">
      <c r="M247" t="s">
        <v>2345</v>
      </c>
      <c r="N247">
        <v>772</v>
      </c>
      <c r="AB247" s="27" t="s">
        <v>811</v>
      </c>
      <c r="AC247" s="29" t="s">
        <v>1566</v>
      </c>
      <c r="AF247" t="s">
        <v>2346</v>
      </c>
      <c r="AG247">
        <v>776</v>
      </c>
    </row>
    <row r="248" spans="13:33" ht="15" x14ac:dyDescent="0.25">
      <c r="M248" t="s">
        <v>2346</v>
      </c>
      <c r="N248">
        <v>776</v>
      </c>
      <c r="AB248" s="27" t="s">
        <v>812</v>
      </c>
      <c r="AC248" s="29" t="s">
        <v>1567</v>
      </c>
      <c r="AF248" t="s">
        <v>2344</v>
      </c>
      <c r="AG248">
        <v>768</v>
      </c>
    </row>
    <row r="249" spans="13:33" ht="15" x14ac:dyDescent="0.25">
      <c r="M249" t="s">
        <v>2344</v>
      </c>
      <c r="N249">
        <v>768</v>
      </c>
      <c r="AB249" s="27" t="s">
        <v>813</v>
      </c>
      <c r="AC249" s="29" t="s">
        <v>1568</v>
      </c>
      <c r="AF249" t="s">
        <v>2347</v>
      </c>
      <c r="AG249">
        <v>780</v>
      </c>
    </row>
    <row r="250" spans="13:33" ht="15" x14ac:dyDescent="0.25">
      <c r="M250" t="s">
        <v>2347</v>
      </c>
      <c r="N250">
        <v>780</v>
      </c>
      <c r="AB250" s="27" t="s">
        <v>814</v>
      </c>
      <c r="AC250" s="29" t="s">
        <v>1569</v>
      </c>
      <c r="AF250" t="s">
        <v>2349</v>
      </c>
      <c r="AG250">
        <v>788</v>
      </c>
    </row>
    <row r="251" spans="13:33" ht="15" x14ac:dyDescent="0.25">
      <c r="M251" t="s">
        <v>2349</v>
      </c>
      <c r="N251">
        <v>788</v>
      </c>
      <c r="AB251" s="27" t="s">
        <v>815</v>
      </c>
      <c r="AC251" s="29" t="s">
        <v>1570</v>
      </c>
      <c r="AF251" t="s">
        <v>2115</v>
      </c>
      <c r="AG251">
        <v>19</v>
      </c>
    </row>
    <row r="252" spans="13:33" ht="15" x14ac:dyDescent="0.25">
      <c r="M252" t="s">
        <v>2115</v>
      </c>
      <c r="N252">
        <v>19</v>
      </c>
      <c r="AB252" s="27" t="s">
        <v>816</v>
      </c>
      <c r="AC252" s="29" t="s">
        <v>1571</v>
      </c>
      <c r="AF252" t="s">
        <v>2352</v>
      </c>
      <c r="AG252">
        <v>796</v>
      </c>
    </row>
    <row r="253" spans="13:33" ht="15" x14ac:dyDescent="0.25">
      <c r="M253" t="s">
        <v>2352</v>
      </c>
      <c r="N253">
        <v>796</v>
      </c>
      <c r="AB253" s="27" t="s">
        <v>817</v>
      </c>
      <c r="AC253" s="29" t="s">
        <v>1572</v>
      </c>
      <c r="AF253" t="s">
        <v>2350</v>
      </c>
      <c r="AG253">
        <v>792</v>
      </c>
    </row>
    <row r="254" spans="13:33" ht="15" x14ac:dyDescent="0.25">
      <c r="M254" t="s">
        <v>2350</v>
      </c>
      <c r="N254">
        <v>792</v>
      </c>
      <c r="AB254" s="27" t="s">
        <v>818</v>
      </c>
      <c r="AC254" s="29" t="s">
        <v>1573</v>
      </c>
      <c r="AF254" t="s">
        <v>2351</v>
      </c>
      <c r="AG254">
        <v>795</v>
      </c>
    </row>
    <row r="255" spans="13:33" ht="15" x14ac:dyDescent="0.25">
      <c r="M255" t="s">
        <v>2351</v>
      </c>
      <c r="N255">
        <v>795</v>
      </c>
      <c r="AB255" s="27" t="s">
        <v>819</v>
      </c>
      <c r="AC255" s="29" t="s">
        <v>1574</v>
      </c>
      <c r="AF255" t="s">
        <v>2353</v>
      </c>
      <c r="AG255">
        <v>798</v>
      </c>
    </row>
    <row r="256" spans="13:33" ht="15" x14ac:dyDescent="0.25">
      <c r="M256" t="s">
        <v>2353</v>
      </c>
      <c r="N256">
        <v>798</v>
      </c>
      <c r="AB256" s="27" t="s">
        <v>820</v>
      </c>
      <c r="AC256" s="29" t="s">
        <v>1575</v>
      </c>
      <c r="AF256" t="s">
        <v>2355</v>
      </c>
      <c r="AG256">
        <v>804</v>
      </c>
    </row>
    <row r="257" spans="13:33" ht="15" x14ac:dyDescent="0.25">
      <c r="M257" t="s">
        <v>2355</v>
      </c>
      <c r="N257">
        <v>804</v>
      </c>
      <c r="AB257" s="27" t="s">
        <v>821</v>
      </c>
      <c r="AC257" s="29" t="s">
        <v>1576</v>
      </c>
      <c r="AF257" t="s">
        <v>2354</v>
      </c>
      <c r="AG257">
        <v>800</v>
      </c>
    </row>
    <row r="258" spans="13:33" ht="15" x14ac:dyDescent="0.25">
      <c r="M258" t="s">
        <v>2354</v>
      </c>
      <c r="N258">
        <v>800</v>
      </c>
      <c r="AB258" s="27" t="s">
        <v>822</v>
      </c>
      <c r="AC258" s="29" t="s">
        <v>1577</v>
      </c>
      <c r="AF258" t="s">
        <v>2367</v>
      </c>
      <c r="AG258">
        <v>858</v>
      </c>
    </row>
    <row r="259" spans="13:33" ht="15" x14ac:dyDescent="0.25">
      <c r="M259" t="s">
        <v>2367</v>
      </c>
      <c r="N259">
        <v>858</v>
      </c>
      <c r="AB259" s="27" t="s">
        <v>823</v>
      </c>
      <c r="AC259" s="29" t="s">
        <v>1578</v>
      </c>
      <c r="AF259" t="s">
        <v>2280</v>
      </c>
      <c r="AG259">
        <v>548</v>
      </c>
    </row>
    <row r="260" spans="13:33" ht="15" x14ac:dyDescent="0.25">
      <c r="M260" t="s">
        <v>2280</v>
      </c>
      <c r="N260">
        <v>548</v>
      </c>
      <c r="AB260" s="27" t="s">
        <v>824</v>
      </c>
      <c r="AC260" s="29" t="s">
        <v>1579</v>
      </c>
      <c r="AF260" t="s">
        <v>2369</v>
      </c>
      <c r="AG260">
        <v>862</v>
      </c>
    </row>
    <row r="261" spans="13:33" ht="15" x14ac:dyDescent="0.25">
      <c r="M261" t="s">
        <v>2369</v>
      </c>
      <c r="N261">
        <v>862</v>
      </c>
      <c r="AB261" s="27" t="s">
        <v>825</v>
      </c>
      <c r="AC261" s="29" t="s">
        <v>1580</v>
      </c>
      <c r="AF261" t="s">
        <v>2365</v>
      </c>
      <c r="AG261">
        <v>850</v>
      </c>
    </row>
    <row r="262" spans="13:33" ht="15" x14ac:dyDescent="0.25">
      <c r="M262" t="s">
        <v>2365</v>
      </c>
      <c r="N262">
        <v>850</v>
      </c>
      <c r="AB262" s="27" t="s">
        <v>826</v>
      </c>
      <c r="AC262" s="29" t="s">
        <v>1581</v>
      </c>
      <c r="AF262" t="s">
        <v>2151</v>
      </c>
      <c r="AG262">
        <v>92</v>
      </c>
    </row>
    <row r="263" spans="13:33" ht="15" x14ac:dyDescent="0.25">
      <c r="M263" t="s">
        <v>2151</v>
      </c>
      <c r="N263">
        <v>92</v>
      </c>
      <c r="AB263" s="27" t="s">
        <v>827</v>
      </c>
      <c r="AC263" s="29" t="s">
        <v>1582</v>
      </c>
      <c r="AF263" t="s">
        <v>2370</v>
      </c>
      <c r="AG263">
        <v>876</v>
      </c>
    </row>
    <row r="264" spans="13:33" ht="15" x14ac:dyDescent="0.25">
      <c r="M264" t="s">
        <v>2370</v>
      </c>
      <c r="N264">
        <v>876</v>
      </c>
      <c r="AB264" s="27" t="s">
        <v>828</v>
      </c>
      <c r="AC264" s="29" t="s">
        <v>1583</v>
      </c>
      <c r="AF264" t="s">
        <v>2327</v>
      </c>
      <c r="AG264">
        <v>704</v>
      </c>
    </row>
    <row r="265" spans="13:33" ht="15" x14ac:dyDescent="0.25">
      <c r="M265" t="s">
        <v>2327</v>
      </c>
      <c r="N265">
        <v>704</v>
      </c>
      <c r="AB265" s="27" t="s">
        <v>829</v>
      </c>
      <c r="AC265" s="29" t="s">
        <v>1584</v>
      </c>
      <c r="AF265" t="s">
        <v>2289</v>
      </c>
      <c r="AG265">
        <v>581</v>
      </c>
    </row>
    <row r="266" spans="13:33" ht="15" x14ac:dyDescent="0.25">
      <c r="M266" t="s">
        <v>2289</v>
      </c>
      <c r="N266">
        <v>581</v>
      </c>
      <c r="AB266" s="27" t="s">
        <v>830</v>
      </c>
      <c r="AC266" s="29" t="s">
        <v>1585</v>
      </c>
      <c r="AF266" t="s">
        <v>2177</v>
      </c>
      <c r="AG266">
        <v>191</v>
      </c>
    </row>
    <row r="267" spans="13:33" ht="15" x14ac:dyDescent="0.25">
      <c r="M267" t="s">
        <v>2177</v>
      </c>
      <c r="N267">
        <v>191</v>
      </c>
      <c r="AB267" s="27" t="s">
        <v>831</v>
      </c>
      <c r="AC267" s="29" t="s">
        <v>1586</v>
      </c>
      <c r="AF267" t="s">
        <v>2233</v>
      </c>
      <c r="AG267">
        <v>388</v>
      </c>
    </row>
    <row r="268" spans="13:33" ht="15" x14ac:dyDescent="0.25">
      <c r="M268" t="s">
        <v>2233</v>
      </c>
      <c r="N268">
        <v>388</v>
      </c>
      <c r="AB268" s="27" t="s">
        <v>832</v>
      </c>
      <c r="AC268" s="29" t="s">
        <v>1587</v>
      </c>
      <c r="AF268" t="s">
        <v>2234</v>
      </c>
      <c r="AG268">
        <v>392</v>
      </c>
    </row>
    <row r="269" spans="13:33" ht="15" x14ac:dyDescent="0.25">
      <c r="M269" t="s">
        <v>2234</v>
      </c>
      <c r="N269">
        <v>392</v>
      </c>
      <c r="AB269" s="27" t="s">
        <v>833</v>
      </c>
      <c r="AC269" s="29" t="s">
        <v>1588</v>
      </c>
      <c r="AF269" t="s">
        <v>2118</v>
      </c>
      <c r="AG269">
        <v>22</v>
      </c>
    </row>
    <row r="270" spans="13:33" ht="15" x14ac:dyDescent="0.25">
      <c r="M270" t="s">
        <v>2118</v>
      </c>
      <c r="N270">
        <v>22</v>
      </c>
      <c r="AB270" s="27" t="s">
        <v>834</v>
      </c>
      <c r="AC270" s="29" t="s">
        <v>1589</v>
      </c>
      <c r="AF270" t="s">
        <v>2372</v>
      </c>
      <c r="AG270">
        <v>887</v>
      </c>
    </row>
    <row r="271" spans="13:33" ht="15" x14ac:dyDescent="0.25">
      <c r="M271" t="s">
        <v>2372</v>
      </c>
      <c r="N271">
        <v>887</v>
      </c>
      <c r="AB271" s="27" t="s">
        <v>835</v>
      </c>
      <c r="AC271" s="29" t="s">
        <v>1590</v>
      </c>
      <c r="AF271" t="s">
        <v>2279</v>
      </c>
      <c r="AG271">
        <v>540</v>
      </c>
    </row>
    <row r="272" spans="13:33" ht="15" x14ac:dyDescent="0.25">
      <c r="M272" t="s">
        <v>2279</v>
      </c>
      <c r="N272">
        <v>540</v>
      </c>
      <c r="AB272" s="27" t="s">
        <v>836</v>
      </c>
      <c r="AC272" s="29" t="s">
        <v>1591</v>
      </c>
      <c r="AF272" t="s">
        <v>2281</v>
      </c>
      <c r="AG272">
        <v>554</v>
      </c>
    </row>
    <row r="273" spans="13:33" ht="15" x14ac:dyDescent="0.25">
      <c r="M273" t="s">
        <v>2281</v>
      </c>
      <c r="N273">
        <v>554</v>
      </c>
      <c r="AB273" s="27" t="s">
        <v>837</v>
      </c>
      <c r="AC273" s="29" t="s">
        <v>1592</v>
      </c>
      <c r="AF273" t="s">
        <v>2210</v>
      </c>
      <c r="AG273">
        <v>300</v>
      </c>
    </row>
    <row r="274" spans="13:33" ht="15" x14ac:dyDescent="0.25">
      <c r="M274" t="s">
        <v>2210</v>
      </c>
      <c r="N274">
        <v>300</v>
      </c>
      <c r="AB274" s="27" t="s">
        <v>838</v>
      </c>
      <c r="AC274" s="29" t="s">
        <v>1593</v>
      </c>
      <c r="AF274" t="s">
        <v>157</v>
      </c>
      <c r="AG274">
        <v>29</v>
      </c>
    </row>
    <row r="275" spans="13:33" ht="15" x14ac:dyDescent="0.25">
      <c r="M275" t="s">
        <v>157</v>
      </c>
      <c r="N275">
        <v>29</v>
      </c>
      <c r="AB275" s="27" t="s">
        <v>839</v>
      </c>
      <c r="AC275" s="29" t="s">
        <v>1594</v>
      </c>
      <c r="AF275" t="s">
        <v>2374</v>
      </c>
      <c r="AG275">
        <v>894</v>
      </c>
    </row>
    <row r="276" spans="13:33" ht="15" x14ac:dyDescent="0.25">
      <c r="M276" t="s">
        <v>2374</v>
      </c>
      <c r="N276">
        <v>894</v>
      </c>
      <c r="AB276" s="27" t="s">
        <v>840</v>
      </c>
      <c r="AC276" s="29" t="s">
        <v>1595</v>
      </c>
      <c r="AF276" t="s">
        <v>2331</v>
      </c>
      <c r="AG276">
        <v>716</v>
      </c>
    </row>
    <row r="277" spans="13:33" ht="15" x14ac:dyDescent="0.25">
      <c r="M277" t="s">
        <v>2331</v>
      </c>
      <c r="N277">
        <v>716</v>
      </c>
      <c r="AB277" s="27" t="s">
        <v>841</v>
      </c>
      <c r="AC277" s="29" t="s">
        <v>1596</v>
      </c>
    </row>
    <row r="278" spans="13:33" x14ac:dyDescent="0.2">
      <c r="AB278" s="27" t="s">
        <v>842</v>
      </c>
      <c r="AC278" s="29" t="s">
        <v>1597</v>
      </c>
    </row>
    <row r="279" spans="13:33" x14ac:dyDescent="0.2">
      <c r="AB279" s="27" t="s">
        <v>843</v>
      </c>
      <c r="AC279" s="29" t="s">
        <v>1598</v>
      </c>
    </row>
    <row r="280" spans="13:33" x14ac:dyDescent="0.2">
      <c r="AB280" s="27" t="s">
        <v>844</v>
      </c>
      <c r="AC280" s="29" t="s">
        <v>1599</v>
      </c>
    </row>
    <row r="281" spans="13:33" x14ac:dyDescent="0.2">
      <c r="AB281" s="27" t="s">
        <v>845</v>
      </c>
      <c r="AC281" s="29" t="s">
        <v>1600</v>
      </c>
    </row>
    <row r="282" spans="13:33" x14ac:dyDescent="0.2">
      <c r="AB282" s="27" t="s">
        <v>846</v>
      </c>
      <c r="AC282" s="29" t="s">
        <v>1601</v>
      </c>
    </row>
    <row r="283" spans="13:33" x14ac:dyDescent="0.2">
      <c r="AB283" s="27" t="s">
        <v>847</v>
      </c>
      <c r="AC283" s="29" t="s">
        <v>1602</v>
      </c>
    </row>
    <row r="284" spans="13:33" x14ac:dyDescent="0.2">
      <c r="AB284" s="27" t="s">
        <v>848</v>
      </c>
      <c r="AC284" s="29" t="s">
        <v>1603</v>
      </c>
    </row>
    <row r="285" spans="13:33" x14ac:dyDescent="0.2">
      <c r="AB285" s="27" t="s">
        <v>849</v>
      </c>
      <c r="AC285" s="29" t="s">
        <v>1604</v>
      </c>
    </row>
    <row r="286" spans="13:33" x14ac:dyDescent="0.2">
      <c r="AB286" s="27" t="s">
        <v>850</v>
      </c>
      <c r="AC286" s="29" t="s">
        <v>1605</v>
      </c>
    </row>
    <row r="287" spans="13:33" x14ac:dyDescent="0.2">
      <c r="AB287" s="27" t="s">
        <v>851</v>
      </c>
      <c r="AC287" s="29" t="s">
        <v>1606</v>
      </c>
    </row>
    <row r="288" spans="13:33" x14ac:dyDescent="0.2">
      <c r="AB288" s="27" t="s">
        <v>852</v>
      </c>
      <c r="AC288" s="29" t="s">
        <v>1607</v>
      </c>
    </row>
    <row r="289" spans="28:29" x14ac:dyDescent="0.2">
      <c r="AB289" s="27" t="s">
        <v>853</v>
      </c>
      <c r="AC289" s="29" t="s">
        <v>1608</v>
      </c>
    </row>
    <row r="290" spans="28:29" x14ac:dyDescent="0.2">
      <c r="AB290" s="27" t="s">
        <v>854</v>
      </c>
      <c r="AC290" s="29" t="s">
        <v>1609</v>
      </c>
    </row>
    <row r="291" spans="28:29" x14ac:dyDescent="0.2">
      <c r="AB291" s="27" t="s">
        <v>855</v>
      </c>
      <c r="AC291" s="29" t="s">
        <v>1610</v>
      </c>
    </row>
    <row r="292" spans="28:29" x14ac:dyDescent="0.2">
      <c r="AB292" s="27" t="s">
        <v>856</v>
      </c>
      <c r="AC292" s="29" t="s">
        <v>1611</v>
      </c>
    </row>
    <row r="293" spans="28:29" x14ac:dyDescent="0.2">
      <c r="AB293" s="27" t="s">
        <v>857</v>
      </c>
      <c r="AC293" s="29" t="s">
        <v>1612</v>
      </c>
    </row>
    <row r="294" spans="28:29" x14ac:dyDescent="0.2">
      <c r="AB294" s="27" t="s">
        <v>858</v>
      </c>
      <c r="AC294" s="29" t="s">
        <v>1613</v>
      </c>
    </row>
    <row r="295" spans="28:29" x14ac:dyDescent="0.2">
      <c r="AB295" s="27" t="s">
        <v>859</v>
      </c>
      <c r="AC295" s="29" t="s">
        <v>1614</v>
      </c>
    </row>
    <row r="296" spans="28:29" x14ac:dyDescent="0.2">
      <c r="AB296" s="27" t="s">
        <v>860</v>
      </c>
      <c r="AC296" s="29" t="s">
        <v>1615</v>
      </c>
    </row>
    <row r="297" spans="28:29" x14ac:dyDescent="0.2">
      <c r="AB297" s="27" t="s">
        <v>861</v>
      </c>
      <c r="AC297" s="29" t="s">
        <v>1616</v>
      </c>
    </row>
    <row r="298" spans="28:29" x14ac:dyDescent="0.2">
      <c r="AB298" s="27" t="s">
        <v>862</v>
      </c>
      <c r="AC298" s="29" t="s">
        <v>1617</v>
      </c>
    </row>
    <row r="299" spans="28:29" x14ac:dyDescent="0.2">
      <c r="AB299" s="27" t="s">
        <v>863</v>
      </c>
      <c r="AC299" s="29" t="s">
        <v>1618</v>
      </c>
    </row>
    <row r="300" spans="28:29" x14ac:dyDescent="0.2">
      <c r="AB300" s="27" t="s">
        <v>864</v>
      </c>
      <c r="AC300" s="29" t="s">
        <v>1619</v>
      </c>
    </row>
    <row r="301" spans="28:29" x14ac:dyDescent="0.2">
      <c r="AB301" s="27" t="s">
        <v>865</v>
      </c>
      <c r="AC301" s="29" t="s">
        <v>1620</v>
      </c>
    </row>
    <row r="302" spans="28:29" x14ac:dyDescent="0.2">
      <c r="AB302" s="27" t="s">
        <v>866</v>
      </c>
      <c r="AC302" s="29" t="s">
        <v>1621</v>
      </c>
    </row>
    <row r="303" spans="28:29" x14ac:dyDescent="0.2">
      <c r="AB303" s="27" t="s">
        <v>867</v>
      </c>
      <c r="AC303" s="29" t="s">
        <v>1622</v>
      </c>
    </row>
    <row r="304" spans="28:29" x14ac:dyDescent="0.2">
      <c r="AB304" s="27" t="s">
        <v>868</v>
      </c>
      <c r="AC304" s="29" t="s">
        <v>1623</v>
      </c>
    </row>
    <row r="305" spans="28:29" x14ac:dyDescent="0.2">
      <c r="AB305" s="27" t="s">
        <v>869</v>
      </c>
      <c r="AC305" s="29" t="s">
        <v>1624</v>
      </c>
    </row>
    <row r="306" spans="28:29" x14ac:dyDescent="0.2">
      <c r="AB306" s="27" t="s">
        <v>870</v>
      </c>
      <c r="AC306" s="29" t="s">
        <v>1625</v>
      </c>
    </row>
    <row r="307" spans="28:29" x14ac:dyDescent="0.2">
      <c r="AB307" s="27" t="s">
        <v>871</v>
      </c>
      <c r="AC307" s="29" t="s">
        <v>1626</v>
      </c>
    </row>
    <row r="308" spans="28:29" x14ac:dyDescent="0.2">
      <c r="AB308" s="27" t="s">
        <v>872</v>
      </c>
      <c r="AC308" s="29" t="s">
        <v>1627</v>
      </c>
    </row>
    <row r="309" spans="28:29" x14ac:dyDescent="0.2">
      <c r="AB309" s="27" t="s">
        <v>873</v>
      </c>
      <c r="AC309" s="29" t="s">
        <v>1628</v>
      </c>
    </row>
    <row r="310" spans="28:29" x14ac:dyDescent="0.2">
      <c r="AB310" s="27" t="s">
        <v>874</v>
      </c>
      <c r="AC310" s="29" t="s">
        <v>1629</v>
      </c>
    </row>
    <row r="311" spans="28:29" x14ac:dyDescent="0.2">
      <c r="AB311" s="27" t="s">
        <v>875</v>
      </c>
      <c r="AC311" s="29" t="s">
        <v>1630</v>
      </c>
    </row>
    <row r="312" spans="28:29" x14ac:dyDescent="0.2">
      <c r="AB312" s="27" t="s">
        <v>876</v>
      </c>
      <c r="AC312" s="29" t="s">
        <v>1631</v>
      </c>
    </row>
    <row r="313" spans="28:29" x14ac:dyDescent="0.2">
      <c r="AB313" s="27" t="s">
        <v>877</v>
      </c>
      <c r="AC313" s="29" t="s">
        <v>1632</v>
      </c>
    </row>
    <row r="314" spans="28:29" x14ac:dyDescent="0.2">
      <c r="AB314" s="27" t="s">
        <v>878</v>
      </c>
      <c r="AC314" s="29" t="s">
        <v>1633</v>
      </c>
    </row>
    <row r="315" spans="28:29" x14ac:dyDescent="0.2">
      <c r="AB315" s="27" t="s">
        <v>879</v>
      </c>
      <c r="AC315" s="29" t="s">
        <v>1634</v>
      </c>
    </row>
    <row r="316" spans="28:29" x14ac:dyDescent="0.2">
      <c r="AB316" s="27" t="s">
        <v>880</v>
      </c>
      <c r="AC316" s="29" t="s">
        <v>1635</v>
      </c>
    </row>
    <row r="317" spans="28:29" x14ac:dyDescent="0.2">
      <c r="AB317" s="27" t="s">
        <v>881</v>
      </c>
      <c r="AC317" s="29" t="s">
        <v>1636</v>
      </c>
    </row>
    <row r="318" spans="28:29" x14ac:dyDescent="0.2">
      <c r="AB318" s="27" t="s">
        <v>882</v>
      </c>
      <c r="AC318" s="29" t="s">
        <v>1637</v>
      </c>
    </row>
    <row r="319" spans="28:29" x14ac:dyDescent="0.2">
      <c r="AB319" s="27" t="s">
        <v>883</v>
      </c>
      <c r="AC319" s="29" t="s">
        <v>1638</v>
      </c>
    </row>
    <row r="320" spans="28:29" x14ac:dyDescent="0.2">
      <c r="AB320" s="27" t="s">
        <v>884</v>
      </c>
      <c r="AC320" s="29" t="s">
        <v>1639</v>
      </c>
    </row>
    <row r="321" spans="28:29" x14ac:dyDescent="0.2">
      <c r="AB321" s="27" t="s">
        <v>885</v>
      </c>
      <c r="AC321" s="29" t="s">
        <v>1640</v>
      </c>
    </row>
    <row r="322" spans="28:29" x14ac:dyDescent="0.2">
      <c r="AB322" s="27" t="s">
        <v>886</v>
      </c>
      <c r="AC322" s="29" t="s">
        <v>1641</v>
      </c>
    </row>
    <row r="323" spans="28:29" x14ac:dyDescent="0.2">
      <c r="AB323" s="27" t="s">
        <v>887</v>
      </c>
      <c r="AC323" s="29" t="s">
        <v>1642</v>
      </c>
    </row>
    <row r="324" spans="28:29" x14ac:dyDescent="0.2">
      <c r="AB324" s="27" t="s">
        <v>888</v>
      </c>
      <c r="AC324" s="29" t="s">
        <v>1643</v>
      </c>
    </row>
    <row r="325" spans="28:29" x14ac:dyDescent="0.2">
      <c r="AB325" s="27" t="s">
        <v>889</v>
      </c>
      <c r="AC325" s="29" t="s">
        <v>1644</v>
      </c>
    </row>
    <row r="326" spans="28:29" x14ac:dyDescent="0.2">
      <c r="AB326" s="27" t="s">
        <v>890</v>
      </c>
      <c r="AC326" s="29" t="s">
        <v>1645</v>
      </c>
    </row>
    <row r="327" spans="28:29" x14ac:dyDescent="0.2">
      <c r="AB327" s="27" t="s">
        <v>891</v>
      </c>
      <c r="AC327" s="29" t="s">
        <v>1646</v>
      </c>
    </row>
    <row r="328" spans="28:29" x14ac:dyDescent="0.2">
      <c r="AB328" s="27" t="s">
        <v>892</v>
      </c>
      <c r="AC328" s="29" t="s">
        <v>1647</v>
      </c>
    </row>
    <row r="329" spans="28:29" x14ac:dyDescent="0.2">
      <c r="AB329" s="27" t="s">
        <v>893</v>
      </c>
      <c r="AC329" s="29" t="s">
        <v>1648</v>
      </c>
    </row>
    <row r="330" spans="28:29" x14ac:dyDescent="0.2">
      <c r="AB330" s="27" t="s">
        <v>894</v>
      </c>
      <c r="AC330" s="29" t="s">
        <v>1649</v>
      </c>
    </row>
    <row r="331" spans="28:29" x14ac:dyDescent="0.2">
      <c r="AB331" s="27" t="s">
        <v>895</v>
      </c>
      <c r="AC331" s="29" t="s">
        <v>1650</v>
      </c>
    </row>
    <row r="332" spans="28:29" x14ac:dyDescent="0.2">
      <c r="AB332" s="27" t="s">
        <v>896</v>
      </c>
      <c r="AC332" s="29" t="s">
        <v>1651</v>
      </c>
    </row>
    <row r="333" spans="28:29" x14ac:dyDescent="0.2">
      <c r="AB333" s="27" t="s">
        <v>897</v>
      </c>
      <c r="AC333" s="29" t="s">
        <v>1652</v>
      </c>
    </row>
    <row r="334" spans="28:29" x14ac:dyDescent="0.2">
      <c r="AB334" s="27" t="s">
        <v>898</v>
      </c>
      <c r="AC334" s="29" t="s">
        <v>1653</v>
      </c>
    </row>
    <row r="335" spans="28:29" x14ac:dyDescent="0.2">
      <c r="AB335" s="27" t="s">
        <v>899</v>
      </c>
      <c r="AC335" s="29" t="s">
        <v>1654</v>
      </c>
    </row>
    <row r="336" spans="28:29" x14ac:dyDescent="0.2">
      <c r="AB336" s="27" t="s">
        <v>900</v>
      </c>
      <c r="AC336" s="29" t="s">
        <v>1655</v>
      </c>
    </row>
    <row r="337" spans="28:29" x14ac:dyDescent="0.2">
      <c r="AB337" s="27" t="s">
        <v>901</v>
      </c>
      <c r="AC337" s="29" t="s">
        <v>1656</v>
      </c>
    </row>
    <row r="338" spans="28:29" x14ac:dyDescent="0.2">
      <c r="AB338" s="27" t="s">
        <v>902</v>
      </c>
      <c r="AC338" s="29" t="s">
        <v>1657</v>
      </c>
    </row>
    <row r="339" spans="28:29" x14ac:dyDescent="0.2">
      <c r="AB339" s="27" t="s">
        <v>903</v>
      </c>
      <c r="AC339" s="29" t="s">
        <v>1658</v>
      </c>
    </row>
    <row r="340" spans="28:29" x14ac:dyDescent="0.2">
      <c r="AB340" s="27" t="s">
        <v>904</v>
      </c>
      <c r="AC340" s="29" t="s">
        <v>1659</v>
      </c>
    </row>
    <row r="341" spans="28:29" x14ac:dyDescent="0.2">
      <c r="AB341" s="27" t="s">
        <v>905</v>
      </c>
      <c r="AC341" s="29" t="s">
        <v>1660</v>
      </c>
    </row>
    <row r="342" spans="28:29" x14ac:dyDescent="0.2">
      <c r="AB342" s="27" t="s">
        <v>906</v>
      </c>
      <c r="AC342" s="29" t="s">
        <v>1661</v>
      </c>
    </row>
    <row r="343" spans="28:29" x14ac:dyDescent="0.2">
      <c r="AB343" s="27" t="s">
        <v>907</v>
      </c>
      <c r="AC343" s="29" t="s">
        <v>1662</v>
      </c>
    </row>
    <row r="344" spans="28:29" x14ac:dyDescent="0.2">
      <c r="AB344" s="27" t="s">
        <v>908</v>
      </c>
      <c r="AC344" s="29" t="s">
        <v>1663</v>
      </c>
    </row>
    <row r="345" spans="28:29" x14ac:dyDescent="0.2">
      <c r="AB345" s="27" t="s">
        <v>909</v>
      </c>
      <c r="AC345" s="29" t="s">
        <v>1664</v>
      </c>
    </row>
    <row r="346" spans="28:29" x14ac:dyDescent="0.2">
      <c r="AB346" s="27" t="s">
        <v>910</v>
      </c>
      <c r="AC346" s="29" t="s">
        <v>1665</v>
      </c>
    </row>
    <row r="347" spans="28:29" x14ac:dyDescent="0.2">
      <c r="AB347" s="27" t="s">
        <v>911</v>
      </c>
      <c r="AC347" s="29" t="s">
        <v>1666</v>
      </c>
    </row>
    <row r="348" spans="28:29" x14ac:dyDescent="0.2">
      <c r="AB348" s="27" t="s">
        <v>912</v>
      </c>
      <c r="AC348" s="29" t="s">
        <v>1667</v>
      </c>
    </row>
    <row r="349" spans="28:29" x14ac:dyDescent="0.2">
      <c r="AB349" s="27" t="s">
        <v>913</v>
      </c>
      <c r="AC349" s="29" t="s">
        <v>1668</v>
      </c>
    </row>
    <row r="350" spans="28:29" x14ac:dyDescent="0.2">
      <c r="AB350" s="27" t="s">
        <v>914</v>
      </c>
      <c r="AC350" s="29" t="s">
        <v>1669</v>
      </c>
    </row>
    <row r="351" spans="28:29" x14ac:dyDescent="0.2">
      <c r="AB351" s="27" t="s">
        <v>915</v>
      </c>
      <c r="AC351" s="29" t="s">
        <v>1670</v>
      </c>
    </row>
    <row r="352" spans="28:29" x14ac:dyDescent="0.2">
      <c r="AB352" s="27" t="s">
        <v>916</v>
      </c>
      <c r="AC352" s="29" t="s">
        <v>1671</v>
      </c>
    </row>
    <row r="353" spans="28:29" x14ac:dyDescent="0.2">
      <c r="AB353" s="27" t="s">
        <v>917</v>
      </c>
      <c r="AC353" s="29" t="s">
        <v>1672</v>
      </c>
    </row>
    <row r="354" spans="28:29" x14ac:dyDescent="0.2">
      <c r="AB354" s="27" t="s">
        <v>918</v>
      </c>
      <c r="AC354" s="29" t="s">
        <v>1673</v>
      </c>
    </row>
    <row r="355" spans="28:29" x14ac:dyDescent="0.2">
      <c r="AB355" s="27" t="s">
        <v>919</v>
      </c>
      <c r="AC355" s="29" t="s">
        <v>1674</v>
      </c>
    </row>
    <row r="356" spans="28:29" x14ac:dyDescent="0.2">
      <c r="AB356" s="27" t="s">
        <v>920</v>
      </c>
      <c r="AC356" s="29" t="s">
        <v>1675</v>
      </c>
    </row>
    <row r="357" spans="28:29" x14ac:dyDescent="0.2">
      <c r="AB357" s="27" t="s">
        <v>921</v>
      </c>
      <c r="AC357" s="29" t="s">
        <v>1676</v>
      </c>
    </row>
    <row r="358" spans="28:29" x14ac:dyDescent="0.2">
      <c r="AB358" s="27" t="s">
        <v>922</v>
      </c>
      <c r="AC358" s="29" t="s">
        <v>1677</v>
      </c>
    </row>
    <row r="359" spans="28:29" x14ac:dyDescent="0.2">
      <c r="AB359" s="27" t="s">
        <v>923</v>
      </c>
      <c r="AC359" s="29" t="s">
        <v>1678</v>
      </c>
    </row>
    <row r="360" spans="28:29" x14ac:dyDescent="0.2">
      <c r="AB360" s="27" t="s">
        <v>924</v>
      </c>
      <c r="AC360" s="29" t="s">
        <v>1679</v>
      </c>
    </row>
    <row r="361" spans="28:29" x14ac:dyDescent="0.2">
      <c r="AB361" s="27" t="s">
        <v>925</v>
      </c>
      <c r="AC361" s="29" t="s">
        <v>1680</v>
      </c>
    </row>
    <row r="362" spans="28:29" x14ac:dyDescent="0.2">
      <c r="AB362" s="27" t="s">
        <v>926</v>
      </c>
      <c r="AC362" s="29" t="s">
        <v>1681</v>
      </c>
    </row>
    <row r="363" spans="28:29" x14ac:dyDescent="0.2">
      <c r="AB363" s="27" t="s">
        <v>927</v>
      </c>
      <c r="AC363" s="29" t="s">
        <v>1682</v>
      </c>
    </row>
    <row r="364" spans="28:29" x14ac:dyDescent="0.2">
      <c r="AB364" s="27" t="s">
        <v>928</v>
      </c>
      <c r="AC364" s="29" t="s">
        <v>1683</v>
      </c>
    </row>
    <row r="365" spans="28:29" x14ac:dyDescent="0.2">
      <c r="AB365" s="27" t="s">
        <v>929</v>
      </c>
      <c r="AC365" s="29" t="s">
        <v>1684</v>
      </c>
    </row>
    <row r="366" spans="28:29" x14ac:dyDescent="0.2">
      <c r="AB366" s="27" t="s">
        <v>930</v>
      </c>
      <c r="AC366" s="29" t="s">
        <v>1685</v>
      </c>
    </row>
    <row r="367" spans="28:29" x14ac:dyDescent="0.2">
      <c r="AB367" s="27" t="s">
        <v>931</v>
      </c>
      <c r="AC367" s="29" t="s">
        <v>1686</v>
      </c>
    </row>
    <row r="368" spans="28:29" x14ac:dyDescent="0.2">
      <c r="AB368" s="27" t="s">
        <v>932</v>
      </c>
      <c r="AC368" s="29" t="s">
        <v>1687</v>
      </c>
    </row>
    <row r="369" spans="28:29" x14ac:dyDescent="0.2">
      <c r="AB369" s="27" t="s">
        <v>933</v>
      </c>
      <c r="AC369" s="29" t="s">
        <v>1688</v>
      </c>
    </row>
    <row r="370" spans="28:29" x14ac:dyDescent="0.2">
      <c r="AB370" s="27" t="s">
        <v>934</v>
      </c>
      <c r="AC370" s="29" t="s">
        <v>1689</v>
      </c>
    </row>
    <row r="371" spans="28:29" x14ac:dyDescent="0.2">
      <c r="AB371" s="27" t="s">
        <v>935</v>
      </c>
      <c r="AC371" s="29" t="s">
        <v>1690</v>
      </c>
    </row>
    <row r="372" spans="28:29" x14ac:dyDescent="0.2">
      <c r="AB372" s="27" t="s">
        <v>936</v>
      </c>
      <c r="AC372" s="29" t="s">
        <v>1691</v>
      </c>
    </row>
    <row r="373" spans="28:29" x14ac:dyDescent="0.2">
      <c r="AB373" s="27" t="s">
        <v>937</v>
      </c>
      <c r="AC373" s="29" t="s">
        <v>1692</v>
      </c>
    </row>
    <row r="374" spans="28:29" x14ac:dyDescent="0.2">
      <c r="AB374" s="27" t="s">
        <v>938</v>
      </c>
      <c r="AC374" s="29" t="s">
        <v>1693</v>
      </c>
    </row>
    <row r="375" spans="28:29" x14ac:dyDescent="0.2">
      <c r="AB375" s="27" t="s">
        <v>939</v>
      </c>
      <c r="AC375" s="29" t="s">
        <v>1694</v>
      </c>
    </row>
    <row r="376" spans="28:29" x14ac:dyDescent="0.2">
      <c r="AB376" s="27" t="s">
        <v>940</v>
      </c>
      <c r="AC376" s="29" t="s">
        <v>1695</v>
      </c>
    </row>
    <row r="377" spans="28:29" x14ac:dyDescent="0.2">
      <c r="AB377" s="27" t="s">
        <v>941</v>
      </c>
      <c r="AC377" s="29" t="s">
        <v>1696</v>
      </c>
    </row>
    <row r="378" spans="28:29" x14ac:dyDescent="0.2">
      <c r="AB378" s="27" t="s">
        <v>942</v>
      </c>
      <c r="AC378" s="29" t="s">
        <v>1697</v>
      </c>
    </row>
    <row r="379" spans="28:29" x14ac:dyDescent="0.2">
      <c r="AB379" s="27" t="s">
        <v>943</v>
      </c>
      <c r="AC379" s="29" t="s">
        <v>1698</v>
      </c>
    </row>
    <row r="380" spans="28:29" x14ac:dyDescent="0.2">
      <c r="AB380" s="27" t="s">
        <v>944</v>
      </c>
      <c r="AC380" s="29" t="s">
        <v>1699</v>
      </c>
    </row>
    <row r="381" spans="28:29" x14ac:dyDescent="0.2">
      <c r="AB381" s="27" t="s">
        <v>945</v>
      </c>
      <c r="AC381" s="29" t="s">
        <v>1700</v>
      </c>
    </row>
    <row r="382" spans="28:29" x14ac:dyDescent="0.2">
      <c r="AB382" s="27" t="s">
        <v>946</v>
      </c>
      <c r="AC382" s="29" t="s">
        <v>1701</v>
      </c>
    </row>
    <row r="383" spans="28:29" x14ac:dyDescent="0.2">
      <c r="AB383" s="27" t="s">
        <v>947</v>
      </c>
      <c r="AC383" s="29" t="s">
        <v>1702</v>
      </c>
    </row>
    <row r="384" spans="28:29" x14ac:dyDescent="0.2">
      <c r="AB384" s="27" t="s">
        <v>948</v>
      </c>
      <c r="AC384" s="29" t="s">
        <v>1703</v>
      </c>
    </row>
    <row r="385" spans="28:29" x14ac:dyDescent="0.2">
      <c r="AB385" s="27" t="s">
        <v>949</v>
      </c>
      <c r="AC385" s="29" t="s">
        <v>1704</v>
      </c>
    </row>
    <row r="386" spans="28:29" x14ac:dyDescent="0.2">
      <c r="AB386" s="27" t="s">
        <v>950</v>
      </c>
      <c r="AC386" s="29" t="s">
        <v>1705</v>
      </c>
    </row>
    <row r="387" spans="28:29" x14ac:dyDescent="0.2">
      <c r="AB387" s="27" t="s">
        <v>951</v>
      </c>
      <c r="AC387" s="29" t="s">
        <v>1706</v>
      </c>
    </row>
    <row r="388" spans="28:29" x14ac:dyDescent="0.2">
      <c r="AB388" s="27" t="s">
        <v>952</v>
      </c>
      <c r="AC388" s="29" t="s">
        <v>1707</v>
      </c>
    </row>
    <row r="389" spans="28:29" x14ac:dyDescent="0.2">
      <c r="AB389" s="27" t="s">
        <v>953</v>
      </c>
      <c r="AC389" s="29" t="s">
        <v>1708</v>
      </c>
    </row>
    <row r="390" spans="28:29" x14ac:dyDescent="0.2">
      <c r="AB390" s="27" t="s">
        <v>954</v>
      </c>
      <c r="AC390" s="29" t="s">
        <v>1709</v>
      </c>
    </row>
    <row r="391" spans="28:29" x14ac:dyDescent="0.2">
      <c r="AB391" s="27" t="s">
        <v>955</v>
      </c>
      <c r="AC391" s="29" t="s">
        <v>1710</v>
      </c>
    </row>
    <row r="392" spans="28:29" x14ac:dyDescent="0.2">
      <c r="AB392" s="27" t="s">
        <v>956</v>
      </c>
      <c r="AC392" s="29" t="s">
        <v>1711</v>
      </c>
    </row>
    <row r="393" spans="28:29" x14ac:dyDescent="0.2">
      <c r="AB393" s="27" t="s">
        <v>957</v>
      </c>
      <c r="AC393" s="29" t="s">
        <v>1712</v>
      </c>
    </row>
    <row r="394" spans="28:29" x14ac:dyDescent="0.2">
      <c r="AB394" s="27" t="s">
        <v>958</v>
      </c>
      <c r="AC394" s="29" t="s">
        <v>1713</v>
      </c>
    </row>
    <row r="395" spans="28:29" x14ac:dyDescent="0.2">
      <c r="AB395" s="27" t="s">
        <v>959</v>
      </c>
      <c r="AC395" s="29" t="s">
        <v>1714</v>
      </c>
    </row>
    <row r="396" spans="28:29" x14ac:dyDescent="0.2">
      <c r="AB396" s="27" t="s">
        <v>960</v>
      </c>
      <c r="AC396" s="29" t="s">
        <v>1715</v>
      </c>
    </row>
    <row r="397" spans="28:29" x14ac:dyDescent="0.2">
      <c r="AB397" s="27" t="s">
        <v>961</v>
      </c>
      <c r="AC397" s="29" t="s">
        <v>1716</v>
      </c>
    </row>
    <row r="398" spans="28:29" x14ac:dyDescent="0.2">
      <c r="AB398" s="27" t="s">
        <v>962</v>
      </c>
      <c r="AC398" s="29" t="s">
        <v>1717</v>
      </c>
    </row>
    <row r="399" spans="28:29" x14ac:dyDescent="0.2">
      <c r="AB399" s="27" t="s">
        <v>963</v>
      </c>
      <c r="AC399" s="29" t="s">
        <v>1718</v>
      </c>
    </row>
    <row r="400" spans="28:29" x14ac:dyDescent="0.2">
      <c r="AB400" s="27" t="s">
        <v>964</v>
      </c>
      <c r="AC400" s="29" t="s">
        <v>1719</v>
      </c>
    </row>
    <row r="401" spans="28:29" x14ac:dyDescent="0.2">
      <c r="AB401" s="27" t="s">
        <v>965</v>
      </c>
      <c r="AC401" s="29" t="s">
        <v>1720</v>
      </c>
    </row>
    <row r="402" spans="28:29" x14ac:dyDescent="0.2">
      <c r="AB402" s="27" t="s">
        <v>966</v>
      </c>
      <c r="AC402" s="29" t="s">
        <v>1721</v>
      </c>
    </row>
    <row r="403" spans="28:29" x14ac:dyDescent="0.2">
      <c r="AB403" s="27" t="s">
        <v>967</v>
      </c>
      <c r="AC403" s="29" t="s">
        <v>1722</v>
      </c>
    </row>
    <row r="404" spans="28:29" x14ac:dyDescent="0.2">
      <c r="AB404" s="27" t="s">
        <v>968</v>
      </c>
      <c r="AC404" s="29" t="s">
        <v>1723</v>
      </c>
    </row>
    <row r="405" spans="28:29" x14ac:dyDescent="0.2">
      <c r="AB405" s="27" t="s">
        <v>969</v>
      </c>
      <c r="AC405" s="29" t="s">
        <v>1724</v>
      </c>
    </row>
    <row r="406" spans="28:29" x14ac:dyDescent="0.2">
      <c r="AB406" s="27" t="s">
        <v>970</v>
      </c>
      <c r="AC406" s="29" t="s">
        <v>1725</v>
      </c>
    </row>
    <row r="407" spans="28:29" x14ac:dyDescent="0.2">
      <c r="AB407" s="27" t="s">
        <v>971</v>
      </c>
      <c r="AC407" s="29" t="s">
        <v>1726</v>
      </c>
    </row>
    <row r="408" spans="28:29" x14ac:dyDescent="0.2">
      <c r="AB408" s="27" t="s">
        <v>972</v>
      </c>
      <c r="AC408" s="29" t="s">
        <v>1727</v>
      </c>
    </row>
    <row r="409" spans="28:29" x14ac:dyDescent="0.2">
      <c r="AB409" s="27" t="s">
        <v>973</v>
      </c>
      <c r="AC409" s="29" t="s">
        <v>1728</v>
      </c>
    </row>
    <row r="410" spans="28:29" x14ac:dyDescent="0.2">
      <c r="AB410" s="27" t="s">
        <v>974</v>
      </c>
      <c r="AC410" s="29" t="s">
        <v>1729</v>
      </c>
    </row>
    <row r="411" spans="28:29" x14ac:dyDescent="0.2">
      <c r="AB411" s="27" t="s">
        <v>975</v>
      </c>
      <c r="AC411" s="29" t="s">
        <v>1730</v>
      </c>
    </row>
    <row r="412" spans="28:29" x14ac:dyDescent="0.2">
      <c r="AB412" s="27" t="s">
        <v>976</v>
      </c>
      <c r="AC412" s="29" t="s">
        <v>1731</v>
      </c>
    </row>
    <row r="413" spans="28:29" x14ac:dyDescent="0.2">
      <c r="AB413" s="27" t="s">
        <v>977</v>
      </c>
      <c r="AC413" s="29" t="s">
        <v>1732</v>
      </c>
    </row>
    <row r="414" spans="28:29" x14ac:dyDescent="0.2">
      <c r="AB414" s="27" t="s">
        <v>978</v>
      </c>
      <c r="AC414" s="29" t="s">
        <v>1733</v>
      </c>
    </row>
    <row r="415" spans="28:29" x14ac:dyDescent="0.2">
      <c r="AB415" s="27" t="s">
        <v>979</v>
      </c>
      <c r="AC415" s="29" t="s">
        <v>1734</v>
      </c>
    </row>
    <row r="416" spans="28:29" x14ac:dyDescent="0.2">
      <c r="AB416" s="27" t="s">
        <v>980</v>
      </c>
      <c r="AC416" s="29" t="s">
        <v>1735</v>
      </c>
    </row>
    <row r="417" spans="28:29" x14ac:dyDescent="0.2">
      <c r="AB417" s="27" t="s">
        <v>981</v>
      </c>
      <c r="AC417" s="29" t="s">
        <v>1736</v>
      </c>
    </row>
    <row r="418" spans="28:29" x14ac:dyDescent="0.2">
      <c r="AB418" s="27" t="s">
        <v>982</v>
      </c>
      <c r="AC418" s="29" t="s">
        <v>1737</v>
      </c>
    </row>
    <row r="419" spans="28:29" x14ac:dyDescent="0.2">
      <c r="AB419" s="27" t="s">
        <v>983</v>
      </c>
      <c r="AC419" s="29" t="s">
        <v>1738</v>
      </c>
    </row>
    <row r="420" spans="28:29" x14ac:dyDescent="0.2">
      <c r="AB420" s="27" t="s">
        <v>984</v>
      </c>
      <c r="AC420" s="29" t="s">
        <v>1739</v>
      </c>
    </row>
    <row r="421" spans="28:29" x14ac:dyDescent="0.2">
      <c r="AB421" s="27" t="s">
        <v>985</v>
      </c>
      <c r="AC421" s="29" t="s">
        <v>1740</v>
      </c>
    </row>
    <row r="422" spans="28:29" x14ac:dyDescent="0.2">
      <c r="AB422" s="27" t="s">
        <v>986</v>
      </c>
      <c r="AC422" s="29" t="s">
        <v>1741</v>
      </c>
    </row>
    <row r="423" spans="28:29" x14ac:dyDescent="0.2">
      <c r="AB423" s="27" t="s">
        <v>987</v>
      </c>
      <c r="AC423" s="29" t="s">
        <v>1742</v>
      </c>
    </row>
    <row r="424" spans="28:29" x14ac:dyDescent="0.2">
      <c r="AB424" s="27" t="s">
        <v>988</v>
      </c>
      <c r="AC424" s="29" t="s">
        <v>1743</v>
      </c>
    </row>
    <row r="425" spans="28:29" x14ac:dyDescent="0.2">
      <c r="AB425" s="27" t="s">
        <v>989</v>
      </c>
      <c r="AC425" s="29" t="s">
        <v>1744</v>
      </c>
    </row>
    <row r="426" spans="28:29" x14ac:dyDescent="0.2">
      <c r="AB426" s="27" t="s">
        <v>990</v>
      </c>
      <c r="AC426" s="29" t="s">
        <v>1745</v>
      </c>
    </row>
    <row r="427" spans="28:29" x14ac:dyDescent="0.2">
      <c r="AB427" s="27" t="s">
        <v>991</v>
      </c>
      <c r="AC427" s="29" t="s">
        <v>1746</v>
      </c>
    </row>
    <row r="428" spans="28:29" x14ac:dyDescent="0.2">
      <c r="AB428" s="27" t="s">
        <v>992</v>
      </c>
      <c r="AC428" s="29" t="s">
        <v>1747</v>
      </c>
    </row>
    <row r="429" spans="28:29" x14ac:dyDescent="0.2">
      <c r="AB429" s="27" t="s">
        <v>993</v>
      </c>
      <c r="AC429" s="29" t="s">
        <v>1748</v>
      </c>
    </row>
    <row r="430" spans="28:29" x14ac:dyDescent="0.2">
      <c r="AB430" s="27" t="s">
        <v>994</v>
      </c>
      <c r="AC430" s="29" t="s">
        <v>1749</v>
      </c>
    </row>
    <row r="431" spans="28:29" x14ac:dyDescent="0.2">
      <c r="AB431" s="27" t="s">
        <v>995</v>
      </c>
      <c r="AC431" s="29" t="s">
        <v>1750</v>
      </c>
    </row>
    <row r="432" spans="28:29" x14ac:dyDescent="0.2">
      <c r="AB432" s="27" t="s">
        <v>996</v>
      </c>
      <c r="AC432" s="29" t="s">
        <v>1751</v>
      </c>
    </row>
    <row r="433" spans="28:29" x14ac:dyDescent="0.2">
      <c r="AB433" s="27" t="s">
        <v>997</v>
      </c>
      <c r="AC433" s="29" t="s">
        <v>1752</v>
      </c>
    </row>
    <row r="434" spans="28:29" x14ac:dyDescent="0.2">
      <c r="AB434" s="27" t="s">
        <v>998</v>
      </c>
      <c r="AC434" s="29" t="s">
        <v>1753</v>
      </c>
    </row>
    <row r="435" spans="28:29" x14ac:dyDescent="0.2">
      <c r="AB435" s="27" t="s">
        <v>999</v>
      </c>
      <c r="AC435" s="29" t="s">
        <v>1743</v>
      </c>
    </row>
    <row r="436" spans="28:29" x14ac:dyDescent="0.2">
      <c r="AB436" s="27" t="s">
        <v>1000</v>
      </c>
      <c r="AC436" s="29" t="s">
        <v>1754</v>
      </c>
    </row>
    <row r="437" spans="28:29" x14ac:dyDescent="0.2">
      <c r="AB437" s="27" t="s">
        <v>1001</v>
      </c>
      <c r="AC437" s="29" t="s">
        <v>1755</v>
      </c>
    </row>
    <row r="438" spans="28:29" x14ac:dyDescent="0.2">
      <c r="AB438" s="27" t="s">
        <v>1002</v>
      </c>
      <c r="AC438" s="29" t="s">
        <v>1756</v>
      </c>
    </row>
    <row r="439" spans="28:29" x14ac:dyDescent="0.2">
      <c r="AB439" s="27" t="s">
        <v>1003</v>
      </c>
      <c r="AC439" s="29" t="s">
        <v>1757</v>
      </c>
    </row>
    <row r="440" spans="28:29" x14ac:dyDescent="0.2">
      <c r="AB440" s="27" t="s">
        <v>1004</v>
      </c>
      <c r="AC440" s="29" t="s">
        <v>1758</v>
      </c>
    </row>
    <row r="441" spans="28:29" x14ac:dyDescent="0.2">
      <c r="AB441" s="27" t="s">
        <v>1005</v>
      </c>
      <c r="AC441" s="29" t="s">
        <v>1759</v>
      </c>
    </row>
    <row r="442" spans="28:29" x14ac:dyDescent="0.2">
      <c r="AB442" s="27" t="s">
        <v>1006</v>
      </c>
      <c r="AC442" s="29" t="s">
        <v>1760</v>
      </c>
    </row>
    <row r="443" spans="28:29" x14ac:dyDescent="0.2">
      <c r="AB443" s="27" t="s">
        <v>1007</v>
      </c>
      <c r="AC443" s="29" t="s">
        <v>1761</v>
      </c>
    </row>
    <row r="444" spans="28:29" x14ac:dyDescent="0.2">
      <c r="AB444" s="27" t="s">
        <v>1008</v>
      </c>
      <c r="AC444" s="29" t="s">
        <v>1762</v>
      </c>
    </row>
    <row r="445" spans="28:29" x14ac:dyDescent="0.2">
      <c r="AB445" s="27" t="s">
        <v>1009</v>
      </c>
      <c r="AC445" s="29" t="s">
        <v>1763</v>
      </c>
    </row>
    <row r="446" spans="28:29" x14ac:dyDescent="0.2">
      <c r="AB446" s="27" t="s">
        <v>1010</v>
      </c>
      <c r="AC446" s="29" t="s">
        <v>1764</v>
      </c>
    </row>
    <row r="447" spans="28:29" x14ac:dyDescent="0.2">
      <c r="AB447" s="27" t="s">
        <v>1011</v>
      </c>
      <c r="AC447" s="29" t="s">
        <v>1765</v>
      </c>
    </row>
    <row r="448" spans="28:29" x14ac:dyDescent="0.2">
      <c r="AB448" s="27" t="s">
        <v>1012</v>
      </c>
      <c r="AC448" s="29" t="s">
        <v>1766</v>
      </c>
    </row>
    <row r="449" spans="28:29" x14ac:dyDescent="0.2">
      <c r="AB449" s="27" t="s">
        <v>1013</v>
      </c>
      <c r="AC449" s="29" t="s">
        <v>1767</v>
      </c>
    </row>
    <row r="450" spans="28:29" x14ac:dyDescent="0.2">
      <c r="AB450" s="27" t="s">
        <v>1014</v>
      </c>
      <c r="AC450" s="29" t="s">
        <v>1768</v>
      </c>
    </row>
    <row r="451" spans="28:29" x14ac:dyDescent="0.2">
      <c r="AB451" s="27" t="s">
        <v>1015</v>
      </c>
      <c r="AC451" s="29" t="s">
        <v>1769</v>
      </c>
    </row>
    <row r="452" spans="28:29" x14ac:dyDescent="0.2">
      <c r="AB452" s="27" t="s">
        <v>1016</v>
      </c>
      <c r="AC452" s="29" t="s">
        <v>1770</v>
      </c>
    </row>
    <row r="453" spans="28:29" x14ac:dyDescent="0.2">
      <c r="AB453" s="27" t="s">
        <v>1017</v>
      </c>
      <c r="AC453" s="29" t="s">
        <v>1771</v>
      </c>
    </row>
    <row r="454" spans="28:29" x14ac:dyDescent="0.2">
      <c r="AB454" s="27" t="s">
        <v>1018</v>
      </c>
      <c r="AC454" s="29" t="s">
        <v>1772</v>
      </c>
    </row>
    <row r="455" spans="28:29" x14ac:dyDescent="0.2">
      <c r="AB455" s="27" t="s">
        <v>1019</v>
      </c>
      <c r="AC455" s="29" t="s">
        <v>1773</v>
      </c>
    </row>
    <row r="456" spans="28:29" x14ac:dyDescent="0.2">
      <c r="AB456" s="27" t="s">
        <v>1020</v>
      </c>
      <c r="AC456" s="29" t="s">
        <v>1774</v>
      </c>
    </row>
    <row r="457" spans="28:29" x14ac:dyDescent="0.2">
      <c r="AB457" s="27" t="s">
        <v>1021</v>
      </c>
      <c r="AC457" s="29" t="s">
        <v>1775</v>
      </c>
    </row>
    <row r="458" spans="28:29" x14ac:dyDescent="0.2">
      <c r="AB458" s="27" t="s">
        <v>1022</v>
      </c>
      <c r="AC458" s="29" t="s">
        <v>1776</v>
      </c>
    </row>
    <row r="459" spans="28:29" x14ac:dyDescent="0.2">
      <c r="AB459" s="27" t="s">
        <v>1023</v>
      </c>
      <c r="AC459" s="29" t="s">
        <v>1777</v>
      </c>
    </row>
    <row r="460" spans="28:29" x14ac:dyDescent="0.2">
      <c r="AB460" s="27" t="s">
        <v>1024</v>
      </c>
      <c r="AC460" s="29" t="s">
        <v>1778</v>
      </c>
    </row>
    <row r="461" spans="28:29" x14ac:dyDescent="0.2">
      <c r="AB461" s="27" t="s">
        <v>1025</v>
      </c>
      <c r="AC461" s="29" t="s">
        <v>1779</v>
      </c>
    </row>
    <row r="462" spans="28:29" x14ac:dyDescent="0.2">
      <c r="AB462" s="27" t="s">
        <v>1026</v>
      </c>
      <c r="AC462" s="29" t="s">
        <v>1780</v>
      </c>
    </row>
    <row r="463" spans="28:29" x14ac:dyDescent="0.2">
      <c r="AB463" s="27" t="s">
        <v>1027</v>
      </c>
      <c r="AC463" s="29" t="s">
        <v>1781</v>
      </c>
    </row>
    <row r="464" spans="28:29" x14ac:dyDescent="0.2">
      <c r="AB464" s="27" t="s">
        <v>1028</v>
      </c>
      <c r="AC464" s="29" t="s">
        <v>1782</v>
      </c>
    </row>
    <row r="465" spans="28:29" x14ac:dyDescent="0.2">
      <c r="AB465" s="27" t="s">
        <v>1029</v>
      </c>
      <c r="AC465" s="29" t="s">
        <v>1783</v>
      </c>
    </row>
    <row r="466" spans="28:29" x14ac:dyDescent="0.2">
      <c r="AB466" s="27" t="s">
        <v>1030</v>
      </c>
      <c r="AC466" s="29" t="s">
        <v>1784</v>
      </c>
    </row>
    <row r="467" spans="28:29" x14ac:dyDescent="0.2">
      <c r="AB467" s="27" t="s">
        <v>1031</v>
      </c>
      <c r="AC467" s="29" t="s">
        <v>1785</v>
      </c>
    </row>
    <row r="468" spans="28:29" x14ac:dyDescent="0.2">
      <c r="AB468" s="27" t="s">
        <v>1032</v>
      </c>
      <c r="AC468" s="29" t="s">
        <v>1786</v>
      </c>
    </row>
    <row r="469" spans="28:29" x14ac:dyDescent="0.2">
      <c r="AB469" s="27" t="s">
        <v>1033</v>
      </c>
      <c r="AC469" s="29" t="s">
        <v>1787</v>
      </c>
    </row>
    <row r="470" spans="28:29" x14ac:dyDescent="0.2">
      <c r="AB470" s="27" t="s">
        <v>1034</v>
      </c>
      <c r="AC470" s="29" t="s">
        <v>1788</v>
      </c>
    </row>
    <row r="471" spans="28:29" x14ac:dyDescent="0.2">
      <c r="AB471" s="27" t="s">
        <v>1035</v>
      </c>
      <c r="AC471" s="29" t="s">
        <v>1789</v>
      </c>
    </row>
    <row r="472" spans="28:29" x14ac:dyDescent="0.2">
      <c r="AB472" s="27" t="s">
        <v>1036</v>
      </c>
      <c r="AC472" s="29" t="s">
        <v>1790</v>
      </c>
    </row>
    <row r="473" spans="28:29" x14ac:dyDescent="0.2">
      <c r="AB473" s="27" t="s">
        <v>1037</v>
      </c>
      <c r="AC473" s="29" t="s">
        <v>1791</v>
      </c>
    </row>
    <row r="474" spans="28:29" x14ac:dyDescent="0.2">
      <c r="AB474" s="27" t="s">
        <v>1038</v>
      </c>
      <c r="AC474" s="29" t="s">
        <v>1792</v>
      </c>
    </row>
    <row r="475" spans="28:29" x14ac:dyDescent="0.2">
      <c r="AB475" s="27" t="s">
        <v>1039</v>
      </c>
      <c r="AC475" s="29" t="s">
        <v>1793</v>
      </c>
    </row>
    <row r="476" spans="28:29" x14ac:dyDescent="0.2">
      <c r="AB476" s="27" t="s">
        <v>1040</v>
      </c>
      <c r="AC476" s="29" t="s">
        <v>1794</v>
      </c>
    </row>
    <row r="477" spans="28:29" x14ac:dyDescent="0.2">
      <c r="AB477" s="27" t="s">
        <v>1041</v>
      </c>
      <c r="AC477" s="29" t="s">
        <v>1795</v>
      </c>
    </row>
    <row r="478" spans="28:29" x14ac:dyDescent="0.2">
      <c r="AB478" s="27" t="s">
        <v>1042</v>
      </c>
      <c r="AC478" s="29" t="s">
        <v>1796</v>
      </c>
    </row>
    <row r="479" spans="28:29" x14ac:dyDescent="0.2">
      <c r="AB479" s="27" t="s">
        <v>1043</v>
      </c>
      <c r="AC479" s="29" t="s">
        <v>1797</v>
      </c>
    </row>
    <row r="480" spans="28:29" x14ac:dyDescent="0.2">
      <c r="AB480" s="27" t="s">
        <v>1044</v>
      </c>
      <c r="AC480" s="29" t="s">
        <v>1798</v>
      </c>
    </row>
    <row r="481" spans="28:29" x14ac:dyDescent="0.2">
      <c r="AB481" s="27" t="s">
        <v>1045</v>
      </c>
      <c r="AC481" s="29" t="s">
        <v>1799</v>
      </c>
    </row>
    <row r="482" spans="28:29" x14ac:dyDescent="0.2">
      <c r="AB482" s="27" t="s">
        <v>1046</v>
      </c>
      <c r="AC482" s="29" t="s">
        <v>1800</v>
      </c>
    </row>
    <row r="483" spans="28:29" x14ac:dyDescent="0.2">
      <c r="AB483" s="27" t="s">
        <v>1047</v>
      </c>
      <c r="AC483" s="29" t="s">
        <v>1801</v>
      </c>
    </row>
    <row r="484" spans="28:29" x14ac:dyDescent="0.2">
      <c r="AB484" s="27" t="s">
        <v>1048</v>
      </c>
      <c r="AC484" s="29" t="s">
        <v>1802</v>
      </c>
    </row>
    <row r="485" spans="28:29" x14ac:dyDescent="0.2">
      <c r="AB485" s="27" t="s">
        <v>1049</v>
      </c>
      <c r="AC485" s="29" t="s">
        <v>1803</v>
      </c>
    </row>
    <row r="486" spans="28:29" x14ac:dyDescent="0.2">
      <c r="AB486" s="27" t="s">
        <v>1050</v>
      </c>
      <c r="AC486" s="29" t="s">
        <v>1804</v>
      </c>
    </row>
    <row r="487" spans="28:29" x14ac:dyDescent="0.2">
      <c r="AB487" s="27" t="s">
        <v>1051</v>
      </c>
      <c r="AC487" s="29" t="s">
        <v>1805</v>
      </c>
    </row>
    <row r="488" spans="28:29" x14ac:dyDescent="0.2">
      <c r="AB488" s="27" t="s">
        <v>1052</v>
      </c>
      <c r="AC488" s="29" t="s">
        <v>1806</v>
      </c>
    </row>
    <row r="489" spans="28:29" x14ac:dyDescent="0.2">
      <c r="AB489" s="27" t="s">
        <v>1053</v>
      </c>
      <c r="AC489" s="29" t="s">
        <v>1807</v>
      </c>
    </row>
    <row r="490" spans="28:29" x14ac:dyDescent="0.2">
      <c r="AB490" s="27" t="s">
        <v>1054</v>
      </c>
      <c r="AC490" s="29" t="s">
        <v>1808</v>
      </c>
    </row>
    <row r="491" spans="28:29" x14ac:dyDescent="0.2">
      <c r="AB491" s="27" t="s">
        <v>1055</v>
      </c>
      <c r="AC491" s="29" t="s">
        <v>1809</v>
      </c>
    </row>
    <row r="492" spans="28:29" x14ac:dyDescent="0.2">
      <c r="AB492" s="27" t="s">
        <v>1056</v>
      </c>
      <c r="AC492" s="29" t="s">
        <v>1810</v>
      </c>
    </row>
    <row r="493" spans="28:29" x14ac:dyDescent="0.2">
      <c r="AB493" s="27" t="s">
        <v>1057</v>
      </c>
      <c r="AC493" s="29" t="s">
        <v>1811</v>
      </c>
    </row>
    <row r="494" spans="28:29" x14ac:dyDescent="0.2">
      <c r="AB494" s="27" t="s">
        <v>1058</v>
      </c>
      <c r="AC494" s="29" t="s">
        <v>1812</v>
      </c>
    </row>
    <row r="495" spans="28:29" x14ac:dyDescent="0.2">
      <c r="AB495" s="27" t="s">
        <v>1059</v>
      </c>
      <c r="AC495" s="29" t="s">
        <v>1813</v>
      </c>
    </row>
    <row r="496" spans="28:29" x14ac:dyDescent="0.2">
      <c r="AB496" s="27" t="s">
        <v>1060</v>
      </c>
      <c r="AC496" s="29" t="s">
        <v>1814</v>
      </c>
    </row>
    <row r="497" spans="28:29" x14ac:dyDescent="0.2">
      <c r="AB497" s="27" t="s">
        <v>1061</v>
      </c>
      <c r="AC497" s="29" t="s">
        <v>1815</v>
      </c>
    </row>
    <row r="498" spans="28:29" x14ac:dyDescent="0.2">
      <c r="AB498" s="27" t="s">
        <v>1062</v>
      </c>
      <c r="AC498" s="29" t="s">
        <v>1816</v>
      </c>
    </row>
    <row r="499" spans="28:29" x14ac:dyDescent="0.2">
      <c r="AB499" s="27" t="s">
        <v>1063</v>
      </c>
      <c r="AC499" s="29" t="s">
        <v>1817</v>
      </c>
    </row>
    <row r="500" spans="28:29" x14ac:dyDescent="0.2">
      <c r="AB500" s="27" t="s">
        <v>1064</v>
      </c>
      <c r="AC500" s="29" t="s">
        <v>1818</v>
      </c>
    </row>
    <row r="501" spans="28:29" x14ac:dyDescent="0.2">
      <c r="AB501" s="27" t="s">
        <v>1065</v>
      </c>
      <c r="AC501" s="29" t="s">
        <v>1819</v>
      </c>
    </row>
    <row r="502" spans="28:29" x14ac:dyDescent="0.2">
      <c r="AB502" s="27" t="s">
        <v>1066</v>
      </c>
      <c r="AC502" s="29" t="s">
        <v>1820</v>
      </c>
    </row>
    <row r="503" spans="28:29" x14ac:dyDescent="0.2">
      <c r="AB503" s="27" t="s">
        <v>1067</v>
      </c>
      <c r="AC503" s="29" t="s">
        <v>1821</v>
      </c>
    </row>
    <row r="504" spans="28:29" x14ac:dyDescent="0.2">
      <c r="AB504" s="27" t="s">
        <v>1068</v>
      </c>
      <c r="AC504" s="29" t="s">
        <v>1822</v>
      </c>
    </row>
    <row r="505" spans="28:29" x14ac:dyDescent="0.2">
      <c r="AB505" s="27" t="s">
        <v>1069</v>
      </c>
      <c r="AC505" s="29" t="s">
        <v>1823</v>
      </c>
    </row>
    <row r="506" spans="28:29" x14ac:dyDescent="0.2">
      <c r="AB506" s="27" t="s">
        <v>1070</v>
      </c>
      <c r="AC506" s="29" t="s">
        <v>1824</v>
      </c>
    </row>
    <row r="507" spans="28:29" x14ac:dyDescent="0.2">
      <c r="AB507" s="27" t="s">
        <v>1071</v>
      </c>
      <c r="AC507" s="29" t="s">
        <v>1825</v>
      </c>
    </row>
    <row r="508" spans="28:29" x14ac:dyDescent="0.2">
      <c r="AB508" s="27" t="s">
        <v>1072</v>
      </c>
      <c r="AC508" s="29" t="s">
        <v>1826</v>
      </c>
    </row>
    <row r="509" spans="28:29" x14ac:dyDescent="0.2">
      <c r="AB509" s="27" t="s">
        <v>1073</v>
      </c>
      <c r="AC509" s="29" t="s">
        <v>1827</v>
      </c>
    </row>
    <row r="510" spans="28:29" x14ac:dyDescent="0.2">
      <c r="AB510" s="27" t="s">
        <v>1074</v>
      </c>
      <c r="AC510" s="29" t="s">
        <v>1828</v>
      </c>
    </row>
    <row r="511" spans="28:29" x14ac:dyDescent="0.2">
      <c r="AB511" s="27" t="s">
        <v>1075</v>
      </c>
      <c r="AC511" s="29" t="s">
        <v>1829</v>
      </c>
    </row>
    <row r="512" spans="28:29" x14ac:dyDescent="0.2">
      <c r="AB512" s="27" t="s">
        <v>1076</v>
      </c>
      <c r="AC512" s="29" t="s">
        <v>1830</v>
      </c>
    </row>
    <row r="513" spans="28:29" x14ac:dyDescent="0.2">
      <c r="AB513" s="27" t="s">
        <v>1077</v>
      </c>
      <c r="AC513" s="29" t="s">
        <v>1831</v>
      </c>
    </row>
    <row r="514" spans="28:29" x14ac:dyDescent="0.2">
      <c r="AB514" s="27" t="s">
        <v>1078</v>
      </c>
      <c r="AC514" s="29" t="s">
        <v>1832</v>
      </c>
    </row>
    <row r="515" spans="28:29" x14ac:dyDescent="0.2">
      <c r="AB515" s="27" t="s">
        <v>1079</v>
      </c>
      <c r="AC515" s="29" t="s">
        <v>1833</v>
      </c>
    </row>
    <row r="516" spans="28:29" x14ac:dyDescent="0.2">
      <c r="AB516" s="27" t="s">
        <v>1080</v>
      </c>
      <c r="AC516" s="29" t="s">
        <v>1834</v>
      </c>
    </row>
    <row r="517" spans="28:29" x14ac:dyDescent="0.2">
      <c r="AB517" s="27" t="s">
        <v>1081</v>
      </c>
      <c r="AC517" s="29" t="s">
        <v>1835</v>
      </c>
    </row>
    <row r="518" spans="28:29" x14ac:dyDescent="0.2">
      <c r="AB518" s="27" t="s">
        <v>1082</v>
      </c>
      <c r="AC518" s="29" t="s">
        <v>1836</v>
      </c>
    </row>
    <row r="519" spans="28:29" x14ac:dyDescent="0.2">
      <c r="AB519" s="27" t="s">
        <v>1083</v>
      </c>
      <c r="AC519" s="29" t="s">
        <v>1837</v>
      </c>
    </row>
    <row r="520" spans="28:29" x14ac:dyDescent="0.2">
      <c r="AB520" s="27" t="s">
        <v>1084</v>
      </c>
      <c r="AC520" s="29" t="s">
        <v>1838</v>
      </c>
    </row>
    <row r="521" spans="28:29" x14ac:dyDescent="0.2">
      <c r="AB521" s="27" t="s">
        <v>1085</v>
      </c>
      <c r="AC521" s="29" t="s">
        <v>1839</v>
      </c>
    </row>
    <row r="522" spans="28:29" x14ac:dyDescent="0.2">
      <c r="AB522" s="27" t="s">
        <v>1086</v>
      </c>
      <c r="AC522" s="29" t="s">
        <v>1840</v>
      </c>
    </row>
    <row r="523" spans="28:29" x14ac:dyDescent="0.2">
      <c r="AB523" s="27" t="s">
        <v>1087</v>
      </c>
      <c r="AC523" s="29" t="s">
        <v>1841</v>
      </c>
    </row>
    <row r="524" spans="28:29" x14ac:dyDescent="0.2">
      <c r="AB524" s="27" t="s">
        <v>1088</v>
      </c>
      <c r="AC524" s="29" t="s">
        <v>1842</v>
      </c>
    </row>
    <row r="525" spans="28:29" x14ac:dyDescent="0.2">
      <c r="AB525" s="27" t="s">
        <v>1089</v>
      </c>
      <c r="AC525" s="29" t="s">
        <v>1843</v>
      </c>
    </row>
    <row r="526" spans="28:29" x14ac:dyDescent="0.2">
      <c r="AB526" s="27" t="s">
        <v>1090</v>
      </c>
      <c r="AC526" s="29" t="s">
        <v>1844</v>
      </c>
    </row>
    <row r="527" spans="28:29" x14ac:dyDescent="0.2">
      <c r="AB527" s="27" t="s">
        <v>1091</v>
      </c>
      <c r="AC527" s="29" t="s">
        <v>1845</v>
      </c>
    </row>
    <row r="528" spans="28:29" x14ac:dyDescent="0.2">
      <c r="AB528" s="27" t="s">
        <v>1092</v>
      </c>
      <c r="AC528" s="29" t="s">
        <v>1846</v>
      </c>
    </row>
    <row r="529" spans="28:29" x14ac:dyDescent="0.2">
      <c r="AB529" s="27" t="s">
        <v>1093</v>
      </c>
      <c r="AC529" s="29" t="s">
        <v>1847</v>
      </c>
    </row>
    <row r="530" spans="28:29" x14ac:dyDescent="0.2">
      <c r="AB530" s="27" t="s">
        <v>1094</v>
      </c>
      <c r="AC530" s="29" t="s">
        <v>1848</v>
      </c>
    </row>
    <row r="531" spans="28:29" x14ac:dyDescent="0.2">
      <c r="AB531" s="27" t="s">
        <v>1095</v>
      </c>
      <c r="AC531" s="29" t="s">
        <v>1849</v>
      </c>
    </row>
    <row r="532" spans="28:29" x14ac:dyDescent="0.2">
      <c r="AB532" s="27" t="s">
        <v>1096</v>
      </c>
      <c r="AC532" s="29" t="s">
        <v>1850</v>
      </c>
    </row>
    <row r="533" spans="28:29" x14ac:dyDescent="0.2">
      <c r="AB533" s="27" t="s">
        <v>1097</v>
      </c>
      <c r="AC533" s="29" t="s">
        <v>1851</v>
      </c>
    </row>
    <row r="534" spans="28:29" x14ac:dyDescent="0.2">
      <c r="AB534" s="27" t="s">
        <v>1098</v>
      </c>
      <c r="AC534" s="29" t="s">
        <v>1852</v>
      </c>
    </row>
    <row r="535" spans="28:29" x14ac:dyDescent="0.2">
      <c r="AB535" s="27" t="s">
        <v>1099</v>
      </c>
      <c r="AC535" s="29" t="s">
        <v>1853</v>
      </c>
    </row>
    <row r="536" spans="28:29" x14ac:dyDescent="0.2">
      <c r="AB536" s="27" t="s">
        <v>1100</v>
      </c>
      <c r="AC536" s="29" t="s">
        <v>1854</v>
      </c>
    </row>
    <row r="537" spans="28:29" x14ac:dyDescent="0.2">
      <c r="AB537" s="27" t="s">
        <v>1101</v>
      </c>
      <c r="AC537" s="29" t="s">
        <v>1855</v>
      </c>
    </row>
    <row r="538" spans="28:29" x14ac:dyDescent="0.2">
      <c r="AB538" s="27" t="s">
        <v>1102</v>
      </c>
      <c r="AC538" s="29" t="s">
        <v>1856</v>
      </c>
    </row>
    <row r="539" spans="28:29" x14ac:dyDescent="0.2">
      <c r="AB539" s="27" t="s">
        <v>1103</v>
      </c>
      <c r="AC539" s="29" t="s">
        <v>1857</v>
      </c>
    </row>
    <row r="540" spans="28:29" x14ac:dyDescent="0.2">
      <c r="AB540" s="27" t="s">
        <v>1104</v>
      </c>
      <c r="AC540" s="29" t="s">
        <v>1858</v>
      </c>
    </row>
    <row r="541" spans="28:29" x14ac:dyDescent="0.2">
      <c r="AB541" s="27" t="s">
        <v>1105</v>
      </c>
      <c r="AC541" s="29" t="s">
        <v>1859</v>
      </c>
    </row>
    <row r="542" spans="28:29" x14ac:dyDescent="0.2">
      <c r="AB542" s="27" t="s">
        <v>1106</v>
      </c>
      <c r="AC542" s="29" t="s">
        <v>1860</v>
      </c>
    </row>
    <row r="543" spans="28:29" x14ac:dyDescent="0.2">
      <c r="AB543" s="27" t="s">
        <v>1107</v>
      </c>
      <c r="AC543" s="29" t="s">
        <v>1861</v>
      </c>
    </row>
    <row r="544" spans="28:29" x14ac:dyDescent="0.2">
      <c r="AB544" s="27" t="s">
        <v>1108</v>
      </c>
      <c r="AC544" s="29" t="s">
        <v>1862</v>
      </c>
    </row>
    <row r="545" spans="28:29" x14ac:dyDescent="0.2">
      <c r="AB545" s="27" t="s">
        <v>1109</v>
      </c>
      <c r="AC545" s="29" t="s">
        <v>1863</v>
      </c>
    </row>
    <row r="546" spans="28:29" x14ac:dyDescent="0.2">
      <c r="AB546" s="27" t="s">
        <v>1110</v>
      </c>
      <c r="AC546" s="29" t="s">
        <v>1864</v>
      </c>
    </row>
    <row r="547" spans="28:29" x14ac:dyDescent="0.2">
      <c r="AB547" s="27" t="s">
        <v>1111</v>
      </c>
      <c r="AC547" s="29" t="s">
        <v>1865</v>
      </c>
    </row>
    <row r="548" spans="28:29" x14ac:dyDescent="0.2">
      <c r="AB548" s="27" t="s">
        <v>1112</v>
      </c>
      <c r="AC548" s="29" t="s">
        <v>1866</v>
      </c>
    </row>
    <row r="549" spans="28:29" x14ac:dyDescent="0.2">
      <c r="AB549" s="27" t="s">
        <v>1113</v>
      </c>
      <c r="AC549" s="29" t="s">
        <v>1867</v>
      </c>
    </row>
    <row r="550" spans="28:29" x14ac:dyDescent="0.2">
      <c r="AB550" s="27" t="s">
        <v>1114</v>
      </c>
      <c r="AC550" s="29" t="s">
        <v>1868</v>
      </c>
    </row>
    <row r="551" spans="28:29" x14ac:dyDescent="0.2">
      <c r="AB551" s="27" t="s">
        <v>1115</v>
      </c>
      <c r="AC551" s="29" t="s">
        <v>1869</v>
      </c>
    </row>
    <row r="552" spans="28:29" x14ac:dyDescent="0.2">
      <c r="AB552" s="27" t="s">
        <v>1116</v>
      </c>
      <c r="AC552" s="29" t="s">
        <v>1870</v>
      </c>
    </row>
    <row r="553" spans="28:29" x14ac:dyDescent="0.2">
      <c r="AB553" s="27" t="s">
        <v>1117</v>
      </c>
      <c r="AC553" s="29" t="s">
        <v>1871</v>
      </c>
    </row>
    <row r="554" spans="28:29" x14ac:dyDescent="0.2">
      <c r="AB554" s="27" t="s">
        <v>1118</v>
      </c>
      <c r="AC554" s="29" t="s">
        <v>1872</v>
      </c>
    </row>
    <row r="555" spans="28:29" x14ac:dyDescent="0.2">
      <c r="AB555" s="27" t="s">
        <v>1119</v>
      </c>
      <c r="AC555" s="29" t="s">
        <v>1873</v>
      </c>
    </row>
    <row r="556" spans="28:29" x14ac:dyDescent="0.2">
      <c r="AB556" s="27" t="s">
        <v>1120</v>
      </c>
      <c r="AC556" s="29" t="s">
        <v>1874</v>
      </c>
    </row>
    <row r="557" spans="28:29" x14ac:dyDescent="0.2">
      <c r="AB557" s="27" t="s">
        <v>1121</v>
      </c>
      <c r="AC557" s="29" t="s">
        <v>1875</v>
      </c>
    </row>
    <row r="558" spans="28:29" x14ac:dyDescent="0.2">
      <c r="AB558" s="27" t="s">
        <v>1122</v>
      </c>
      <c r="AC558" s="29" t="s">
        <v>1876</v>
      </c>
    </row>
    <row r="559" spans="28:29" x14ac:dyDescent="0.2">
      <c r="AB559" s="27" t="s">
        <v>2082</v>
      </c>
      <c r="AC559" s="29" t="s">
        <v>1877</v>
      </c>
    </row>
    <row r="560" spans="28:29" x14ac:dyDescent="0.2">
      <c r="AB560" s="27" t="s">
        <v>1123</v>
      </c>
      <c r="AC560" s="29" t="s">
        <v>1878</v>
      </c>
    </row>
    <row r="561" spans="28:29" x14ac:dyDescent="0.2">
      <c r="AB561" s="27" t="s">
        <v>1124</v>
      </c>
      <c r="AC561" s="29" t="s">
        <v>1879</v>
      </c>
    </row>
    <row r="562" spans="28:29" x14ac:dyDescent="0.2">
      <c r="AB562" s="27" t="s">
        <v>2083</v>
      </c>
      <c r="AC562" s="29" t="s">
        <v>1880</v>
      </c>
    </row>
    <row r="563" spans="28:29" x14ac:dyDescent="0.2">
      <c r="AB563" s="27" t="s">
        <v>1125</v>
      </c>
      <c r="AC563" s="29" t="s">
        <v>1881</v>
      </c>
    </row>
    <row r="564" spans="28:29" x14ac:dyDescent="0.2">
      <c r="AB564" s="27" t="s">
        <v>1126</v>
      </c>
      <c r="AC564" s="29" t="s">
        <v>1882</v>
      </c>
    </row>
    <row r="565" spans="28:29" x14ac:dyDescent="0.2">
      <c r="AB565" s="27" t="s">
        <v>1127</v>
      </c>
      <c r="AC565" s="29" t="s">
        <v>1883</v>
      </c>
    </row>
    <row r="566" spans="28:29" x14ac:dyDescent="0.2">
      <c r="AB566" s="27" t="s">
        <v>1128</v>
      </c>
      <c r="AC566" s="29" t="s">
        <v>1884</v>
      </c>
    </row>
    <row r="567" spans="28:29" x14ac:dyDescent="0.2">
      <c r="AB567" s="27" t="s">
        <v>1129</v>
      </c>
      <c r="AC567" s="29" t="s">
        <v>1885</v>
      </c>
    </row>
    <row r="568" spans="28:29" x14ac:dyDescent="0.2">
      <c r="AB568" s="27" t="s">
        <v>1130</v>
      </c>
      <c r="AC568" s="29" t="s">
        <v>1886</v>
      </c>
    </row>
    <row r="569" spans="28:29" x14ac:dyDescent="0.2">
      <c r="AB569" s="27" t="s">
        <v>1131</v>
      </c>
      <c r="AC569" s="29" t="s">
        <v>1887</v>
      </c>
    </row>
    <row r="570" spans="28:29" x14ac:dyDescent="0.2">
      <c r="AB570" s="27" t="s">
        <v>1132</v>
      </c>
      <c r="AC570" s="29" t="s">
        <v>1888</v>
      </c>
    </row>
    <row r="571" spans="28:29" x14ac:dyDescent="0.2">
      <c r="AB571" s="27" t="s">
        <v>1133</v>
      </c>
      <c r="AC571" s="29" t="s">
        <v>1889</v>
      </c>
    </row>
    <row r="572" spans="28:29" x14ac:dyDescent="0.2">
      <c r="AB572" s="27" t="s">
        <v>1134</v>
      </c>
      <c r="AC572" s="29" t="s">
        <v>1890</v>
      </c>
    </row>
    <row r="573" spans="28:29" x14ac:dyDescent="0.2">
      <c r="AB573" s="27" t="s">
        <v>1135</v>
      </c>
      <c r="AC573" s="29" t="s">
        <v>1891</v>
      </c>
    </row>
    <row r="574" spans="28:29" x14ac:dyDescent="0.2">
      <c r="AB574" s="27" t="s">
        <v>1136</v>
      </c>
      <c r="AC574" s="29" t="s">
        <v>1892</v>
      </c>
    </row>
    <row r="575" spans="28:29" x14ac:dyDescent="0.2">
      <c r="AB575" s="27" t="s">
        <v>1137</v>
      </c>
      <c r="AC575" s="29" t="s">
        <v>1893</v>
      </c>
    </row>
    <row r="576" spans="28:29" x14ac:dyDescent="0.2">
      <c r="AB576" s="27" t="s">
        <v>1138</v>
      </c>
      <c r="AC576" s="29" t="s">
        <v>1894</v>
      </c>
    </row>
    <row r="577" spans="28:29" x14ac:dyDescent="0.2">
      <c r="AB577" s="27" t="s">
        <v>1139</v>
      </c>
      <c r="AC577" s="29" t="s">
        <v>1895</v>
      </c>
    </row>
    <row r="578" spans="28:29" x14ac:dyDescent="0.2">
      <c r="AB578" s="27" t="s">
        <v>1140</v>
      </c>
      <c r="AC578" s="29" t="s">
        <v>1896</v>
      </c>
    </row>
    <row r="579" spans="28:29" x14ac:dyDescent="0.2">
      <c r="AB579" s="27" t="s">
        <v>1141</v>
      </c>
      <c r="AC579" s="29" t="s">
        <v>1897</v>
      </c>
    </row>
    <row r="580" spans="28:29" x14ac:dyDescent="0.2">
      <c r="AB580" s="27" t="s">
        <v>1142</v>
      </c>
      <c r="AC580" s="29" t="s">
        <v>1898</v>
      </c>
    </row>
    <row r="581" spans="28:29" x14ac:dyDescent="0.2">
      <c r="AB581" s="27" t="s">
        <v>1143</v>
      </c>
      <c r="AC581" s="29" t="s">
        <v>1899</v>
      </c>
    </row>
    <row r="582" spans="28:29" x14ac:dyDescent="0.2">
      <c r="AB582" s="27" t="s">
        <v>1144</v>
      </c>
      <c r="AC582" s="29" t="s">
        <v>1900</v>
      </c>
    </row>
    <row r="583" spans="28:29" x14ac:dyDescent="0.2">
      <c r="AB583" s="27" t="s">
        <v>1145</v>
      </c>
      <c r="AC583" s="29" t="s">
        <v>1901</v>
      </c>
    </row>
    <row r="584" spans="28:29" x14ac:dyDescent="0.2">
      <c r="AB584" s="27" t="s">
        <v>1146</v>
      </c>
      <c r="AC584" s="29" t="s">
        <v>1902</v>
      </c>
    </row>
    <row r="585" spans="28:29" x14ac:dyDescent="0.2">
      <c r="AB585" s="27" t="s">
        <v>1147</v>
      </c>
      <c r="AC585" s="29" t="s">
        <v>1903</v>
      </c>
    </row>
    <row r="586" spans="28:29" x14ac:dyDescent="0.2">
      <c r="AB586" s="27" t="s">
        <v>1148</v>
      </c>
      <c r="AC586" s="29" t="s">
        <v>1904</v>
      </c>
    </row>
    <row r="587" spans="28:29" x14ac:dyDescent="0.2">
      <c r="AB587" s="27" t="s">
        <v>1149</v>
      </c>
      <c r="AC587" s="29" t="s">
        <v>1905</v>
      </c>
    </row>
    <row r="588" spans="28:29" x14ac:dyDescent="0.2">
      <c r="AB588" s="27" t="s">
        <v>1150</v>
      </c>
      <c r="AC588" s="29" t="s">
        <v>1906</v>
      </c>
    </row>
    <row r="589" spans="28:29" x14ac:dyDescent="0.2">
      <c r="AB589" s="27" t="s">
        <v>1151</v>
      </c>
      <c r="AC589" s="29" t="s">
        <v>1907</v>
      </c>
    </row>
    <row r="590" spans="28:29" x14ac:dyDescent="0.2">
      <c r="AB590" s="27" t="s">
        <v>1152</v>
      </c>
      <c r="AC590" s="29" t="s">
        <v>1908</v>
      </c>
    </row>
    <row r="591" spans="28:29" x14ac:dyDescent="0.2">
      <c r="AB591" s="27" t="s">
        <v>1153</v>
      </c>
      <c r="AC591" s="29" t="s">
        <v>1909</v>
      </c>
    </row>
    <row r="592" spans="28:29" x14ac:dyDescent="0.2">
      <c r="AB592" s="27" t="s">
        <v>1154</v>
      </c>
      <c r="AC592" s="29" t="s">
        <v>1910</v>
      </c>
    </row>
    <row r="593" spans="28:29" x14ac:dyDescent="0.2">
      <c r="AB593" s="27" t="s">
        <v>1155</v>
      </c>
      <c r="AC593" s="29" t="s">
        <v>1911</v>
      </c>
    </row>
    <row r="594" spans="28:29" x14ac:dyDescent="0.2">
      <c r="AB594" s="27" t="s">
        <v>1156</v>
      </c>
      <c r="AC594" s="29" t="s">
        <v>1912</v>
      </c>
    </row>
    <row r="595" spans="28:29" x14ac:dyDescent="0.2">
      <c r="AB595" s="27" t="s">
        <v>1157</v>
      </c>
      <c r="AC595" s="29" t="s">
        <v>1913</v>
      </c>
    </row>
    <row r="596" spans="28:29" x14ac:dyDescent="0.2">
      <c r="AB596" s="27" t="s">
        <v>1158</v>
      </c>
      <c r="AC596" s="29" t="s">
        <v>1914</v>
      </c>
    </row>
    <row r="597" spans="28:29" x14ac:dyDescent="0.2">
      <c r="AB597" s="27" t="s">
        <v>1159</v>
      </c>
      <c r="AC597" s="29" t="s">
        <v>1915</v>
      </c>
    </row>
    <row r="598" spans="28:29" x14ac:dyDescent="0.2">
      <c r="AB598" s="27" t="s">
        <v>1160</v>
      </c>
      <c r="AC598" s="29" t="s">
        <v>1916</v>
      </c>
    </row>
    <row r="599" spans="28:29" x14ac:dyDescent="0.2">
      <c r="AB599" s="27" t="s">
        <v>1161</v>
      </c>
      <c r="AC599" s="29" t="s">
        <v>1917</v>
      </c>
    </row>
    <row r="600" spans="28:29" x14ac:dyDescent="0.2">
      <c r="AB600" s="27" t="s">
        <v>1162</v>
      </c>
      <c r="AC600" s="29" t="s">
        <v>1918</v>
      </c>
    </row>
    <row r="601" spans="28:29" x14ac:dyDescent="0.2">
      <c r="AB601" s="27" t="s">
        <v>1163</v>
      </c>
      <c r="AC601" s="29" t="s">
        <v>1919</v>
      </c>
    </row>
    <row r="602" spans="28:29" x14ac:dyDescent="0.2">
      <c r="AB602" s="27" t="s">
        <v>1164</v>
      </c>
      <c r="AC602" s="29" t="s">
        <v>1920</v>
      </c>
    </row>
    <row r="603" spans="28:29" x14ac:dyDescent="0.2">
      <c r="AB603" s="27" t="s">
        <v>1165</v>
      </c>
      <c r="AC603" s="29" t="s">
        <v>1921</v>
      </c>
    </row>
    <row r="604" spans="28:29" x14ac:dyDescent="0.2">
      <c r="AB604" s="27" t="s">
        <v>2084</v>
      </c>
      <c r="AC604" s="29" t="s">
        <v>1922</v>
      </c>
    </row>
    <row r="605" spans="28:29" x14ac:dyDescent="0.2">
      <c r="AB605" s="27" t="s">
        <v>1166</v>
      </c>
      <c r="AC605" s="29" t="s">
        <v>1923</v>
      </c>
    </row>
    <row r="606" spans="28:29" x14ac:dyDescent="0.2">
      <c r="AB606" s="27" t="s">
        <v>1167</v>
      </c>
      <c r="AC606" s="29" t="s">
        <v>1924</v>
      </c>
    </row>
    <row r="607" spans="28:29" x14ac:dyDescent="0.2">
      <c r="AB607" s="27" t="s">
        <v>1168</v>
      </c>
      <c r="AC607" s="29" t="s">
        <v>1925</v>
      </c>
    </row>
    <row r="608" spans="28:29" x14ac:dyDescent="0.2">
      <c r="AB608" s="27" t="s">
        <v>1169</v>
      </c>
      <c r="AC608" s="29" t="s">
        <v>1926</v>
      </c>
    </row>
    <row r="609" spans="28:29" x14ac:dyDescent="0.2">
      <c r="AB609" s="27" t="s">
        <v>1170</v>
      </c>
      <c r="AC609" s="29" t="s">
        <v>1927</v>
      </c>
    </row>
    <row r="610" spans="28:29" x14ac:dyDescent="0.2">
      <c r="AB610" s="27" t="s">
        <v>1171</v>
      </c>
      <c r="AC610" s="29" t="s">
        <v>1928</v>
      </c>
    </row>
    <row r="611" spans="28:29" x14ac:dyDescent="0.2">
      <c r="AB611" s="27" t="s">
        <v>1172</v>
      </c>
      <c r="AC611" s="29" t="s">
        <v>1929</v>
      </c>
    </row>
    <row r="612" spans="28:29" x14ac:dyDescent="0.2">
      <c r="AB612" s="27" t="s">
        <v>1173</v>
      </c>
      <c r="AC612" s="29" t="s">
        <v>1930</v>
      </c>
    </row>
    <row r="613" spans="28:29" x14ac:dyDescent="0.2">
      <c r="AB613" s="27" t="s">
        <v>1174</v>
      </c>
      <c r="AC613" s="29" t="s">
        <v>1931</v>
      </c>
    </row>
    <row r="614" spans="28:29" x14ac:dyDescent="0.2">
      <c r="AB614" s="27" t="s">
        <v>1175</v>
      </c>
      <c r="AC614" s="29" t="s">
        <v>1932</v>
      </c>
    </row>
    <row r="615" spans="28:29" x14ac:dyDescent="0.2">
      <c r="AB615" s="27" t="s">
        <v>1176</v>
      </c>
      <c r="AC615" s="29" t="s">
        <v>1933</v>
      </c>
    </row>
    <row r="616" spans="28:29" x14ac:dyDescent="0.2">
      <c r="AB616" s="27" t="s">
        <v>1177</v>
      </c>
      <c r="AC616" s="29" t="s">
        <v>1934</v>
      </c>
    </row>
    <row r="617" spans="28:29" x14ac:dyDescent="0.2">
      <c r="AB617" s="27" t="s">
        <v>1178</v>
      </c>
      <c r="AC617" s="29" t="s">
        <v>1935</v>
      </c>
    </row>
    <row r="618" spans="28:29" x14ac:dyDescent="0.2">
      <c r="AB618" s="27" t="s">
        <v>1179</v>
      </c>
      <c r="AC618" s="29" t="s">
        <v>1936</v>
      </c>
    </row>
    <row r="619" spans="28:29" x14ac:dyDescent="0.2">
      <c r="AB619" s="27" t="s">
        <v>1180</v>
      </c>
      <c r="AC619" s="29" t="s">
        <v>1937</v>
      </c>
    </row>
    <row r="620" spans="28:29" x14ac:dyDescent="0.2">
      <c r="AB620" s="27" t="s">
        <v>1181</v>
      </c>
      <c r="AC620" s="29" t="s">
        <v>1938</v>
      </c>
    </row>
    <row r="621" spans="28:29" x14ac:dyDescent="0.2">
      <c r="AB621" s="27" t="s">
        <v>1182</v>
      </c>
      <c r="AC621" s="29" t="s">
        <v>1939</v>
      </c>
    </row>
    <row r="622" spans="28:29" x14ac:dyDescent="0.2">
      <c r="AB622" s="27" t="s">
        <v>1183</v>
      </c>
      <c r="AC622" s="29" t="s">
        <v>1940</v>
      </c>
    </row>
    <row r="623" spans="28:29" x14ac:dyDescent="0.2">
      <c r="AB623" s="27" t="s">
        <v>1184</v>
      </c>
      <c r="AC623" s="29" t="s">
        <v>1941</v>
      </c>
    </row>
    <row r="624" spans="28:29" x14ac:dyDescent="0.2">
      <c r="AB624" s="27" t="s">
        <v>1185</v>
      </c>
      <c r="AC624" s="29" t="s">
        <v>1942</v>
      </c>
    </row>
    <row r="625" spans="28:29" x14ac:dyDescent="0.2">
      <c r="AB625" s="27" t="s">
        <v>2085</v>
      </c>
      <c r="AC625" s="29" t="s">
        <v>1943</v>
      </c>
    </row>
    <row r="626" spans="28:29" x14ac:dyDescent="0.2">
      <c r="AB626" s="27" t="s">
        <v>2086</v>
      </c>
      <c r="AC626" s="29" t="s">
        <v>1944</v>
      </c>
    </row>
    <row r="627" spans="28:29" x14ac:dyDescent="0.2">
      <c r="AB627" s="27" t="s">
        <v>1186</v>
      </c>
      <c r="AC627" s="29" t="s">
        <v>1945</v>
      </c>
    </row>
    <row r="628" spans="28:29" x14ac:dyDescent="0.2">
      <c r="AB628" s="27" t="s">
        <v>1187</v>
      </c>
      <c r="AC628" s="29" t="s">
        <v>1946</v>
      </c>
    </row>
    <row r="629" spans="28:29" x14ac:dyDescent="0.2">
      <c r="AB629" s="27" t="s">
        <v>1188</v>
      </c>
      <c r="AC629" s="29" t="s">
        <v>1947</v>
      </c>
    </row>
    <row r="630" spans="28:29" x14ac:dyDescent="0.2">
      <c r="AB630" s="27" t="s">
        <v>1189</v>
      </c>
      <c r="AC630" s="29" t="s">
        <v>1948</v>
      </c>
    </row>
    <row r="631" spans="28:29" x14ac:dyDescent="0.2">
      <c r="AB631" s="27" t="s">
        <v>1190</v>
      </c>
      <c r="AC631" s="29" t="s">
        <v>1949</v>
      </c>
    </row>
    <row r="632" spans="28:29" x14ac:dyDescent="0.2">
      <c r="AB632" s="27" t="s">
        <v>1191</v>
      </c>
      <c r="AC632" s="29" t="s">
        <v>1950</v>
      </c>
    </row>
    <row r="633" spans="28:29" x14ac:dyDescent="0.2">
      <c r="AB633" s="27" t="s">
        <v>1192</v>
      </c>
      <c r="AC633" s="29" t="s">
        <v>1951</v>
      </c>
    </row>
    <row r="634" spans="28:29" x14ac:dyDescent="0.2">
      <c r="AB634" s="27" t="s">
        <v>1193</v>
      </c>
      <c r="AC634" s="29" t="s">
        <v>1952</v>
      </c>
    </row>
    <row r="635" spans="28:29" x14ac:dyDescent="0.2">
      <c r="AB635" s="27" t="s">
        <v>1194</v>
      </c>
      <c r="AC635" s="29" t="s">
        <v>1953</v>
      </c>
    </row>
    <row r="636" spans="28:29" x14ac:dyDescent="0.2">
      <c r="AB636" s="27" t="s">
        <v>1195</v>
      </c>
      <c r="AC636" s="29" t="s">
        <v>1954</v>
      </c>
    </row>
    <row r="637" spans="28:29" x14ac:dyDescent="0.2">
      <c r="AB637" s="27" t="s">
        <v>1196</v>
      </c>
      <c r="AC637" s="29" t="s">
        <v>1955</v>
      </c>
    </row>
    <row r="638" spans="28:29" x14ac:dyDescent="0.2">
      <c r="AB638" s="27" t="s">
        <v>1197</v>
      </c>
      <c r="AC638" s="29" t="s">
        <v>1956</v>
      </c>
    </row>
    <row r="639" spans="28:29" x14ac:dyDescent="0.2">
      <c r="AB639" s="27" t="s">
        <v>1198</v>
      </c>
      <c r="AC639" s="29" t="s">
        <v>1957</v>
      </c>
    </row>
    <row r="640" spans="28:29" x14ac:dyDescent="0.2">
      <c r="AB640" s="27" t="s">
        <v>1199</v>
      </c>
      <c r="AC640" s="29" t="s">
        <v>1958</v>
      </c>
    </row>
    <row r="641" spans="28:29" x14ac:dyDescent="0.2">
      <c r="AB641" s="27" t="s">
        <v>1200</v>
      </c>
      <c r="AC641" s="29" t="s">
        <v>1959</v>
      </c>
    </row>
    <row r="642" spans="28:29" x14ac:dyDescent="0.2">
      <c r="AB642" s="27" t="s">
        <v>1201</v>
      </c>
      <c r="AC642" s="29" t="s">
        <v>1960</v>
      </c>
    </row>
    <row r="643" spans="28:29" x14ac:dyDescent="0.2">
      <c r="AB643" s="27" t="s">
        <v>1202</v>
      </c>
      <c r="AC643" s="29" t="s">
        <v>1961</v>
      </c>
    </row>
    <row r="644" spans="28:29" x14ac:dyDescent="0.2">
      <c r="AB644" s="27" t="s">
        <v>1203</v>
      </c>
      <c r="AC644" s="29" t="s">
        <v>1962</v>
      </c>
    </row>
    <row r="645" spans="28:29" x14ac:dyDescent="0.2">
      <c r="AB645" s="27" t="s">
        <v>1204</v>
      </c>
      <c r="AC645" s="29" t="s">
        <v>1963</v>
      </c>
    </row>
    <row r="646" spans="28:29" x14ac:dyDescent="0.2">
      <c r="AB646" s="27" t="s">
        <v>1205</v>
      </c>
      <c r="AC646" s="29" t="s">
        <v>1964</v>
      </c>
    </row>
    <row r="647" spans="28:29" x14ac:dyDescent="0.2">
      <c r="AB647" s="27" t="s">
        <v>1206</v>
      </c>
      <c r="AC647" s="29" t="s">
        <v>1965</v>
      </c>
    </row>
    <row r="648" spans="28:29" x14ac:dyDescent="0.2">
      <c r="AB648" s="27" t="s">
        <v>1207</v>
      </c>
      <c r="AC648" s="29" t="s">
        <v>1966</v>
      </c>
    </row>
    <row r="649" spans="28:29" x14ac:dyDescent="0.2">
      <c r="AB649" s="27" t="s">
        <v>1208</v>
      </c>
      <c r="AC649" s="29" t="s">
        <v>1967</v>
      </c>
    </row>
    <row r="650" spans="28:29" x14ac:dyDescent="0.2">
      <c r="AB650" s="27" t="s">
        <v>1209</v>
      </c>
      <c r="AC650" s="29" t="s">
        <v>1968</v>
      </c>
    </row>
    <row r="651" spans="28:29" x14ac:dyDescent="0.2">
      <c r="AB651" s="27" t="s">
        <v>1210</v>
      </c>
      <c r="AC651" s="29" t="s">
        <v>1969</v>
      </c>
    </row>
    <row r="652" spans="28:29" x14ac:dyDescent="0.2">
      <c r="AB652" s="27" t="s">
        <v>1211</v>
      </c>
      <c r="AC652" s="29" t="s">
        <v>1970</v>
      </c>
    </row>
    <row r="653" spans="28:29" x14ac:dyDescent="0.2">
      <c r="AB653" s="27" t="s">
        <v>1212</v>
      </c>
      <c r="AC653" s="29" t="s">
        <v>1971</v>
      </c>
    </row>
    <row r="654" spans="28:29" x14ac:dyDescent="0.2">
      <c r="AB654" s="27" t="s">
        <v>1213</v>
      </c>
      <c r="AC654" s="29" t="s">
        <v>1972</v>
      </c>
    </row>
    <row r="655" spans="28:29" x14ac:dyDescent="0.2">
      <c r="AB655" s="27" t="s">
        <v>1214</v>
      </c>
      <c r="AC655" s="29" t="s">
        <v>1973</v>
      </c>
    </row>
    <row r="656" spans="28:29" x14ac:dyDescent="0.2">
      <c r="AB656" s="27" t="s">
        <v>1215</v>
      </c>
      <c r="AC656" s="29" t="s">
        <v>1974</v>
      </c>
    </row>
    <row r="657" spans="28:29" x14ac:dyDescent="0.2">
      <c r="AB657" s="27" t="s">
        <v>1216</v>
      </c>
      <c r="AC657" s="29" t="s">
        <v>1975</v>
      </c>
    </row>
    <row r="658" spans="28:29" x14ac:dyDescent="0.2">
      <c r="AB658" s="27" t="s">
        <v>1217</v>
      </c>
      <c r="AC658" s="29" t="s">
        <v>1976</v>
      </c>
    </row>
    <row r="659" spans="28:29" x14ac:dyDescent="0.2">
      <c r="AB659" s="27" t="s">
        <v>1218</v>
      </c>
      <c r="AC659" s="29" t="s">
        <v>1977</v>
      </c>
    </row>
    <row r="660" spans="28:29" x14ac:dyDescent="0.2">
      <c r="AB660" s="27" t="s">
        <v>1219</v>
      </c>
      <c r="AC660" s="29" t="s">
        <v>1978</v>
      </c>
    </row>
    <row r="661" spans="28:29" x14ac:dyDescent="0.2">
      <c r="AB661" s="27" t="s">
        <v>1220</v>
      </c>
      <c r="AC661" s="29" t="s">
        <v>1979</v>
      </c>
    </row>
    <row r="662" spans="28:29" x14ac:dyDescent="0.2">
      <c r="AB662" s="27" t="s">
        <v>1221</v>
      </c>
      <c r="AC662" s="29" t="s">
        <v>1980</v>
      </c>
    </row>
    <row r="663" spans="28:29" x14ac:dyDescent="0.2">
      <c r="AB663" s="27" t="s">
        <v>1222</v>
      </c>
      <c r="AC663" s="29" t="s">
        <v>1981</v>
      </c>
    </row>
    <row r="664" spans="28:29" x14ac:dyDescent="0.2">
      <c r="AB664" s="27" t="s">
        <v>1223</v>
      </c>
      <c r="AC664" s="29" t="s">
        <v>1982</v>
      </c>
    </row>
    <row r="665" spans="28:29" x14ac:dyDescent="0.2">
      <c r="AB665" s="27" t="s">
        <v>1224</v>
      </c>
      <c r="AC665" s="29" t="s">
        <v>1983</v>
      </c>
    </row>
    <row r="666" spans="28:29" x14ac:dyDescent="0.2">
      <c r="AB666" s="27" t="s">
        <v>1225</v>
      </c>
      <c r="AC666" s="29" t="s">
        <v>1984</v>
      </c>
    </row>
    <row r="667" spans="28:29" x14ac:dyDescent="0.2">
      <c r="AB667" s="27" t="s">
        <v>1226</v>
      </c>
      <c r="AC667" s="29" t="s">
        <v>1985</v>
      </c>
    </row>
    <row r="668" spans="28:29" x14ac:dyDescent="0.2">
      <c r="AB668" s="27" t="s">
        <v>1227</v>
      </c>
      <c r="AC668" s="29" t="s">
        <v>1986</v>
      </c>
    </row>
    <row r="669" spans="28:29" x14ac:dyDescent="0.2">
      <c r="AB669" s="27" t="s">
        <v>1228</v>
      </c>
      <c r="AC669" s="29" t="s">
        <v>1987</v>
      </c>
    </row>
    <row r="670" spans="28:29" x14ac:dyDescent="0.2">
      <c r="AB670" s="27" t="s">
        <v>1229</v>
      </c>
      <c r="AC670" s="29" t="s">
        <v>1988</v>
      </c>
    </row>
    <row r="671" spans="28:29" x14ac:dyDescent="0.2">
      <c r="AB671" s="27" t="s">
        <v>1230</v>
      </c>
      <c r="AC671" s="29" t="s">
        <v>1989</v>
      </c>
    </row>
    <row r="672" spans="28:29" x14ac:dyDescent="0.2">
      <c r="AB672" s="27" t="s">
        <v>2087</v>
      </c>
      <c r="AC672" s="29" t="s">
        <v>1990</v>
      </c>
    </row>
    <row r="673" spans="28:29" x14ac:dyDescent="0.2">
      <c r="AB673" s="27" t="s">
        <v>1231</v>
      </c>
      <c r="AC673" s="29" t="s">
        <v>1991</v>
      </c>
    </row>
    <row r="674" spans="28:29" x14ac:dyDescent="0.2">
      <c r="AB674" s="27" t="s">
        <v>1232</v>
      </c>
      <c r="AC674" s="29" t="s">
        <v>1992</v>
      </c>
    </row>
    <row r="675" spans="28:29" x14ac:dyDescent="0.2">
      <c r="AB675" s="27" t="s">
        <v>1233</v>
      </c>
      <c r="AC675" s="29" t="s">
        <v>1993</v>
      </c>
    </row>
    <row r="676" spans="28:29" x14ac:dyDescent="0.2">
      <c r="AB676" s="27" t="s">
        <v>1234</v>
      </c>
      <c r="AC676" s="29" t="s">
        <v>1994</v>
      </c>
    </row>
    <row r="677" spans="28:29" x14ac:dyDescent="0.2">
      <c r="AB677" s="27" t="s">
        <v>1235</v>
      </c>
      <c r="AC677" s="29" t="s">
        <v>1995</v>
      </c>
    </row>
    <row r="678" spans="28:29" x14ac:dyDescent="0.2">
      <c r="AB678" s="27" t="s">
        <v>1236</v>
      </c>
      <c r="AC678" s="29" t="s">
        <v>1996</v>
      </c>
    </row>
    <row r="679" spans="28:29" x14ac:dyDescent="0.2">
      <c r="AB679" s="27" t="s">
        <v>1237</v>
      </c>
      <c r="AC679" s="29" t="s">
        <v>1997</v>
      </c>
    </row>
    <row r="680" spans="28:29" x14ac:dyDescent="0.2">
      <c r="AB680" s="27" t="s">
        <v>1238</v>
      </c>
      <c r="AC680" s="29" t="s">
        <v>1998</v>
      </c>
    </row>
    <row r="681" spans="28:29" x14ac:dyDescent="0.2">
      <c r="AB681" s="27" t="s">
        <v>1239</v>
      </c>
      <c r="AC681" s="29" t="s">
        <v>1999</v>
      </c>
    </row>
    <row r="682" spans="28:29" x14ac:dyDescent="0.2">
      <c r="AB682" s="27" t="s">
        <v>1240</v>
      </c>
      <c r="AC682" s="29" t="s">
        <v>2000</v>
      </c>
    </row>
    <row r="683" spans="28:29" x14ac:dyDescent="0.2">
      <c r="AB683" s="27" t="s">
        <v>1241</v>
      </c>
      <c r="AC683" s="29" t="s">
        <v>2001</v>
      </c>
    </row>
    <row r="684" spans="28:29" x14ac:dyDescent="0.2">
      <c r="AB684" s="27" t="s">
        <v>1242</v>
      </c>
      <c r="AC684" s="29" t="s">
        <v>2002</v>
      </c>
    </row>
    <row r="685" spans="28:29" x14ac:dyDescent="0.2">
      <c r="AB685" s="27" t="s">
        <v>1243</v>
      </c>
      <c r="AC685" s="29" t="s">
        <v>2003</v>
      </c>
    </row>
    <row r="686" spans="28:29" x14ac:dyDescent="0.2">
      <c r="AB686" s="27" t="s">
        <v>1244</v>
      </c>
      <c r="AC686" s="29" t="s">
        <v>2004</v>
      </c>
    </row>
    <row r="687" spans="28:29" x14ac:dyDescent="0.2">
      <c r="AB687" s="27" t="s">
        <v>1245</v>
      </c>
      <c r="AC687" s="29" t="s">
        <v>2005</v>
      </c>
    </row>
    <row r="688" spans="28:29" x14ac:dyDescent="0.2">
      <c r="AB688" s="27" t="s">
        <v>1246</v>
      </c>
      <c r="AC688" s="29" t="s">
        <v>2006</v>
      </c>
    </row>
    <row r="689" spans="28:29" x14ac:dyDescent="0.2">
      <c r="AB689" s="27" t="s">
        <v>1247</v>
      </c>
      <c r="AC689" s="29" t="s">
        <v>2007</v>
      </c>
    </row>
    <row r="690" spans="28:29" x14ac:dyDescent="0.2">
      <c r="AB690" s="27" t="s">
        <v>1248</v>
      </c>
      <c r="AC690" s="29" t="s">
        <v>2008</v>
      </c>
    </row>
    <row r="691" spans="28:29" x14ac:dyDescent="0.2">
      <c r="AB691" s="27" t="s">
        <v>1249</v>
      </c>
      <c r="AC691" s="29" t="s">
        <v>2009</v>
      </c>
    </row>
    <row r="692" spans="28:29" x14ac:dyDescent="0.2">
      <c r="AB692" s="27" t="s">
        <v>1250</v>
      </c>
      <c r="AC692" s="29" t="s">
        <v>2010</v>
      </c>
    </row>
    <row r="693" spans="28:29" x14ac:dyDescent="0.2">
      <c r="AB693" s="27" t="s">
        <v>1251</v>
      </c>
      <c r="AC693" s="29" t="s">
        <v>2011</v>
      </c>
    </row>
    <row r="694" spans="28:29" x14ac:dyDescent="0.2">
      <c r="AB694" s="27" t="s">
        <v>1252</v>
      </c>
      <c r="AC694" s="29" t="s">
        <v>2012</v>
      </c>
    </row>
    <row r="695" spans="28:29" x14ac:dyDescent="0.2">
      <c r="AB695" s="27" t="s">
        <v>1253</v>
      </c>
      <c r="AC695" s="29" t="s">
        <v>2013</v>
      </c>
    </row>
    <row r="696" spans="28:29" x14ac:dyDescent="0.2">
      <c r="AB696" s="27" t="s">
        <v>1254</v>
      </c>
      <c r="AC696" s="29" t="s">
        <v>2014</v>
      </c>
    </row>
    <row r="697" spans="28:29" x14ac:dyDescent="0.2">
      <c r="AB697" s="27" t="s">
        <v>1255</v>
      </c>
      <c r="AC697" s="29" t="s">
        <v>2015</v>
      </c>
    </row>
    <row r="698" spans="28:29" x14ac:dyDescent="0.2">
      <c r="AB698" s="27" t="s">
        <v>1256</v>
      </c>
      <c r="AC698" s="29" t="s">
        <v>2016</v>
      </c>
    </row>
    <row r="699" spans="28:29" x14ac:dyDescent="0.2">
      <c r="AB699" s="27" t="s">
        <v>1257</v>
      </c>
      <c r="AC699" s="29" t="s">
        <v>2017</v>
      </c>
    </row>
    <row r="700" spans="28:29" x14ac:dyDescent="0.2">
      <c r="AB700" s="27" t="s">
        <v>1258</v>
      </c>
      <c r="AC700" s="29" t="s">
        <v>2018</v>
      </c>
    </row>
    <row r="701" spans="28:29" x14ac:dyDescent="0.2">
      <c r="AB701" s="27" t="s">
        <v>1259</v>
      </c>
      <c r="AC701" s="29" t="s">
        <v>2019</v>
      </c>
    </row>
    <row r="702" spans="28:29" x14ac:dyDescent="0.2">
      <c r="AB702" s="27" t="s">
        <v>1260</v>
      </c>
      <c r="AC702" s="29" t="s">
        <v>2020</v>
      </c>
    </row>
    <row r="703" spans="28:29" x14ac:dyDescent="0.2">
      <c r="AB703" s="27" t="s">
        <v>1261</v>
      </c>
      <c r="AC703" s="29" t="s">
        <v>2021</v>
      </c>
    </row>
    <row r="704" spans="28:29" x14ac:dyDescent="0.2">
      <c r="AB704" s="27" t="s">
        <v>1262</v>
      </c>
      <c r="AC704" s="29" t="s">
        <v>2022</v>
      </c>
    </row>
    <row r="705" spans="28:29" x14ac:dyDescent="0.2">
      <c r="AB705" s="27" t="s">
        <v>1263</v>
      </c>
      <c r="AC705" s="29" t="s">
        <v>2023</v>
      </c>
    </row>
    <row r="706" spans="28:29" x14ac:dyDescent="0.2">
      <c r="AB706" s="27" t="s">
        <v>1264</v>
      </c>
      <c r="AC706" s="29" t="s">
        <v>2024</v>
      </c>
    </row>
    <row r="707" spans="28:29" x14ac:dyDescent="0.2">
      <c r="AB707" s="27" t="s">
        <v>1265</v>
      </c>
      <c r="AC707" s="29" t="s">
        <v>2025</v>
      </c>
    </row>
    <row r="708" spans="28:29" x14ac:dyDescent="0.2">
      <c r="AB708" s="27" t="s">
        <v>1266</v>
      </c>
      <c r="AC708" s="29" t="s">
        <v>2026</v>
      </c>
    </row>
    <row r="709" spans="28:29" x14ac:dyDescent="0.2">
      <c r="AB709" s="27" t="s">
        <v>1267</v>
      </c>
      <c r="AC709" s="29" t="s">
        <v>2027</v>
      </c>
    </row>
    <row r="710" spans="28:29" x14ac:dyDescent="0.2">
      <c r="AB710" s="27" t="s">
        <v>1268</v>
      </c>
      <c r="AC710" s="29" t="s">
        <v>2028</v>
      </c>
    </row>
    <row r="711" spans="28:29" x14ac:dyDescent="0.2">
      <c r="AB711" s="27" t="s">
        <v>1269</v>
      </c>
      <c r="AC711" s="29" t="s">
        <v>2029</v>
      </c>
    </row>
    <row r="712" spans="28:29" x14ac:dyDescent="0.2">
      <c r="AB712" s="27" t="s">
        <v>1270</v>
      </c>
      <c r="AC712" s="29" t="s">
        <v>2030</v>
      </c>
    </row>
    <row r="713" spans="28:29" x14ac:dyDescent="0.2">
      <c r="AB713" s="27" t="s">
        <v>1271</v>
      </c>
      <c r="AC713" s="29" t="s">
        <v>2031</v>
      </c>
    </row>
    <row r="714" spans="28:29" x14ac:dyDescent="0.2">
      <c r="AB714" s="27" t="s">
        <v>1272</v>
      </c>
      <c r="AC714" s="29" t="s">
        <v>2032</v>
      </c>
    </row>
    <row r="715" spans="28:29" x14ac:dyDescent="0.2">
      <c r="AB715" s="27" t="s">
        <v>1273</v>
      </c>
      <c r="AC715" s="29" t="s">
        <v>2033</v>
      </c>
    </row>
    <row r="716" spans="28:29" x14ac:dyDescent="0.2">
      <c r="AB716" s="27" t="s">
        <v>1274</v>
      </c>
      <c r="AC716" s="29" t="s">
        <v>2034</v>
      </c>
    </row>
    <row r="717" spans="28:29" x14ac:dyDescent="0.2">
      <c r="AB717" s="27" t="s">
        <v>1275</v>
      </c>
      <c r="AC717" s="29" t="s">
        <v>2035</v>
      </c>
    </row>
    <row r="718" spans="28:29" x14ac:dyDescent="0.2">
      <c r="AB718" s="27" t="s">
        <v>1276</v>
      </c>
      <c r="AC718" s="29" t="s">
        <v>2036</v>
      </c>
    </row>
    <row r="719" spans="28:29" x14ac:dyDescent="0.2">
      <c r="AB719" s="27" t="s">
        <v>1277</v>
      </c>
      <c r="AC719" s="29" t="s">
        <v>2037</v>
      </c>
    </row>
    <row r="720" spans="28:29" x14ac:dyDescent="0.2">
      <c r="AB720" s="27" t="s">
        <v>1278</v>
      </c>
      <c r="AC720" s="29" t="s">
        <v>2038</v>
      </c>
    </row>
    <row r="721" spans="28:29" x14ac:dyDescent="0.2">
      <c r="AB721" s="27" t="s">
        <v>1279</v>
      </c>
      <c r="AC721" s="29" t="s">
        <v>2039</v>
      </c>
    </row>
    <row r="722" spans="28:29" x14ac:dyDescent="0.2">
      <c r="AB722" s="27" t="s">
        <v>1280</v>
      </c>
      <c r="AC722" s="29" t="s">
        <v>2040</v>
      </c>
    </row>
    <row r="723" spans="28:29" x14ac:dyDescent="0.2">
      <c r="AB723" s="27" t="s">
        <v>1281</v>
      </c>
      <c r="AC723" s="29" t="s">
        <v>2041</v>
      </c>
    </row>
    <row r="724" spans="28:29" x14ac:dyDescent="0.2">
      <c r="AB724" s="27" t="s">
        <v>1282</v>
      </c>
      <c r="AC724" s="29" t="s">
        <v>2042</v>
      </c>
    </row>
    <row r="725" spans="28:29" x14ac:dyDescent="0.2">
      <c r="AB725" s="27" t="s">
        <v>1283</v>
      </c>
      <c r="AC725" s="29" t="s">
        <v>2043</v>
      </c>
    </row>
    <row r="726" spans="28:29" x14ac:dyDescent="0.2">
      <c r="AB726" s="27" t="s">
        <v>1284</v>
      </c>
      <c r="AC726" s="29" t="s">
        <v>2044</v>
      </c>
    </row>
    <row r="727" spans="28:29" x14ac:dyDescent="0.2">
      <c r="AB727" s="27" t="s">
        <v>1285</v>
      </c>
      <c r="AC727" s="29" t="s">
        <v>2045</v>
      </c>
    </row>
    <row r="728" spans="28:29" x14ac:dyDescent="0.2">
      <c r="AB728" s="27" t="s">
        <v>1286</v>
      </c>
      <c r="AC728" s="29" t="s">
        <v>2046</v>
      </c>
    </row>
    <row r="729" spans="28:29" x14ac:dyDescent="0.2">
      <c r="AB729" s="27" t="s">
        <v>1287</v>
      </c>
      <c r="AC729" s="29" t="s">
        <v>2047</v>
      </c>
    </row>
    <row r="730" spans="28:29" x14ac:dyDescent="0.2">
      <c r="AB730" s="27" t="s">
        <v>1288</v>
      </c>
      <c r="AC730" s="29" t="s">
        <v>2048</v>
      </c>
    </row>
    <row r="731" spans="28:29" x14ac:dyDescent="0.2">
      <c r="AB731" s="27" t="s">
        <v>1289</v>
      </c>
      <c r="AC731" s="29" t="s">
        <v>2049</v>
      </c>
    </row>
    <row r="732" spans="28:29" x14ac:dyDescent="0.2">
      <c r="AB732" s="27" t="s">
        <v>1290</v>
      </c>
      <c r="AC732" s="29" t="s">
        <v>2050</v>
      </c>
    </row>
    <row r="733" spans="28:29" x14ac:dyDescent="0.2">
      <c r="AB733" s="27" t="s">
        <v>1291</v>
      </c>
      <c r="AC733" s="29" t="s">
        <v>2051</v>
      </c>
    </row>
    <row r="734" spans="28:29" x14ac:dyDescent="0.2">
      <c r="AB734" s="27" t="s">
        <v>1292</v>
      </c>
      <c r="AC734" s="29" t="s">
        <v>2052</v>
      </c>
    </row>
    <row r="735" spans="28:29" x14ac:dyDescent="0.2">
      <c r="AB735" s="27" t="s">
        <v>1293</v>
      </c>
      <c r="AC735" s="29" t="s">
        <v>2053</v>
      </c>
    </row>
    <row r="736" spans="28:29" x14ac:dyDescent="0.2">
      <c r="AB736" s="27" t="s">
        <v>1294</v>
      </c>
      <c r="AC736" s="29" t="s">
        <v>2054</v>
      </c>
    </row>
    <row r="737" spans="28:29" x14ac:dyDescent="0.2">
      <c r="AB737" s="27" t="s">
        <v>1295</v>
      </c>
      <c r="AC737" s="29" t="s">
        <v>2055</v>
      </c>
    </row>
    <row r="738" spans="28:29" x14ac:dyDescent="0.2">
      <c r="AB738" s="27" t="s">
        <v>1296</v>
      </c>
      <c r="AC738" s="29" t="s">
        <v>2056</v>
      </c>
    </row>
    <row r="739" spans="28:29" x14ac:dyDescent="0.2">
      <c r="AB739" s="27" t="s">
        <v>1297</v>
      </c>
      <c r="AC739" s="29" t="s">
        <v>2057</v>
      </c>
    </row>
    <row r="740" spans="28:29" x14ac:dyDescent="0.2">
      <c r="AB740" s="27" t="s">
        <v>1298</v>
      </c>
      <c r="AC740" s="29" t="s">
        <v>2058</v>
      </c>
    </row>
    <row r="741" spans="28:29" x14ac:dyDescent="0.2">
      <c r="AB741" s="27" t="s">
        <v>1299</v>
      </c>
      <c r="AC741" s="29" t="s">
        <v>2059</v>
      </c>
    </row>
    <row r="742" spans="28:29" x14ac:dyDescent="0.2">
      <c r="AB742" s="27" t="s">
        <v>1300</v>
      </c>
      <c r="AC742" s="29" t="s">
        <v>2060</v>
      </c>
    </row>
    <row r="743" spans="28:29" x14ac:dyDescent="0.2">
      <c r="AB743" s="27" t="s">
        <v>1301</v>
      </c>
      <c r="AC743" s="29" t="s">
        <v>2061</v>
      </c>
    </row>
    <row r="744" spans="28:29" x14ac:dyDescent="0.2">
      <c r="AB744" s="27" t="s">
        <v>1302</v>
      </c>
      <c r="AC744" s="29" t="s">
        <v>2062</v>
      </c>
    </row>
    <row r="745" spans="28:29" x14ac:dyDescent="0.2">
      <c r="AB745" s="27" t="s">
        <v>1303</v>
      </c>
      <c r="AC745" s="29" t="s">
        <v>2063</v>
      </c>
    </row>
    <row r="746" spans="28:29" x14ac:dyDescent="0.2">
      <c r="AB746" s="27" t="s">
        <v>1304</v>
      </c>
      <c r="AC746" s="29" t="s">
        <v>2064</v>
      </c>
    </row>
    <row r="747" spans="28:29" x14ac:dyDescent="0.2">
      <c r="AB747" s="27" t="s">
        <v>1305</v>
      </c>
      <c r="AC747" s="29" t="s">
        <v>2065</v>
      </c>
    </row>
    <row r="748" spans="28:29" x14ac:dyDescent="0.2">
      <c r="AB748" s="27" t="s">
        <v>1306</v>
      </c>
      <c r="AC748" s="29" t="s">
        <v>2066</v>
      </c>
    </row>
    <row r="749" spans="28:29" x14ac:dyDescent="0.2">
      <c r="AB749" s="27" t="s">
        <v>1307</v>
      </c>
      <c r="AC749" s="29" t="s">
        <v>2067</v>
      </c>
    </row>
    <row r="750" spans="28:29" x14ac:dyDescent="0.2">
      <c r="AB750" s="27" t="s">
        <v>1308</v>
      </c>
      <c r="AC750" s="29" t="s">
        <v>2068</v>
      </c>
    </row>
    <row r="751" spans="28:29" x14ac:dyDescent="0.2">
      <c r="AB751" s="27" t="s">
        <v>1309</v>
      </c>
      <c r="AC751" s="29" t="s">
        <v>2069</v>
      </c>
    </row>
    <row r="752" spans="28:29" x14ac:dyDescent="0.2">
      <c r="AB752" s="27" t="s">
        <v>1310</v>
      </c>
      <c r="AC752" s="29" t="s">
        <v>2070</v>
      </c>
    </row>
    <row r="753" spans="28:29" x14ac:dyDescent="0.2">
      <c r="AB753" s="27" t="s">
        <v>1311</v>
      </c>
      <c r="AC753" s="29" t="s">
        <v>2071</v>
      </c>
    </row>
    <row r="754" spans="28:29" x14ac:dyDescent="0.2">
      <c r="AB754" s="27" t="s">
        <v>1312</v>
      </c>
      <c r="AC754" s="29" t="s">
        <v>2072</v>
      </c>
    </row>
    <row r="755" spans="28:29" x14ac:dyDescent="0.2">
      <c r="AB755" s="27" t="s">
        <v>1313</v>
      </c>
      <c r="AC755" s="29" t="s">
        <v>2073</v>
      </c>
    </row>
    <row r="756" spans="28:29" x14ac:dyDescent="0.2">
      <c r="AB756" s="27" t="s">
        <v>1314</v>
      </c>
      <c r="AC756" s="29" t="s">
        <v>2074</v>
      </c>
    </row>
    <row r="757" spans="28:29" x14ac:dyDescent="0.2">
      <c r="AB757" s="27" t="s">
        <v>1315</v>
      </c>
      <c r="AC757" s="29" t="s">
        <v>2075</v>
      </c>
    </row>
    <row r="758" spans="28:29" x14ac:dyDescent="0.2">
      <c r="AB758" s="27" t="s">
        <v>1316</v>
      </c>
      <c r="AC758" s="29" t="s">
        <v>2076</v>
      </c>
    </row>
    <row r="759" spans="28:29" x14ac:dyDescent="0.2">
      <c r="AB759" s="27" t="s">
        <v>1317</v>
      </c>
      <c r="AC759" s="29" t="s">
        <v>2077</v>
      </c>
    </row>
    <row r="760" spans="28:29" x14ac:dyDescent="0.2">
      <c r="AB760" s="27" t="s">
        <v>1318</v>
      </c>
      <c r="AC760" s="29" t="s">
        <v>2078</v>
      </c>
    </row>
    <row r="761" spans="28:29" x14ac:dyDescent="0.2">
      <c r="AB761" s="27" t="s">
        <v>1319</v>
      </c>
      <c r="AC761" s="29" t="s">
        <v>2079</v>
      </c>
    </row>
  </sheetData>
  <sheetProtection password="9D45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